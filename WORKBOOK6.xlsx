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4669F7DA-E6A6-4D24-AA82-A851CB27946D}" xr6:coauthVersionLast="47" xr6:coauthVersionMax="47" xr10:uidLastSave="{00000000-0000-0000-0000-000000000000}"/>
  <bookViews>
    <workbookView xWindow="-120" yWindow="-120" windowWidth="20730" windowHeight="11040" xr2:uid="{8EEA225B-9CB3-4B50-9AA9-A892374B936D}"/>
  </bookViews>
  <sheets>
    <sheet name="Sheet11" sheetId="1" r:id="rId1"/>
  </sheets>
  <externalReferences>
    <externalReference r:id="rId2"/>
  </externalReferences>
  <definedNames>
    <definedName name="Slicer_Date_Day">#N/A</definedName>
    <definedName name="Slicer_holiday_or_not">#N/A</definedName>
    <definedName name="Slicer_hour">#N/A</definedName>
    <definedName name="Slicer_Month">#N/A</definedName>
    <definedName name="Slicer_weather_situation">#N/A</definedName>
  </definedNames>
  <calcPr calcId="191029"/>
  <extLst>
    <ext xmlns:x14="http://schemas.microsoft.com/office/spreadsheetml/2009/9/main" uri="{876F7934-8845-4945-9796-88D515C7AA90}">
      <x14:pivotCaches>
        <pivotCache cacheId="12"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 l="1" a="1"/>
  <c r="C16" i="1" s="1"/>
  <c r="E16" i="1"/>
  <c r="G16" i="1"/>
  <c r="I16" i="1"/>
</calcChain>
</file>

<file path=xl/sharedStrings.xml><?xml version="1.0" encoding="utf-8"?>
<sst xmlns="http://schemas.openxmlformats.org/spreadsheetml/2006/main" count="35" uniqueCount="35">
  <si>
    <t>Bike usage increases during favorable weather conditions.</t>
  </si>
  <si>
    <t>Rentals peak at the 17:00 hour, indicating a strong evening commute pattern.</t>
  </si>
  <si>
    <t>Bike demand peaks during specific hours of the day</t>
  </si>
  <si>
    <t>Registered users contribute significantly more rentals than casual users.</t>
  </si>
  <si>
    <r>
      <rPr>
        <b/>
        <sz val="22"/>
        <color theme="1"/>
        <rFont val="Calibri"/>
        <family val="2"/>
        <scheme val="minor"/>
      </rPr>
      <t>247</t>
    </r>
    <r>
      <rPr>
        <b/>
        <sz val="11"/>
        <color theme="1"/>
        <rFont val="Calibri"/>
        <family val="2"/>
        <scheme val="minor"/>
      </rPr>
      <t xml:space="preserve"> /in hour</t>
    </r>
  </si>
  <si>
    <r>
      <rPr>
        <b/>
        <sz val="22"/>
        <color theme="1"/>
        <rFont val="Calibri"/>
        <family val="2"/>
        <scheme val="minor"/>
      </rPr>
      <t>0.58</t>
    </r>
    <r>
      <rPr>
        <b/>
        <sz val="11"/>
        <color theme="1"/>
        <rFont val="Calibri"/>
        <family val="2"/>
        <scheme val="minor"/>
      </rPr>
      <t xml:space="preserve"> / strong wind</t>
    </r>
  </si>
  <si>
    <r>
      <rPr>
        <b/>
        <sz val="22"/>
        <color theme="1"/>
        <rFont val="Calibri"/>
        <family val="2"/>
        <scheme val="minor"/>
      </rPr>
      <t>0.45</t>
    </r>
    <r>
      <rPr>
        <b/>
        <sz val="11"/>
        <color theme="1"/>
        <rFont val="Calibri"/>
        <family val="2"/>
        <scheme val="minor"/>
      </rPr>
      <t xml:space="preserve"> /Hot</t>
    </r>
  </si>
  <si>
    <r>
      <t xml:space="preserve">1 </t>
    </r>
    <r>
      <rPr>
        <b/>
        <sz val="11"/>
        <color theme="1"/>
        <rFont val="Calibri"/>
        <family val="2"/>
        <scheme val="minor"/>
      </rPr>
      <t>degre /very high</t>
    </r>
  </si>
  <si>
    <r>
      <t xml:space="preserve">0.46 </t>
    </r>
    <r>
      <rPr>
        <b/>
        <sz val="11"/>
        <color theme="1"/>
        <rFont val="Calibri"/>
        <family val="2"/>
        <scheme val="minor"/>
      </rPr>
      <t>/High</t>
    </r>
  </si>
  <si>
    <t>maximum registered user</t>
  </si>
  <si>
    <t>🟦 Highest windspeed</t>
  </si>
  <si>
    <t>🟦 Highest Apparent temperature</t>
  </si>
  <si>
    <t>🟦 Highest humidity</t>
  </si>
  <si>
    <t>🟦 Highest Temperature</t>
  </si>
  <si>
    <r>
      <rPr>
        <b/>
        <sz val="22"/>
        <color theme="1"/>
        <rFont val="Calibri"/>
        <family val="2"/>
        <scheme val="minor"/>
      </rPr>
      <t>62</t>
    </r>
    <r>
      <rPr>
        <b/>
        <sz val="11"/>
        <color theme="1"/>
        <rFont val="Calibri"/>
        <family val="2"/>
        <scheme val="minor"/>
      </rPr>
      <t xml:space="preserve"> / in hour</t>
    </r>
  </si>
  <si>
    <t>maximum casual user</t>
  </si>
  <si>
    <t>🟦 Average windspeed</t>
  </si>
  <si>
    <t>🟦  AverageApparent Temperature</t>
  </si>
  <si>
    <t>🟦 Average Humidity</t>
  </si>
  <si>
    <t>🌡 Average Temperature</t>
  </si>
  <si>
    <r>
      <rPr>
        <b/>
        <sz val="20"/>
        <color theme="1"/>
        <rFont val="Calibri"/>
        <family val="2"/>
        <scheme val="minor"/>
      </rPr>
      <t>58.3</t>
    </r>
    <r>
      <rPr>
        <b/>
        <sz val="22"/>
        <color theme="1"/>
        <rFont val="Calibri"/>
        <family val="2"/>
        <scheme val="minor"/>
      </rPr>
      <t xml:space="preserve"> </t>
    </r>
    <r>
      <rPr>
        <b/>
        <sz val="12"/>
        <color theme="1"/>
        <rFont val="Calibri"/>
        <family val="2"/>
        <scheme val="minor"/>
      </rPr>
      <t>avg/record</t>
    </r>
  </si>
  <si>
    <t>Working Day Count</t>
  </si>
  <si>
    <t>🟦Holiday Count</t>
  </si>
  <si>
    <t>🟦 Minimum Rentals in Hour</t>
  </si>
  <si>
    <t>🟦 Maximum Rentals in Hour</t>
  </si>
  <si>
    <t>📈 Average Rentals</t>
  </si>
  <si>
    <t>37373 rentals</t>
  </si>
  <si>
    <t>6169 rentals</t>
  </si>
  <si>
    <t>Clear</t>
  </si>
  <si>
    <t>Top Weather</t>
  </si>
  <si>
    <t>⏰ Peak Hour</t>
  </si>
  <si>
    <t>👤 Registered Users</t>
  </si>
  <si>
    <t>👥 Casual Users</t>
  </si>
  <si>
    <t>🚲 Total Rentals</t>
  </si>
  <si>
    <t>BIKE SHARING DEMAND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</si>
</sst>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22"/>
      <color theme="1"/>
      <name val="Calibri"/>
      <family val="2"/>
      <scheme val="minor"/>
    </font>
    <font>
      <b/>
      <sz val="22"/>
      <color rgb="FF333333"/>
      <name val="Calibri"/>
      <family val="2"/>
      <scheme val="minor"/>
    </font>
    <font>
      <sz val="22"/>
      <color theme="1"/>
      <name val="Calibri"/>
      <family val="2"/>
      <scheme val="minor"/>
    </font>
    <font>
      <b/>
      <sz val="22"/>
      <color rgb="FFFFFFFF"/>
      <name val="Calibri"/>
      <family val="2"/>
      <scheme val="minor"/>
    </font>
    <font>
      <b/>
      <sz val="11"/>
      <color rgb="FFFFFFFF"/>
      <name val="Calibri"/>
      <family val="2"/>
      <scheme val="minor"/>
    </font>
    <font>
      <b/>
      <sz val="20"/>
      <color theme="1"/>
      <name val="Calibri"/>
      <family val="2"/>
      <scheme val="minor"/>
    </font>
    <font>
      <b/>
      <sz val="12"/>
      <color theme="1"/>
      <name val="Calibri"/>
      <family val="2"/>
      <scheme val="minor"/>
    </font>
    <font>
      <sz val="11"/>
      <color rgb="FF666666"/>
      <name val="Calibri"/>
      <family val="2"/>
      <scheme val="minor"/>
    </font>
    <font>
      <sz val="11"/>
      <color theme="4" tint="-0.249977111117893"/>
      <name val="Calibri"/>
      <family val="2"/>
      <scheme val="minor"/>
    </font>
    <font>
      <sz val="11"/>
      <color theme="3"/>
      <name val="Calibri"/>
      <family val="2"/>
      <scheme val="minor"/>
    </font>
    <font>
      <b/>
      <sz val="11"/>
      <color rgb="FF666666"/>
      <name val="Calibri"/>
      <family val="2"/>
      <scheme val="minor"/>
    </font>
    <font>
      <b/>
      <sz val="11"/>
      <color theme="4" tint="-0.249977111117893"/>
      <name val="Calibri"/>
      <family val="2"/>
      <scheme val="minor"/>
    </font>
    <font>
      <b/>
      <sz val="18"/>
      <color rgb="FF222222"/>
      <name val="Calibri"/>
      <family val="2"/>
      <scheme val="minor"/>
    </font>
    <font>
      <b/>
      <sz val="11"/>
      <color rgb="FF1F4E78"/>
      <name val="Calibri"/>
      <family val="2"/>
      <scheme val="minor"/>
    </font>
    <font>
      <sz val="2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ECFF"/>
        <bgColor indexed="64"/>
      </patternFill>
    </fill>
    <fill>
      <patternFill patternType="solid">
        <fgColor theme="4" tint="0.79998168889431442"/>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theme="0"/>
      </top>
      <bottom/>
      <diagonal/>
    </border>
    <border>
      <left style="thin">
        <color theme="0"/>
      </left>
      <right/>
      <top style="thin">
        <color theme="0"/>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bottom/>
      <diagonal/>
    </border>
    <border>
      <left style="thin">
        <color theme="4" tint="0.59999389629810485"/>
      </left>
      <right style="thin">
        <color theme="4" tint="0.59999389629810485"/>
      </right>
      <top/>
      <bottom style="thin">
        <color theme="4" tint="0.59999389629810485"/>
      </bottom>
      <diagonal/>
    </border>
    <border>
      <left/>
      <right/>
      <top style="thin">
        <color theme="4" tint="0.59999389629810485"/>
      </top>
      <bottom/>
      <diagonal/>
    </border>
    <border>
      <left/>
      <right style="thin">
        <color theme="4" tint="0.59999389629810485"/>
      </right>
      <top style="thin">
        <color theme="4" tint="0.59999389629810485"/>
      </top>
      <bottom/>
      <diagonal/>
    </border>
    <border>
      <left style="thin">
        <color theme="4" tint="0.59999389629810485"/>
      </left>
      <right style="thin">
        <color theme="4" tint="0.59999389629810485"/>
      </right>
      <top style="thin">
        <color theme="4" tint="0.59999389629810485"/>
      </top>
      <bottom/>
      <diagonal/>
    </border>
  </borders>
  <cellStyleXfs count="1">
    <xf numFmtId="0" fontId="0" fillId="0" borderId="0"/>
  </cellStyleXfs>
  <cellXfs count="49">
    <xf numFmtId="0" fontId="0" fillId="0" borderId="0" xfId="0"/>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2" fillId="3" borderId="3" xfId="0" applyFont="1" applyFill="1" applyBorder="1"/>
    <xf numFmtId="0" fontId="1" fillId="3" borderId="1" xfId="0" applyFont="1" applyFill="1" applyBorder="1"/>
    <xf numFmtId="0" fontId="1" fillId="3" borderId="2" xfId="0" applyFont="1" applyFill="1" applyBorder="1"/>
    <xf numFmtId="0" fontId="3" fillId="3" borderId="3" xfId="0" applyFont="1" applyFill="1" applyBorder="1"/>
    <xf numFmtId="0" fontId="0" fillId="3" borderId="4" xfId="0" applyFill="1" applyBorder="1"/>
    <xf numFmtId="0" fontId="4" fillId="3" borderId="2" xfId="0" applyFont="1" applyFill="1" applyBorder="1"/>
    <xf numFmtId="0" fontId="4" fillId="3" borderId="3" xfId="0" applyFont="1" applyFill="1" applyBorder="1"/>
    <xf numFmtId="0" fontId="5" fillId="2" borderId="5" xfId="0" applyFont="1" applyFill="1" applyBorder="1"/>
    <xf numFmtId="0" fontId="6" fillId="2" borderId="6" xfId="0" applyFont="1" applyFill="1" applyBorder="1"/>
    <xf numFmtId="0" fontId="0" fillId="2" borderId="7" xfId="0" applyFill="1" applyBorder="1"/>
    <xf numFmtId="0" fontId="1" fillId="2" borderId="7" xfId="0" applyFont="1" applyFill="1" applyBorder="1" applyAlignment="1">
      <alignment horizontal="right"/>
    </xf>
    <xf numFmtId="0" fontId="0" fillId="2" borderId="7" xfId="0" applyFill="1" applyBorder="1" applyAlignment="1">
      <alignment horizontal="right"/>
    </xf>
    <xf numFmtId="0" fontId="2" fillId="2" borderId="7" xfId="0" applyFont="1" applyFill="1" applyBorder="1" applyAlignment="1">
      <alignment horizontal="right"/>
    </xf>
    <xf numFmtId="0" fontId="0" fillId="2" borderId="8" xfId="0" applyFill="1" applyBorder="1"/>
    <xf numFmtId="0" fontId="0" fillId="2" borderId="0" xfId="0" applyFill="1" applyAlignment="1">
      <alignment horizontal="left"/>
    </xf>
    <xf numFmtId="0" fontId="0" fillId="2" borderId="7" xfId="0" applyFill="1" applyBorder="1" applyAlignment="1">
      <alignment horizontal="left"/>
    </xf>
    <xf numFmtId="0" fontId="1" fillId="3" borderId="7" xfId="0" applyFont="1" applyFill="1" applyBorder="1" applyAlignment="1">
      <alignment horizontal="left"/>
    </xf>
    <xf numFmtId="2" fontId="2" fillId="0" borderId="7" xfId="0" applyNumberFormat="1" applyFont="1" applyBorder="1" applyAlignment="1">
      <alignment horizontal="right"/>
    </xf>
    <xf numFmtId="0" fontId="1" fillId="3" borderId="7" xfId="0" applyFont="1" applyFill="1" applyBorder="1"/>
    <xf numFmtId="0" fontId="1" fillId="2" borderId="7" xfId="0" applyFont="1" applyFill="1" applyBorder="1"/>
    <xf numFmtId="0" fontId="1" fillId="3" borderId="0" xfId="0" applyFont="1" applyFill="1"/>
    <xf numFmtId="0" fontId="2" fillId="2" borderId="7" xfId="0" applyFont="1" applyFill="1" applyBorder="1"/>
    <xf numFmtId="0" fontId="7" fillId="2" borderId="7" xfId="0" applyFont="1" applyFill="1" applyBorder="1"/>
    <xf numFmtId="0" fontId="0" fillId="2" borderId="9" xfId="0" applyFill="1" applyBorder="1"/>
    <xf numFmtId="0" fontId="9" fillId="2" borderId="0" xfId="0" applyFont="1" applyFill="1" applyAlignment="1">
      <alignment horizontal="right"/>
    </xf>
    <xf numFmtId="0" fontId="0" fillId="0" borderId="10" xfId="0" applyBorder="1"/>
    <xf numFmtId="10" fontId="10" fillId="0" borderId="10" xfId="0" applyNumberFormat="1" applyFont="1" applyBorder="1"/>
    <xf numFmtId="10" fontId="10" fillId="0" borderId="0" xfId="0" applyNumberFormat="1" applyFont="1"/>
    <xf numFmtId="0" fontId="11" fillId="0" borderId="11" xfId="0" applyFont="1" applyBorder="1" applyAlignment="1">
      <alignment horizontal="right"/>
    </xf>
    <xf numFmtId="0" fontId="0" fillId="0" borderId="7" xfId="0" applyBorder="1"/>
    <xf numFmtId="0" fontId="12" fillId="2" borderId="7" xfId="0" applyFont="1" applyFill="1" applyBorder="1" applyAlignment="1">
      <alignment horizontal="right"/>
    </xf>
    <xf numFmtId="0" fontId="1" fillId="0" borderId="7" xfId="0" applyFont="1" applyBorder="1"/>
    <xf numFmtId="10" fontId="13" fillId="0" borderId="7" xfId="0" applyNumberFormat="1" applyFont="1" applyBorder="1"/>
    <xf numFmtId="0" fontId="1" fillId="0" borderId="12" xfId="0" applyFont="1" applyBorder="1"/>
    <xf numFmtId="10" fontId="13" fillId="0" borderId="12" xfId="0" applyNumberFormat="1" applyFont="1" applyBorder="1"/>
    <xf numFmtId="0" fontId="0" fillId="0" borderId="12" xfId="0" applyBorder="1"/>
    <xf numFmtId="0" fontId="11" fillId="0" borderId="12" xfId="0" applyFont="1" applyBorder="1" applyAlignment="1">
      <alignment horizontal="right"/>
    </xf>
    <xf numFmtId="0" fontId="14" fillId="2" borderId="7" xfId="0" applyFont="1" applyFill="1" applyBorder="1" applyAlignment="1">
      <alignment horizontal="right"/>
    </xf>
    <xf numFmtId="20" fontId="14" fillId="2" borderId="7" xfId="0" applyNumberFormat="1" applyFont="1" applyFill="1" applyBorder="1"/>
    <xf numFmtId="0" fontId="7" fillId="0" borderId="7" xfId="0" applyFont="1" applyBorder="1"/>
    <xf numFmtId="0" fontId="7" fillId="0" borderId="7" xfId="0" applyFont="1" applyBorder="1" applyAlignment="1">
      <alignment horizontal="right"/>
    </xf>
    <xf numFmtId="0" fontId="15" fillId="3" borderId="7" xfId="0" applyFont="1" applyFill="1" applyBorder="1"/>
    <xf numFmtId="0" fontId="0" fillId="4" borderId="0" xfId="0" applyFill="1"/>
    <xf numFmtId="0" fontId="16"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r>
              <a:rPr lang="en-US" sz="2000" b="1"/>
              <a:t>Hour vs Casual Users</a:t>
            </a:r>
          </a:p>
          <a:p>
            <a:pPr marL="0" marR="0" lvl="0" indent="0" algn="ctr" defTabSz="914400" rtl="0" eaLnBrk="1" fontAlgn="auto" latinLnBrk="0" hangingPunct="1">
              <a:lnSpc>
                <a:spcPct val="100000"/>
              </a:lnSpc>
              <a:spcBef>
                <a:spcPts val="0"/>
              </a:spcBef>
              <a:spcAft>
                <a:spcPts val="0"/>
              </a:spcAft>
              <a:buClrTx/>
              <a:buSzTx/>
              <a:buFontTx/>
              <a:buNone/>
              <a:tabLst/>
              <a:defRPr sz="2000" b="1">
                <a:solidFill>
                  <a:sysClr val="windowText" lastClr="000000">
                    <a:lumMod val="50000"/>
                    <a:lumOff val="50000"/>
                  </a:sysClr>
                </a:solidFill>
              </a:defRPr>
            </a:pPr>
            <a:endParaRPr lang="en-US" sz="2000" b="1"/>
          </a:p>
        </c:rich>
      </c:tx>
      <c:layout>
        <c:manualLayout>
          <c:xMode val="edge"/>
          <c:yMode val="edge"/>
          <c:x val="0.16578300939018942"/>
          <c:y val="6.36141546900106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7843790942937"/>
          <c:y val="0.20526860517385484"/>
          <c:w val="0.82146111230480656"/>
          <c:h val="0.60501934581346895"/>
        </c:manualLayout>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Lit>
          </c:val>
          <c:smooth val="0"/>
          <c:extLst>
            <c:ext xmlns:c16="http://schemas.microsoft.com/office/drawing/2014/chart" uri="{C3380CC4-5D6E-409C-BE32-E72D297353CC}">
              <c16:uniqueId val="{00000000-BA9A-4ECA-BA45-152E845C7AF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6316119"/>
        <c:axId val="196320079"/>
      </c:lineChart>
      <c:catAx>
        <c:axId val="1963161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320079"/>
        <c:crosses val="autoZero"/>
        <c:auto val="1"/>
        <c:lblAlgn val="ctr"/>
        <c:lblOffset val="100"/>
        <c:noMultiLvlLbl val="0"/>
      </c:catAx>
      <c:valAx>
        <c:axId val="19632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31611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r>
              <a:rPr lang="en-US" sz="2000" b="1"/>
              <a:t>Hour vs Registered Users</a:t>
            </a:r>
          </a:p>
          <a:p>
            <a:pPr marL="0" marR="0" lvl="0" indent="0" algn="ctr" defTabSz="914400" rtl="0" eaLnBrk="1" fontAlgn="auto" latinLnBrk="0" hangingPunct="1">
              <a:lnSpc>
                <a:spcPct val="100000"/>
              </a:lnSpc>
              <a:spcBef>
                <a:spcPts val="0"/>
              </a:spcBef>
              <a:spcAft>
                <a:spcPts val="0"/>
              </a:spcAft>
              <a:buClrTx/>
              <a:buSzTx/>
              <a:buFontTx/>
              <a:buNone/>
              <a:tabLst/>
              <a:defRPr sz="2000" b="1">
                <a:solidFill>
                  <a:sysClr val="windowText" lastClr="000000">
                    <a:lumMod val="50000"/>
                    <a:lumOff val="50000"/>
                  </a:sysClr>
                </a:solidFill>
              </a:defRPr>
            </a:pPr>
            <a:endParaRPr lang="en-US" sz="2000" b="1"/>
          </a:p>
        </c:rich>
      </c:tx>
      <c:layout>
        <c:manualLayout>
          <c:xMode val="edge"/>
          <c:yMode val="edge"/>
          <c:x val="0.33844611155888976"/>
          <c:y val="4.52755905511811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870516185475"/>
          <c:y val="0.1892107757363663"/>
          <c:w val="0.86214918854802625"/>
          <c:h val="0.61181794983960336"/>
        </c:manualLayout>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Lit>
          </c:val>
          <c:smooth val="0"/>
          <c:extLst>
            <c:ext xmlns:c16="http://schemas.microsoft.com/office/drawing/2014/chart" uri="{C3380CC4-5D6E-409C-BE32-E72D297353CC}">
              <c16:uniqueId val="{00000000-D2C0-4E2A-9DF5-82983454DF4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93733503"/>
        <c:axId val="293733863"/>
      </c:lineChart>
      <c:catAx>
        <c:axId val="2937335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733863"/>
        <c:crosses val="autoZero"/>
        <c:auto val="1"/>
        <c:lblAlgn val="ctr"/>
        <c:lblOffset val="100"/>
        <c:noMultiLvlLbl val="0"/>
      </c:catAx>
      <c:valAx>
        <c:axId val="293733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7335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Season vs Casual Users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13648293963255"/>
          <c:y val="0.26328484981044037"/>
          <c:w val="0.76112270341207344"/>
          <c:h val="0.53774387576552929"/>
        </c:manualLayout>
      </c:layout>
      <c:bar3DChart>
        <c:barDir val="col"/>
        <c:grouping val="clustered"/>
        <c:varyColors val="0"/>
        <c:ser>
          <c:idx val="0"/>
          <c:order val="0"/>
          <c:tx>
            <c:v>Total</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4921</c:v>
              </c:pt>
            </c:numLit>
          </c:val>
          <c:extLst>
            <c:ext xmlns:c16="http://schemas.microsoft.com/office/drawing/2014/chart" uri="{C3380CC4-5D6E-409C-BE32-E72D297353CC}">
              <c16:uniqueId val="{00000000-51F0-40B5-93AF-294C3A867D8F}"/>
            </c:ext>
          </c:extLst>
        </c:ser>
        <c:dLbls>
          <c:showLegendKey val="0"/>
          <c:showVal val="1"/>
          <c:showCatName val="0"/>
          <c:showSerName val="0"/>
          <c:showPercent val="0"/>
          <c:showBubbleSize val="0"/>
        </c:dLbls>
        <c:gapWidth val="150"/>
        <c:shape val="box"/>
        <c:axId val="195052111"/>
        <c:axId val="195052471"/>
        <c:axId val="0"/>
      </c:bar3DChart>
      <c:catAx>
        <c:axId val="19505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471"/>
        <c:crosses val="autoZero"/>
        <c:auto val="1"/>
        <c:lblAlgn val="ctr"/>
        <c:lblOffset val="100"/>
        <c:noMultiLvlLbl val="0"/>
      </c:catAx>
      <c:valAx>
        <c:axId val="195052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Season vs Registered Users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2958143389971"/>
          <c:y val="0.27775105034947556"/>
          <c:w val="0.74580820555325322"/>
          <c:h val="0.51234518762077819"/>
        </c:manualLayout>
      </c:layout>
      <c:bar3DChart>
        <c:barDir val="col"/>
        <c:grouping val="clustered"/>
        <c:varyColors val="0"/>
        <c:ser>
          <c:idx val="0"/>
          <c:order val="0"/>
          <c:tx>
            <c:v>Total</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53383</c:v>
              </c:pt>
            </c:numLit>
          </c:val>
          <c:extLst>
            <c:ext xmlns:c16="http://schemas.microsoft.com/office/drawing/2014/chart" uri="{C3380CC4-5D6E-409C-BE32-E72D297353CC}">
              <c16:uniqueId val="{00000000-D0C0-4794-8B8A-93C00E7420DE}"/>
            </c:ext>
          </c:extLst>
        </c:ser>
        <c:dLbls>
          <c:showLegendKey val="0"/>
          <c:showVal val="1"/>
          <c:showCatName val="0"/>
          <c:showSerName val="0"/>
          <c:showPercent val="0"/>
          <c:showBubbleSize val="0"/>
        </c:dLbls>
        <c:gapWidth val="150"/>
        <c:shape val="box"/>
        <c:axId val="293741423"/>
        <c:axId val="293741063"/>
        <c:axId val="0"/>
      </c:bar3DChart>
      <c:catAx>
        <c:axId val="29374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41063"/>
        <c:crosses val="autoZero"/>
        <c:auto val="1"/>
        <c:lblAlgn val="ctr"/>
        <c:lblOffset val="100"/>
        <c:noMultiLvlLbl val="0"/>
      </c:catAx>
      <c:valAx>
        <c:axId val="293741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montly wise Casual vs Registered Users</a:t>
            </a:r>
            <a:endParaRPr lang="en-US" sz="2000" b="1"/>
          </a:p>
        </c:rich>
      </c:tx>
      <c:layout>
        <c:manualLayout>
          <c:xMode val="edge"/>
          <c:yMode val="edge"/>
          <c:x val="8.6217035489849311E-2"/>
          <c:y val="0.1423352211818350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32314039692406871"/>
          <c:y val="0.42712135528513478"/>
          <c:w val="0.39075655016807115"/>
          <c:h val="0.48595905511811033"/>
        </c:manualLayout>
      </c:layout>
      <c:doughnutChart>
        <c:varyColors val="1"/>
        <c:ser>
          <c:idx val="0"/>
          <c:order val="0"/>
          <c:tx>
            <c:v>Sum of casual users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1-4252-A14C-E6188D459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1-4252-A14C-E6188D45970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1</c:v>
              </c:pt>
              <c:pt idx="1">
                <c:v>2</c:v>
              </c:pt>
            </c:strLit>
          </c:cat>
          <c:val>
            <c:numLit>
              <c:formatCode>General</c:formatCode>
              <c:ptCount val="2"/>
              <c:pt idx="0">
                <c:v>3073</c:v>
              </c:pt>
              <c:pt idx="1">
                <c:v>1848</c:v>
              </c:pt>
            </c:numLit>
          </c:val>
          <c:extLst>
            <c:ext xmlns:c16="http://schemas.microsoft.com/office/drawing/2014/chart" uri="{C3380CC4-5D6E-409C-BE32-E72D297353CC}">
              <c16:uniqueId val="{00000004-C1D1-4252-A14C-E6188D45970A}"/>
            </c:ext>
          </c:extLst>
        </c:ser>
        <c:ser>
          <c:idx val="1"/>
          <c:order val="1"/>
          <c:tx>
            <c:v>Sum of registered users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1D1-4252-A14C-E6188D459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1D1-4252-A14C-E6188D45970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1</c:v>
              </c:pt>
              <c:pt idx="1">
                <c:v>2</c:v>
              </c:pt>
            </c:strLit>
          </c:cat>
          <c:val>
            <c:numLit>
              <c:formatCode>General</c:formatCode>
              <c:ptCount val="2"/>
              <c:pt idx="0">
                <c:v>35116</c:v>
              </c:pt>
              <c:pt idx="1">
                <c:v>18267</c:v>
              </c:pt>
            </c:numLit>
          </c:val>
          <c:extLst>
            <c:ext xmlns:c16="http://schemas.microsoft.com/office/drawing/2014/chart" uri="{C3380CC4-5D6E-409C-BE32-E72D297353CC}">
              <c16:uniqueId val="{00000009-C1D1-4252-A14C-E6188D4597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Season vs Total Rentals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58304</c:v>
              </c:pt>
            </c:numLit>
          </c:val>
          <c:extLst>
            <c:ext xmlns:c16="http://schemas.microsoft.com/office/drawing/2014/chart" uri="{C3380CC4-5D6E-409C-BE32-E72D297353CC}">
              <c16:uniqueId val="{00000000-8FB4-450C-AA11-8AA7CB58BAB7}"/>
            </c:ext>
          </c:extLst>
        </c:ser>
        <c:dLbls>
          <c:showLegendKey val="0"/>
          <c:showVal val="0"/>
          <c:showCatName val="0"/>
          <c:showSerName val="0"/>
          <c:showPercent val="0"/>
          <c:showBubbleSize val="0"/>
        </c:dLbls>
        <c:gapWidth val="160"/>
        <c:overlap val="100"/>
        <c:axId val="13309943"/>
        <c:axId val="13310303"/>
      </c:barChart>
      <c:catAx>
        <c:axId val="13309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303"/>
        <c:crosses val="autoZero"/>
        <c:auto val="1"/>
        <c:lblAlgn val="ctr"/>
        <c:lblOffset val="100"/>
        <c:noMultiLvlLbl val="0"/>
      </c:catAx>
      <c:valAx>
        <c:axId val="1331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montly wise Rentals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1</c:v>
              </c:pt>
              <c:pt idx="1">
                <c:v>2</c:v>
              </c:pt>
            </c:strLit>
          </c:cat>
          <c:val>
            <c:numLit>
              <c:formatCode>General</c:formatCode>
              <c:ptCount val="2"/>
              <c:pt idx="0">
                <c:v>38189</c:v>
              </c:pt>
              <c:pt idx="1">
                <c:v>20115</c:v>
              </c:pt>
            </c:numLit>
          </c:val>
          <c:extLst>
            <c:ext xmlns:c16="http://schemas.microsoft.com/office/drawing/2014/chart" uri="{C3380CC4-5D6E-409C-BE32-E72D297353CC}">
              <c16:uniqueId val="{00000000-934B-47BF-B900-3C5D95D07D97}"/>
            </c:ext>
          </c:extLst>
        </c:ser>
        <c:dLbls>
          <c:dLblPos val="outEnd"/>
          <c:showLegendKey val="0"/>
          <c:showVal val="1"/>
          <c:showCatName val="0"/>
          <c:showSerName val="0"/>
          <c:showPercent val="0"/>
          <c:showBubbleSize val="0"/>
        </c:dLbls>
        <c:gapWidth val="219"/>
        <c:overlap val="-27"/>
        <c:axId val="861469008"/>
        <c:axId val="861470448"/>
      </c:barChart>
      <c:catAx>
        <c:axId val="8614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70448"/>
        <c:crosses val="autoZero"/>
        <c:auto val="1"/>
        <c:lblAlgn val="ctr"/>
        <c:lblOffset val="100"/>
        <c:noMultiLvlLbl val="0"/>
      </c:catAx>
      <c:valAx>
        <c:axId val="86147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vert="horz"/>
          <a:lstStyle/>
          <a:p>
            <a:pPr>
              <a:defRPr sz="2400"/>
            </a:pPr>
            <a:r>
              <a:rPr lang="en-US" sz="2400"/>
              <a:t>Hour vs Rentals</a:t>
            </a:r>
          </a:p>
        </c:rich>
      </c:tx>
      <c:layout>
        <c:manualLayout>
          <c:xMode val="edge"/>
          <c:yMode val="edge"/>
          <c:x val="0.45134156293445843"/>
          <c:y val="4.9549386706588865E-2"/>
        </c:manualLayout>
      </c:layout>
      <c:overlay val="0"/>
      <c:spPr>
        <a:noFill/>
        <a:ln>
          <a:noFill/>
        </a:ln>
        <a:effectLst/>
      </c:sp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4939596092155147"/>
          <c:w val="0.78645603674540687"/>
          <c:h val="0.53774387576552929"/>
        </c:manualLayout>
      </c:layout>
      <c:barChart>
        <c:barDir val="col"/>
        <c:grouping val="clustered"/>
        <c:varyColors val="0"/>
        <c:ser>
          <c:idx val="0"/>
          <c:order val="0"/>
          <c:tx>
            <c:v>Total</c:v>
          </c:tx>
          <c:spPr>
            <a:solidFill>
              <a:schemeClr val="accent1">
                <a:alpha val="70000"/>
              </a:schemeClr>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extLst>
            <c:ext xmlns:c16="http://schemas.microsoft.com/office/drawing/2014/chart" uri="{C3380CC4-5D6E-409C-BE32-E72D297353CC}">
              <c16:uniqueId val="{00000000-E12D-44C3-90B6-FFD2BA5F9D22}"/>
            </c:ext>
          </c:extLst>
        </c:ser>
        <c:dLbls>
          <c:dLblPos val="outEnd"/>
          <c:showLegendKey val="0"/>
          <c:showVal val="1"/>
          <c:showCatName val="0"/>
          <c:showSerName val="0"/>
          <c:showPercent val="0"/>
          <c:showBubbleSize val="0"/>
        </c:dLbls>
        <c:gapWidth val="80"/>
        <c:overlap val="25"/>
        <c:axId val="280964423"/>
        <c:axId val="280964783"/>
      </c:barChart>
      <c:catAx>
        <c:axId val="2809644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vert="horz"/>
          <a:lstStyle/>
          <a:p>
            <a:pPr>
              <a:defRPr/>
            </a:pPr>
            <a:endParaRPr lang="en-US"/>
          </a:p>
        </c:txPr>
        <c:crossAx val="280964783"/>
        <c:crosses val="autoZero"/>
        <c:auto val="1"/>
        <c:lblAlgn val="ctr"/>
        <c:lblOffset val="100"/>
        <c:noMultiLvlLbl val="0"/>
      </c:catAx>
      <c:valAx>
        <c:axId val="2809647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80964423"/>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txPr>
    <a:bodyPr/>
    <a:lstStyle/>
    <a:p>
      <a:pPr>
        <a:defRPr sz="1500"/>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US" sz="1800" b="1" i="0" u="none" strike="noStrike" kern="1200" cap="all" spc="50" baseline="0">
                <a:solidFill>
                  <a:sysClr val="windowText" lastClr="000000">
                    <a:lumMod val="65000"/>
                    <a:lumOff val="35000"/>
                  </a:sysClr>
                </a:solidFill>
              </a:rPr>
              <a:t>RENTALS BY TEMPRATURE CATEGORY</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b="1" i="0" u="none" strike="noStrike" kern="1200" cap="all" spc="50" baseline="0">
              <a:solidFill>
                <a:sysClr val="windowText" lastClr="000000">
                  <a:lumMod val="65000"/>
                  <a:lumOff val="35000"/>
                </a:sysClr>
              </a:solidFill>
            </a:endParaRPr>
          </a:p>
        </c:rich>
      </c:tx>
      <c:layout>
        <c:manualLayout>
          <c:xMode val="edge"/>
          <c:yMode val="edge"/>
          <c:x val="0.26530509188505474"/>
          <c:y val="2.890578818368525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7262603468556101E-2"/>
          <c:y val="0.28436697957043677"/>
          <c:w val="0.55021079119835981"/>
          <c:h val="0.70770139231300333"/>
        </c:manualLayout>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D59-4E07-A69E-82C9F0CAD26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59-4E07-A69E-82C9F0CAD26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D59-4E07-A69E-82C9F0CAD26E}"/>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734</c:v>
              </c:pt>
              <c:pt idx="1">
                <c:v>30740</c:v>
              </c:pt>
              <c:pt idx="2">
                <c:v>26830</c:v>
              </c:pt>
            </c:numLit>
          </c:val>
          <c:extLst>
            <c:ext xmlns:c16="http://schemas.microsoft.com/office/drawing/2014/chart" uri="{C3380CC4-5D6E-409C-BE32-E72D297353CC}">
              <c16:uniqueId val="{00000006-AD59-4E07-A69E-82C9F0CAD2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32098765432112"/>
          <c:y val="0.53442455569059089"/>
          <c:w val="0.33333322598482329"/>
          <c:h val="0.35386199644285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all" spc="50" baseline="0">
                <a:solidFill>
                  <a:sysClr val="windowText" lastClr="000000">
                    <a:lumMod val="65000"/>
                    <a:lumOff val="35000"/>
                  </a:sysClr>
                </a:solidFill>
                <a:latin typeface="+mn-lt"/>
                <a:ea typeface="+mn-ea"/>
                <a:cs typeface="+mn-cs"/>
              </a:defRPr>
            </a:pPr>
            <a:r>
              <a:rPr lang="en-US" sz="2000"/>
              <a:t>Wind Speed Category vs Rentals</a:t>
            </a:r>
          </a:p>
          <a:p>
            <a:pPr marL="0" marR="0" lvl="0" indent="0" algn="ctr" defTabSz="914400" rtl="0" eaLnBrk="1" fontAlgn="auto" latinLnBrk="0" hangingPunct="1">
              <a:lnSpc>
                <a:spcPct val="100000"/>
              </a:lnSpc>
              <a:spcBef>
                <a:spcPts val="0"/>
              </a:spcBef>
              <a:spcAft>
                <a:spcPts val="0"/>
              </a:spcAft>
              <a:buClrTx/>
              <a:buSzTx/>
              <a:buFontTx/>
              <a:buNone/>
              <a:tabLst/>
              <a:defRPr sz="2000">
                <a:solidFill>
                  <a:sysClr val="windowText" lastClr="000000">
                    <a:lumMod val="65000"/>
                    <a:lumOff val="35000"/>
                  </a:sysClr>
                </a:solidFill>
              </a:defRPr>
            </a:pPr>
            <a:endParaRPr lang="en-US" sz="2000"/>
          </a:p>
        </c:rich>
      </c:tx>
      <c:layout>
        <c:manualLayout>
          <c:xMode val="edge"/>
          <c:yMode val="edge"/>
          <c:x val="0.25217131428693323"/>
          <c:y val="7.72785754721836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537660553167053"/>
          <c:y val="0.26557108545930153"/>
          <c:w val="0.37200800820142882"/>
          <c:h val="0.61940449059291558"/>
        </c:manualLayout>
      </c:layout>
      <c:bar3DChart>
        <c:barDir val="bar"/>
        <c:grouping val="clustered"/>
        <c:varyColors val="0"/>
        <c:ser>
          <c:idx val="0"/>
          <c:order val="0"/>
          <c:tx>
            <c:v>Total</c:v>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Calm</c:v>
              </c:pt>
              <c:pt idx="1">
                <c:v>Light Wind</c:v>
              </c:pt>
              <c:pt idx="2">
                <c:v>Moderate Wind</c:v>
              </c:pt>
              <c:pt idx="3">
                <c:v>Strong Wind</c:v>
              </c:pt>
            </c:strLit>
          </c:cat>
          <c:val>
            <c:numLit>
              <c:formatCode>General</c:formatCode>
              <c:ptCount val="4"/>
              <c:pt idx="0">
                <c:v>21605</c:v>
              </c:pt>
              <c:pt idx="1">
                <c:v>24285</c:v>
              </c:pt>
              <c:pt idx="2">
                <c:v>9466</c:v>
              </c:pt>
              <c:pt idx="3">
                <c:v>2948</c:v>
              </c:pt>
            </c:numLit>
          </c:val>
          <c:extLst>
            <c:ext xmlns:c16="http://schemas.microsoft.com/office/drawing/2014/chart" uri="{C3380CC4-5D6E-409C-BE32-E72D297353CC}">
              <c16:uniqueId val="{00000000-49EC-4123-A67F-9064F3AD1275}"/>
            </c:ext>
          </c:extLst>
        </c:ser>
        <c:dLbls>
          <c:showLegendKey val="0"/>
          <c:showVal val="1"/>
          <c:showCatName val="0"/>
          <c:showSerName val="0"/>
          <c:showPercent val="0"/>
          <c:showBubbleSize val="0"/>
        </c:dLbls>
        <c:gapWidth val="150"/>
        <c:gapDepth val="0"/>
        <c:shape val="box"/>
        <c:axId val="284829191"/>
        <c:axId val="284831351"/>
        <c:axId val="0"/>
      </c:bar3DChart>
      <c:catAx>
        <c:axId val="284829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31351"/>
        <c:crosses val="autoZero"/>
        <c:auto val="1"/>
        <c:lblAlgn val="ctr"/>
        <c:lblOffset val="100"/>
        <c:noMultiLvlLbl val="0"/>
      </c:catAx>
      <c:valAx>
        <c:axId val="28483135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29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i="0" u="none" strike="noStrike" baseline="0"/>
              <a:t>Humidity Category vs Rentals</a:t>
            </a:r>
            <a:endParaRPr lang="en-US" sz="2000"/>
          </a:p>
        </c:rich>
      </c:tx>
      <c:layout>
        <c:manualLayout>
          <c:xMode val="edge"/>
          <c:yMode val="edge"/>
          <c:x val="0.1996534503983462"/>
          <c:y val="9.170611965739763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c:v>
              </c:pt>
              <c:pt idx="1">
                <c:v>Low </c:v>
              </c:pt>
              <c:pt idx="2">
                <c:v>Moderate </c:v>
              </c:pt>
              <c:pt idx="3">
                <c:v>Very High </c:v>
              </c:pt>
            </c:strLit>
          </c:cat>
          <c:val>
            <c:numLit>
              <c:formatCode>General</c:formatCode>
              <c:ptCount val="4"/>
              <c:pt idx="0">
                <c:v>20256</c:v>
              </c:pt>
              <c:pt idx="1">
                <c:v>470</c:v>
              </c:pt>
              <c:pt idx="2">
                <c:v>29266</c:v>
              </c:pt>
              <c:pt idx="3">
                <c:v>8312</c:v>
              </c:pt>
            </c:numLit>
          </c:val>
          <c:extLst>
            <c:ext xmlns:c16="http://schemas.microsoft.com/office/drawing/2014/chart" uri="{C3380CC4-5D6E-409C-BE32-E72D297353CC}">
              <c16:uniqueId val="{00000000-282E-4AD4-945A-2A6B24263FB4}"/>
            </c:ext>
          </c:extLst>
        </c:ser>
        <c:dLbls>
          <c:showLegendKey val="0"/>
          <c:showVal val="1"/>
          <c:showCatName val="0"/>
          <c:showSerName val="0"/>
          <c:showPercent val="0"/>
          <c:showBubbleSize val="0"/>
        </c:dLbls>
        <c:gapWidth val="150"/>
        <c:shape val="box"/>
        <c:axId val="284827751"/>
        <c:axId val="204201159"/>
        <c:axId val="0"/>
      </c:bar3DChart>
      <c:catAx>
        <c:axId val="2848277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4201159"/>
        <c:crosses val="autoZero"/>
        <c:auto val="1"/>
        <c:lblAlgn val="ctr"/>
        <c:lblOffset val="100"/>
        <c:noMultiLvlLbl val="0"/>
      </c:catAx>
      <c:valAx>
        <c:axId val="204201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27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Rentals by weather</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Clear</c:v>
              </c:pt>
              <c:pt idx="1">
                <c:v>Misty</c:v>
              </c:pt>
              <c:pt idx="2">
                <c:v>Rainy</c:v>
              </c:pt>
              <c:pt idx="3">
                <c:v>Severe heater</c:v>
              </c:pt>
            </c:strLit>
          </c:cat>
          <c:val>
            <c:numLit>
              <c:formatCode>General</c:formatCode>
              <c:ptCount val="4"/>
              <c:pt idx="0">
                <c:v>37373</c:v>
              </c:pt>
              <c:pt idx="1">
                <c:v>18106</c:v>
              </c:pt>
              <c:pt idx="2">
                <c:v>2789</c:v>
              </c:pt>
              <c:pt idx="3">
                <c:v>36</c:v>
              </c:pt>
            </c:numLit>
          </c:val>
          <c:extLst>
            <c:ext xmlns:c16="http://schemas.microsoft.com/office/drawing/2014/chart" uri="{C3380CC4-5D6E-409C-BE32-E72D297353CC}">
              <c16:uniqueId val="{00000000-9299-4D1E-9A06-251EAE024890}"/>
            </c:ext>
          </c:extLst>
        </c:ser>
        <c:dLbls>
          <c:dLblPos val="outEnd"/>
          <c:showLegendKey val="0"/>
          <c:showVal val="1"/>
          <c:showCatName val="0"/>
          <c:showSerName val="0"/>
          <c:showPercent val="0"/>
          <c:showBubbleSize val="0"/>
        </c:dLbls>
        <c:gapWidth val="100"/>
        <c:overlap val="-24"/>
        <c:axId val="196322599"/>
        <c:axId val="196325839"/>
      </c:barChart>
      <c:catAx>
        <c:axId val="1963225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Weather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96325839"/>
        <c:crosses val="autoZero"/>
        <c:auto val="1"/>
        <c:lblAlgn val="ctr"/>
        <c:lblOffset val="100"/>
        <c:noMultiLvlLbl val="0"/>
      </c:catAx>
      <c:valAx>
        <c:axId val="19632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Rentals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2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1562514</xdr:colOff>
      <xdr:row>20</xdr:row>
      <xdr:rowOff>23329</xdr:rowOff>
    </xdr:from>
    <xdr:to>
      <xdr:col>6</xdr:col>
      <xdr:colOff>867189</xdr:colOff>
      <xdr:row>34</xdr:row>
      <xdr:rowOff>99529</xdr:rowOff>
    </xdr:to>
    <xdr:graphicFrame macro="">
      <xdr:nvGraphicFramePr>
        <xdr:cNvPr id="2" name="Chart 1">
          <a:extLst>
            <a:ext uri="{FF2B5EF4-FFF2-40B4-BE49-F238E27FC236}">
              <a16:creationId xmlns:a16="http://schemas.microsoft.com/office/drawing/2014/main" id="{25E49DC0-A807-49CE-B342-6350FF141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20</xdr:row>
      <xdr:rowOff>0</xdr:rowOff>
    </xdr:from>
    <xdr:to>
      <xdr:col>11</xdr:col>
      <xdr:colOff>590550</xdr:colOff>
      <xdr:row>34</xdr:row>
      <xdr:rowOff>76200</xdr:rowOff>
    </xdr:to>
    <xdr:graphicFrame macro="">
      <xdr:nvGraphicFramePr>
        <xdr:cNvPr id="3" name="Chart 2">
          <a:extLst>
            <a:ext uri="{FF2B5EF4-FFF2-40B4-BE49-F238E27FC236}">
              <a16:creationId xmlns:a16="http://schemas.microsoft.com/office/drawing/2014/main" id="{25B5B6B6-92A6-4FF2-B81B-9B6B24768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1559891</xdr:colOff>
      <xdr:row>34</xdr:row>
      <xdr:rowOff>95250</xdr:rowOff>
    </xdr:from>
    <xdr:to>
      <xdr:col>4</xdr:col>
      <xdr:colOff>1304922</xdr:colOff>
      <xdr:row>48</xdr:row>
      <xdr:rowOff>33338</xdr:rowOff>
    </xdr:to>
    <xdr:graphicFrame macro="">
      <xdr:nvGraphicFramePr>
        <xdr:cNvPr id="4" name="Chart 3">
          <a:extLst>
            <a:ext uri="{FF2B5EF4-FFF2-40B4-BE49-F238E27FC236}">
              <a16:creationId xmlns:a16="http://schemas.microsoft.com/office/drawing/2014/main" id="{2A2498C7-9566-41EA-988F-4FCFFBC29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1314450</xdr:colOff>
      <xdr:row>34</xdr:row>
      <xdr:rowOff>85725</xdr:rowOff>
    </xdr:from>
    <xdr:to>
      <xdr:col>8</xdr:col>
      <xdr:colOff>1028700</xdr:colOff>
      <xdr:row>48</xdr:row>
      <xdr:rowOff>38100</xdr:rowOff>
    </xdr:to>
    <xdr:graphicFrame macro="">
      <xdr:nvGraphicFramePr>
        <xdr:cNvPr id="5" name="Chart 4">
          <a:extLst>
            <a:ext uri="{FF2B5EF4-FFF2-40B4-BE49-F238E27FC236}">
              <a16:creationId xmlns:a16="http://schemas.microsoft.com/office/drawing/2014/main" id="{6FF3456E-A94E-4B08-B4D3-29DE90CEC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1019175</xdr:colOff>
      <xdr:row>34</xdr:row>
      <xdr:rowOff>76199</xdr:rowOff>
    </xdr:from>
    <xdr:to>
      <xdr:col>11</xdr:col>
      <xdr:colOff>600075</xdr:colOff>
      <xdr:row>48</xdr:row>
      <xdr:rowOff>28574</xdr:rowOff>
    </xdr:to>
    <xdr:graphicFrame macro="">
      <xdr:nvGraphicFramePr>
        <xdr:cNvPr id="6" name="Chart 5">
          <a:extLst>
            <a:ext uri="{FF2B5EF4-FFF2-40B4-BE49-F238E27FC236}">
              <a16:creationId xmlns:a16="http://schemas.microsoft.com/office/drawing/2014/main" id="{5E1B2F86-748B-4820-B5A6-10D214297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593587</xdr:colOff>
      <xdr:row>20</xdr:row>
      <xdr:rowOff>27609</xdr:rowOff>
    </xdr:from>
    <xdr:ext cx="1821683" cy="2489983"/>
    <mc:AlternateContent xmlns:mc="http://schemas.openxmlformats.org/markup-compatibility/2006">
      <mc:Choice xmlns:a14="http://schemas.microsoft.com/office/drawing/2010/main" Requires="a14">
        <xdr:graphicFrame macro="">
          <xdr:nvGraphicFramePr>
            <xdr:cNvPr id="7" name="hour">
              <a:extLst>
                <a:ext uri="{FF2B5EF4-FFF2-40B4-BE49-F238E27FC236}">
                  <a16:creationId xmlns:a16="http://schemas.microsoft.com/office/drawing/2014/main" id="{6117CFDC-870E-484D-8194-6D84F41F3145}"/>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16637259" y="5013351"/>
              <a:ext cx="1821683" cy="2489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7433</xdr:colOff>
      <xdr:row>34</xdr:row>
      <xdr:rowOff>74064</xdr:rowOff>
    </xdr:from>
    <xdr:ext cx="1824573" cy="2726194"/>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5FF4D9A1-84F5-46CB-A1CF-0AA31FD39DA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661300" y="7768478"/>
              <a:ext cx="1824573" cy="2726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13804</xdr:colOff>
      <xdr:row>20</xdr:row>
      <xdr:rowOff>27608</xdr:rowOff>
    </xdr:from>
    <xdr:ext cx="1563950" cy="2489983"/>
    <mc:AlternateContent xmlns:mc="http://schemas.openxmlformats.org/markup-compatibility/2006">
      <mc:Choice xmlns:a14="http://schemas.microsoft.com/office/drawing/2010/main" Requires="a14">
        <xdr:graphicFrame macro="">
          <xdr:nvGraphicFramePr>
            <xdr:cNvPr id="9" name="Date Day">
              <a:extLst>
                <a:ext uri="{FF2B5EF4-FFF2-40B4-BE49-F238E27FC236}">
                  <a16:creationId xmlns:a16="http://schemas.microsoft.com/office/drawing/2014/main" id="{5FE376AA-68D6-4395-8462-6FF3B59CEDAF}"/>
                </a:ext>
              </a:extLst>
            </xdr:cNvPr>
            <xdr:cNvGraphicFramePr/>
          </xdr:nvGraphicFramePr>
          <xdr:xfrm>
            <a:off x="0" y="0"/>
            <a:ext cx="0" cy="0"/>
          </xdr:xfrm>
          <a:graphic>
            <a:graphicData uri="http://schemas.microsoft.com/office/drawing/2010/slicer">
              <sle:slicer xmlns:sle="http://schemas.microsoft.com/office/drawing/2010/slicer" name="Date Day"/>
            </a:graphicData>
          </a:graphic>
        </xdr:graphicFrame>
      </mc:Choice>
      <mc:Fallback>
        <xdr:sp macro="" textlink="">
          <xdr:nvSpPr>
            <xdr:cNvPr id="0" name=""/>
            <xdr:cNvSpPr>
              <a:spLocks noTextEdit="1"/>
            </xdr:cNvSpPr>
          </xdr:nvSpPr>
          <xdr:spPr>
            <a:xfrm>
              <a:off x="13804" y="5013350"/>
              <a:ext cx="1563950" cy="2489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18317</xdr:colOff>
      <xdr:row>35</xdr:row>
      <xdr:rowOff>101411</xdr:rowOff>
    </xdr:from>
    <xdr:ext cx="1563950" cy="2717166"/>
    <mc:AlternateContent xmlns:mc="http://schemas.openxmlformats.org/markup-compatibility/2006">
      <mc:Choice xmlns:a14="http://schemas.microsoft.com/office/drawing/2010/main" Requires="a14">
        <xdr:graphicFrame macro="">
          <xdr:nvGraphicFramePr>
            <xdr:cNvPr id="10" name="holiday or not">
              <a:extLst>
                <a:ext uri="{FF2B5EF4-FFF2-40B4-BE49-F238E27FC236}">
                  <a16:creationId xmlns:a16="http://schemas.microsoft.com/office/drawing/2014/main" id="{D947DF85-52DF-4905-A3B7-BD591D7B7F61}"/>
                </a:ext>
              </a:extLst>
            </xdr:cNvPr>
            <xdr:cNvGraphicFramePr/>
          </xdr:nvGraphicFramePr>
          <xdr:xfrm>
            <a:off x="0" y="0"/>
            <a:ext cx="0" cy="0"/>
          </xdr:xfrm>
          <a:graphic>
            <a:graphicData uri="http://schemas.microsoft.com/office/drawing/2010/slicer">
              <sle:slicer xmlns:sle="http://schemas.microsoft.com/office/drawing/2010/slicer" name="holiday or not"/>
            </a:graphicData>
          </a:graphic>
        </xdr:graphicFrame>
      </mc:Choice>
      <mc:Fallback>
        <xdr:sp macro="" textlink="">
          <xdr:nvSpPr>
            <xdr:cNvPr id="0" name=""/>
            <xdr:cNvSpPr>
              <a:spLocks noTextEdit="1"/>
            </xdr:cNvSpPr>
          </xdr:nvSpPr>
          <xdr:spPr>
            <a:xfrm>
              <a:off x="18317" y="7989302"/>
              <a:ext cx="1563950" cy="2717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1546085</xdr:colOff>
      <xdr:row>48</xdr:row>
      <xdr:rowOff>41412</xdr:rowOff>
    </xdr:from>
    <xdr:to>
      <xdr:col>4</xdr:col>
      <xdr:colOff>1297608</xdr:colOff>
      <xdr:row>61</xdr:row>
      <xdr:rowOff>193260</xdr:rowOff>
    </xdr:to>
    <xdr:graphicFrame macro="">
      <xdr:nvGraphicFramePr>
        <xdr:cNvPr id="11" name="Chart 10">
          <a:extLst>
            <a:ext uri="{FF2B5EF4-FFF2-40B4-BE49-F238E27FC236}">
              <a16:creationId xmlns:a16="http://schemas.microsoft.com/office/drawing/2014/main" id="{FD6D3D19-566E-4A9A-8592-89CEE9BFC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1311414</xdr:colOff>
      <xdr:row>48</xdr:row>
      <xdr:rowOff>41413</xdr:rowOff>
    </xdr:from>
    <xdr:to>
      <xdr:col>7</xdr:col>
      <xdr:colOff>213491</xdr:colOff>
      <xdr:row>62</xdr:row>
      <xdr:rowOff>0</xdr:rowOff>
    </xdr:to>
    <xdr:graphicFrame macro="">
      <xdr:nvGraphicFramePr>
        <xdr:cNvPr id="12" name="Chart 11">
          <a:extLst>
            <a:ext uri="{FF2B5EF4-FFF2-40B4-BE49-F238E27FC236}">
              <a16:creationId xmlns:a16="http://schemas.microsoft.com/office/drawing/2014/main" id="{B31462A8-16C7-431C-A595-7ECA2E445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1546086</xdr:colOff>
      <xdr:row>62</xdr:row>
      <xdr:rowOff>13804</xdr:rowOff>
    </xdr:from>
    <xdr:to>
      <xdr:col>12</xdr:col>
      <xdr:colOff>55217</xdr:colOff>
      <xdr:row>76</xdr:row>
      <xdr:rowOff>129640</xdr:rowOff>
    </xdr:to>
    <xdr:graphicFrame macro="">
      <xdr:nvGraphicFramePr>
        <xdr:cNvPr id="13" name="Chart 12">
          <a:extLst>
            <a:ext uri="{FF2B5EF4-FFF2-40B4-BE49-F238E27FC236}">
              <a16:creationId xmlns:a16="http://schemas.microsoft.com/office/drawing/2014/main" id="{9EB95A69-8AA9-419C-BB67-5DEEAE5DE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1546088</xdr:colOff>
      <xdr:row>76</xdr:row>
      <xdr:rowOff>138043</xdr:rowOff>
    </xdr:from>
    <xdr:to>
      <xdr:col>4</xdr:col>
      <xdr:colOff>1049131</xdr:colOff>
      <xdr:row>94</xdr:row>
      <xdr:rowOff>43296</xdr:rowOff>
    </xdr:to>
    <xdr:graphicFrame macro="">
      <xdr:nvGraphicFramePr>
        <xdr:cNvPr id="14" name="Chart 13">
          <a:extLst>
            <a:ext uri="{FF2B5EF4-FFF2-40B4-BE49-F238E27FC236}">
              <a16:creationId xmlns:a16="http://schemas.microsoft.com/office/drawing/2014/main" id="{80978423-CC0F-4CF0-AED7-E01D7345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1035326</xdr:colOff>
      <xdr:row>76</xdr:row>
      <xdr:rowOff>124239</xdr:rowOff>
    </xdr:from>
    <xdr:to>
      <xdr:col>8</xdr:col>
      <xdr:colOff>405572</xdr:colOff>
      <xdr:row>94</xdr:row>
      <xdr:rowOff>43296</xdr:rowOff>
    </xdr:to>
    <xdr:graphicFrame macro="">
      <xdr:nvGraphicFramePr>
        <xdr:cNvPr id="15" name="Chart 14">
          <a:extLst>
            <a:ext uri="{FF2B5EF4-FFF2-40B4-BE49-F238E27FC236}">
              <a16:creationId xmlns:a16="http://schemas.microsoft.com/office/drawing/2014/main" id="{2A01A741-82B9-4AA2-9F33-508923563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400326</xdr:colOff>
      <xdr:row>76</xdr:row>
      <xdr:rowOff>151848</xdr:rowOff>
    </xdr:from>
    <xdr:to>
      <xdr:col>12</xdr:col>
      <xdr:colOff>67367</xdr:colOff>
      <xdr:row>94</xdr:row>
      <xdr:rowOff>28864</xdr:rowOff>
    </xdr:to>
    <xdr:graphicFrame macro="">
      <xdr:nvGraphicFramePr>
        <xdr:cNvPr id="16" name="Chart 15">
          <a:extLst>
            <a:ext uri="{FF2B5EF4-FFF2-40B4-BE49-F238E27FC236}">
              <a16:creationId xmlns:a16="http://schemas.microsoft.com/office/drawing/2014/main" id="{BAD7CEB8-67CB-4744-B15D-935F82712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11</xdr:col>
      <xdr:colOff>604471</xdr:colOff>
      <xdr:row>48</xdr:row>
      <xdr:rowOff>124431</xdr:rowOff>
    </xdr:from>
    <xdr:ext cx="1836310" cy="2880165"/>
    <mc:AlternateContent xmlns:mc="http://schemas.openxmlformats.org/markup-compatibility/2006">
      <mc:Choice xmlns:a14="http://schemas.microsoft.com/office/drawing/2010/main" Requires="a14">
        <xdr:graphicFrame macro="">
          <xdr:nvGraphicFramePr>
            <xdr:cNvPr id="17" name="weather situation">
              <a:extLst>
                <a:ext uri="{FF2B5EF4-FFF2-40B4-BE49-F238E27FC236}">
                  <a16:creationId xmlns:a16="http://schemas.microsoft.com/office/drawing/2014/main" id="{4A935700-B5C1-4456-AD89-5BF77765D492}"/>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dr:sp macro="" textlink="">
          <xdr:nvSpPr>
            <xdr:cNvPr id="0" name=""/>
            <xdr:cNvSpPr>
              <a:spLocks noTextEdit="1"/>
            </xdr:cNvSpPr>
          </xdr:nvSpPr>
          <xdr:spPr>
            <a:xfrm>
              <a:off x="16648143" y="10527517"/>
              <a:ext cx="1836310" cy="288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229914</xdr:colOff>
      <xdr:row>48</xdr:row>
      <xdr:rowOff>49267</xdr:rowOff>
    </xdr:from>
    <xdr:to>
      <xdr:col>12</xdr:col>
      <xdr:colOff>1</xdr:colOff>
      <xdr:row>62</xdr:row>
      <xdr:rowOff>14432</xdr:rowOff>
    </xdr:to>
    <xdr:graphicFrame macro="">
      <xdr:nvGraphicFramePr>
        <xdr:cNvPr id="18" name="Chart 17">
          <a:extLst>
            <a:ext uri="{FF2B5EF4-FFF2-40B4-BE49-F238E27FC236}">
              <a16:creationId xmlns:a16="http://schemas.microsoft.com/office/drawing/2014/main" id="{1398918A-492C-449A-A3C4-C85AA0A8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WORKBOOK5.xlsx" TargetMode="External"/><Relationship Id="rId1" Type="http://schemas.openxmlformats.org/officeDocument/2006/relationships/externalLinkPath" Target="WORKBOOK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1+2+3)"/>
    </sheetNames>
    <sheetDataSet>
      <sheetData sheetId="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20rider%20data%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bohra" refreshedDate="46218.715256249998" createdVersion="8" refreshedVersion="8" minRefreshableVersion="3" recordCount="1000" xr:uid="{C3E5E512-F070-455D-94A3-F093AEA369F2}">
  <cacheSource type="worksheet">
    <worksheetSource name="dataset_1" r:id="rId2"/>
  </cacheSource>
  <cacheFields count="24">
    <cacheField name="instant" numFmtId="0">
      <sharedItems containsSemiMixedTypes="0" containsString="0" containsNumber="1" containsInteger="1" minValue="1" maxValue="1000"/>
    </cacheField>
    <cacheField name="Date 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of the year"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session of day" numFmtId="0">
      <sharedItems count="4">
        <s v="Night"/>
        <s v="Morning"/>
        <s v="Afternoon"/>
        <s v="Evening"/>
      </sharedItems>
    </cacheField>
    <cacheField name="holiday or not" numFmtId="0">
      <sharedItems containsSemiMixedTypes="0" containsString="0" containsNumber="1" containsInteger="1" minValue="0" maxValue="1" count="2">
        <n v="0"/>
        <n v="1"/>
      </sharedItems>
    </cacheField>
    <cacheField name="Day of the week" numFmtId="0">
      <sharedItems containsSemiMixedTypes="0" containsString="0" containsNumber="1" containsInteger="1" minValue="0" maxValue="6"/>
    </cacheField>
    <cacheField name="day name" numFmtId="0">
      <sharedItems/>
    </cacheField>
    <cacheField name="weather situation" numFmtId="0">
      <sharedItems containsSemiMixedTypes="0" containsString="0" containsNumber="1" containsInteger="1" minValue="1" maxValue="4" count="4">
        <n v="1"/>
        <n v="2"/>
        <n v="3"/>
        <n v="4"/>
      </sharedItems>
    </cacheField>
    <cacheField name="weather category" numFmtId="0">
      <sharedItems count="4">
        <s v="Clear"/>
        <s v="Misty"/>
        <s v="Rainy"/>
        <s v="Severe heater"/>
      </sharedItems>
    </cacheField>
    <cacheField name="Temprature" numFmtId="0">
      <sharedItems containsSemiMixedTypes="0" containsString="0" containsNumber="1" minValue="0.02" maxValue="0.46"/>
    </cacheField>
    <cacheField name="Temprature category" numFmtId="0">
      <sharedItems count="3">
        <s v="Mid"/>
        <s v="Low"/>
        <s v="High"/>
      </sharedItems>
    </cacheField>
    <cacheField name="Apparent Temperature" numFmtId="0">
      <sharedItems containsSemiMixedTypes="0" containsString="0" containsNumber="1" minValue="0" maxValue="0.45450000000000002"/>
    </cacheField>
    <cacheField name="  AT category" numFmtId="0">
      <sharedItems/>
    </cacheField>
    <cacheField name="Humidity" numFmtId="0">
      <sharedItems containsSemiMixedTypes="0" containsString="0" containsNumber="1" minValue="0.21" maxValue="1"/>
    </cacheField>
    <cacheField name="humidity category" numFmtId="0">
      <sharedItems count="4">
        <s v="Very High "/>
        <s v="High "/>
        <s v="Moderate "/>
        <s v="Low "/>
      </sharedItems>
    </cacheField>
    <cacheField name="windspeed" numFmtId="0">
      <sharedItems containsSemiMixedTypes="0" containsString="0" containsNumber="1" minValue="0" maxValue="0.58209999999999995"/>
    </cacheField>
    <cacheField name="windspeed category" numFmtId="0">
      <sharedItems count="4">
        <s v="Calm"/>
        <s v="Light Wind"/>
        <s v="Moderate Wind"/>
        <s v="Strong Wind"/>
      </sharedItems>
    </cacheField>
    <cacheField name="casual user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users"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rental demand category" numFmtId="0">
      <sharedItems/>
    </cacheField>
  </cacheFields>
  <extLst>
    <ext xmlns:x14="http://schemas.microsoft.com/office/spreadsheetml/2009/9/main" uri="{725AE2AE-9491-48be-B2B4-4EB974FC3084}">
      <x14:pivotCacheDefinition pivotCacheId="437003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n v="6"/>
    <s v="Sunday"/>
    <x v="0"/>
    <x v="0"/>
    <n v="0.24"/>
    <x v="0"/>
    <n v="0.28789999999999999"/>
    <s v="Cold"/>
    <n v="0.81"/>
    <x v="0"/>
    <n v="0"/>
    <x v="0"/>
    <x v="0"/>
    <n v="13"/>
    <n v="16"/>
    <s v="Low Demand"/>
  </r>
  <r>
    <n v="2"/>
    <x v="0"/>
    <x v="0"/>
    <x v="0"/>
    <x v="0"/>
    <x v="1"/>
    <x v="0"/>
    <x v="0"/>
    <n v="6"/>
    <s v="Sunday"/>
    <x v="0"/>
    <x v="0"/>
    <n v="0.22"/>
    <x v="0"/>
    <n v="0.2727"/>
    <s v="Cold"/>
    <n v="0.8"/>
    <x v="0"/>
    <n v="0"/>
    <x v="0"/>
    <x v="1"/>
    <n v="32"/>
    <n v="40"/>
    <s v="Low Demand"/>
  </r>
  <r>
    <n v="3"/>
    <x v="0"/>
    <x v="0"/>
    <x v="0"/>
    <x v="0"/>
    <x v="2"/>
    <x v="0"/>
    <x v="0"/>
    <n v="6"/>
    <s v="Sunday"/>
    <x v="0"/>
    <x v="0"/>
    <n v="0.22"/>
    <x v="0"/>
    <n v="0.2727"/>
    <s v="Cold"/>
    <n v="0.8"/>
    <x v="0"/>
    <n v="0"/>
    <x v="0"/>
    <x v="2"/>
    <n v="27"/>
    <n v="32"/>
    <s v="Low Demand"/>
  </r>
  <r>
    <n v="4"/>
    <x v="0"/>
    <x v="0"/>
    <x v="0"/>
    <x v="0"/>
    <x v="3"/>
    <x v="0"/>
    <x v="0"/>
    <n v="6"/>
    <s v="Sunday"/>
    <x v="0"/>
    <x v="0"/>
    <n v="0.24"/>
    <x v="0"/>
    <n v="0.28789999999999999"/>
    <s v="Cold"/>
    <n v="0.75"/>
    <x v="1"/>
    <n v="0"/>
    <x v="0"/>
    <x v="0"/>
    <n v="10"/>
    <n v="13"/>
    <s v="Low Demand"/>
  </r>
  <r>
    <n v="5"/>
    <x v="0"/>
    <x v="0"/>
    <x v="0"/>
    <x v="0"/>
    <x v="4"/>
    <x v="0"/>
    <x v="0"/>
    <n v="6"/>
    <s v="Sunday"/>
    <x v="0"/>
    <x v="0"/>
    <n v="0.24"/>
    <x v="0"/>
    <n v="0.28789999999999999"/>
    <s v="Cold"/>
    <n v="0.75"/>
    <x v="1"/>
    <n v="0"/>
    <x v="0"/>
    <x v="3"/>
    <n v="1"/>
    <n v="1"/>
    <s v="Low Demand"/>
  </r>
  <r>
    <n v="6"/>
    <x v="0"/>
    <x v="0"/>
    <x v="0"/>
    <x v="0"/>
    <x v="5"/>
    <x v="0"/>
    <x v="0"/>
    <n v="6"/>
    <s v="Sunday"/>
    <x v="1"/>
    <x v="1"/>
    <n v="0.24"/>
    <x v="0"/>
    <n v="0.2576"/>
    <s v="Cold"/>
    <n v="0.75"/>
    <x v="1"/>
    <n v="8.9599999999999999E-2"/>
    <x v="0"/>
    <x v="3"/>
    <n v="1"/>
    <n v="1"/>
    <s v="Low Demand"/>
  </r>
  <r>
    <n v="7"/>
    <x v="0"/>
    <x v="0"/>
    <x v="0"/>
    <x v="0"/>
    <x v="6"/>
    <x v="1"/>
    <x v="0"/>
    <n v="6"/>
    <s v="Sunday"/>
    <x v="0"/>
    <x v="0"/>
    <n v="0.22"/>
    <x v="0"/>
    <n v="0.2727"/>
    <s v="Cold"/>
    <n v="0.8"/>
    <x v="0"/>
    <n v="0"/>
    <x v="0"/>
    <x v="4"/>
    <n v="0"/>
    <n v="2"/>
    <s v="Low Demand"/>
  </r>
  <r>
    <n v="8"/>
    <x v="0"/>
    <x v="0"/>
    <x v="0"/>
    <x v="0"/>
    <x v="7"/>
    <x v="1"/>
    <x v="0"/>
    <n v="6"/>
    <s v="Sunday"/>
    <x v="0"/>
    <x v="0"/>
    <n v="0.2"/>
    <x v="1"/>
    <n v="0.2576"/>
    <s v="Cold"/>
    <n v="0.86"/>
    <x v="0"/>
    <n v="0"/>
    <x v="0"/>
    <x v="5"/>
    <n v="2"/>
    <n v="3"/>
    <s v="Low Demand"/>
  </r>
  <r>
    <n v="9"/>
    <x v="0"/>
    <x v="0"/>
    <x v="0"/>
    <x v="0"/>
    <x v="8"/>
    <x v="1"/>
    <x v="0"/>
    <n v="6"/>
    <s v="Sunday"/>
    <x v="0"/>
    <x v="0"/>
    <n v="0.24"/>
    <x v="0"/>
    <n v="0.30304999999999999"/>
    <s v="Pleasant"/>
    <n v="0.75"/>
    <x v="1"/>
    <n v="0"/>
    <x v="0"/>
    <x v="5"/>
    <n v="7"/>
    <n v="8"/>
    <s v="Low Demand"/>
  </r>
  <r>
    <n v="10"/>
    <x v="0"/>
    <x v="0"/>
    <x v="0"/>
    <x v="0"/>
    <x v="9"/>
    <x v="1"/>
    <x v="0"/>
    <n v="6"/>
    <s v="Sunday"/>
    <x v="0"/>
    <x v="0"/>
    <n v="0.32"/>
    <x v="0"/>
    <n v="0.34849999999999998"/>
    <s v="Pleasant"/>
    <n v="0.76"/>
    <x v="0"/>
    <n v="0"/>
    <x v="0"/>
    <x v="1"/>
    <n v="6"/>
    <n v="14"/>
    <s v="Low Demand"/>
  </r>
  <r>
    <n v="11"/>
    <x v="0"/>
    <x v="0"/>
    <x v="0"/>
    <x v="0"/>
    <x v="10"/>
    <x v="1"/>
    <x v="0"/>
    <n v="6"/>
    <s v="Sunday"/>
    <x v="0"/>
    <x v="0"/>
    <n v="0.38"/>
    <x v="0"/>
    <n v="0.39389999999999997"/>
    <s v="Pleasant"/>
    <n v="0.76"/>
    <x v="0"/>
    <n v="0.25369999999999998"/>
    <x v="1"/>
    <x v="6"/>
    <n v="24"/>
    <n v="36"/>
    <s v="Low Demand"/>
  </r>
  <r>
    <n v="12"/>
    <x v="0"/>
    <x v="0"/>
    <x v="0"/>
    <x v="0"/>
    <x v="11"/>
    <x v="1"/>
    <x v="0"/>
    <n v="6"/>
    <s v="Sunday"/>
    <x v="0"/>
    <x v="0"/>
    <n v="0.36"/>
    <x v="0"/>
    <n v="0.33329999999999999"/>
    <s v="Pleasant"/>
    <n v="0.81"/>
    <x v="0"/>
    <n v="0.28360000000000002"/>
    <x v="1"/>
    <x v="7"/>
    <n v="30"/>
    <n v="56"/>
    <s v="Low Demand"/>
  </r>
  <r>
    <n v="13"/>
    <x v="0"/>
    <x v="0"/>
    <x v="0"/>
    <x v="0"/>
    <x v="12"/>
    <x v="2"/>
    <x v="0"/>
    <n v="6"/>
    <s v="Sunday"/>
    <x v="0"/>
    <x v="0"/>
    <n v="0.42"/>
    <x v="2"/>
    <n v="0.42420000000000002"/>
    <s v="Pleasant"/>
    <n v="0.77"/>
    <x v="0"/>
    <n v="0.28360000000000002"/>
    <x v="1"/>
    <x v="8"/>
    <n v="55"/>
    <n v="84"/>
    <s v="Medium Demand"/>
  </r>
  <r>
    <n v="14"/>
    <x v="0"/>
    <x v="0"/>
    <x v="0"/>
    <x v="0"/>
    <x v="13"/>
    <x v="2"/>
    <x v="0"/>
    <n v="6"/>
    <s v="Sunday"/>
    <x v="1"/>
    <x v="1"/>
    <n v="0.46"/>
    <x v="2"/>
    <n v="0.45450000000000002"/>
    <s v="Hot"/>
    <n v="0.72"/>
    <x v="1"/>
    <n v="0.29849999999999999"/>
    <x v="1"/>
    <x v="9"/>
    <n v="47"/>
    <n v="94"/>
    <s v="Medium Demand"/>
  </r>
  <r>
    <n v="15"/>
    <x v="0"/>
    <x v="0"/>
    <x v="0"/>
    <x v="0"/>
    <x v="14"/>
    <x v="2"/>
    <x v="0"/>
    <n v="6"/>
    <s v="Sunday"/>
    <x v="1"/>
    <x v="1"/>
    <n v="0.46"/>
    <x v="2"/>
    <n v="0.45450000000000002"/>
    <s v="Hot"/>
    <n v="0.72"/>
    <x v="1"/>
    <n v="0.28360000000000002"/>
    <x v="1"/>
    <x v="10"/>
    <n v="71"/>
    <n v="106"/>
    <s v="Medium Demand"/>
  </r>
  <r>
    <n v="16"/>
    <x v="0"/>
    <x v="0"/>
    <x v="0"/>
    <x v="0"/>
    <x v="15"/>
    <x v="2"/>
    <x v="0"/>
    <n v="6"/>
    <s v="Sunday"/>
    <x v="1"/>
    <x v="1"/>
    <n v="0.44"/>
    <x v="2"/>
    <n v="0.43940000000000001"/>
    <s v="Pleasant"/>
    <n v="0.77"/>
    <x v="0"/>
    <n v="0.29849999999999999"/>
    <x v="1"/>
    <x v="11"/>
    <n v="70"/>
    <n v="110"/>
    <s v="Medium Demand"/>
  </r>
  <r>
    <n v="17"/>
    <x v="0"/>
    <x v="0"/>
    <x v="0"/>
    <x v="0"/>
    <x v="16"/>
    <x v="2"/>
    <x v="0"/>
    <n v="6"/>
    <s v="Sunday"/>
    <x v="1"/>
    <x v="1"/>
    <n v="0.42"/>
    <x v="2"/>
    <n v="0.42420000000000002"/>
    <s v="Pleasant"/>
    <n v="0.82"/>
    <x v="0"/>
    <n v="0.29849999999999999"/>
    <x v="1"/>
    <x v="12"/>
    <n v="52"/>
    <n v="93"/>
    <s v="Medium Demand"/>
  </r>
  <r>
    <n v="18"/>
    <x v="0"/>
    <x v="0"/>
    <x v="0"/>
    <x v="0"/>
    <x v="17"/>
    <x v="2"/>
    <x v="0"/>
    <n v="6"/>
    <s v="Sunday"/>
    <x v="1"/>
    <x v="1"/>
    <n v="0.44"/>
    <x v="2"/>
    <n v="0.42420000000000002"/>
    <s v="Pleasant"/>
    <n v="0.82"/>
    <x v="0"/>
    <n v="0.28360000000000002"/>
    <x v="1"/>
    <x v="13"/>
    <n v="52"/>
    <n v="67"/>
    <s v="Low Demand"/>
  </r>
  <r>
    <n v="19"/>
    <x v="0"/>
    <x v="0"/>
    <x v="0"/>
    <x v="0"/>
    <x v="18"/>
    <x v="3"/>
    <x v="0"/>
    <n v="6"/>
    <s v="Sunday"/>
    <x v="2"/>
    <x v="2"/>
    <n v="0.42"/>
    <x v="2"/>
    <n v="0.42420000000000002"/>
    <s v="Pleasant"/>
    <n v="0.88"/>
    <x v="0"/>
    <n v="0.25369999999999998"/>
    <x v="1"/>
    <x v="14"/>
    <n v="26"/>
    <n v="35"/>
    <s v="Low Demand"/>
  </r>
  <r>
    <n v="20"/>
    <x v="0"/>
    <x v="0"/>
    <x v="0"/>
    <x v="0"/>
    <x v="19"/>
    <x v="3"/>
    <x v="0"/>
    <n v="6"/>
    <s v="Sunday"/>
    <x v="2"/>
    <x v="2"/>
    <n v="0.42"/>
    <x v="2"/>
    <n v="0.42420000000000002"/>
    <s v="Pleasant"/>
    <n v="0.88"/>
    <x v="0"/>
    <n v="0.25369999999999998"/>
    <x v="1"/>
    <x v="15"/>
    <n v="31"/>
    <n v="37"/>
    <s v="Low Demand"/>
  </r>
  <r>
    <n v="21"/>
    <x v="0"/>
    <x v="0"/>
    <x v="0"/>
    <x v="0"/>
    <x v="20"/>
    <x v="3"/>
    <x v="0"/>
    <n v="6"/>
    <s v="Sunday"/>
    <x v="1"/>
    <x v="1"/>
    <n v="0.4"/>
    <x v="0"/>
    <n v="0.40910000000000002"/>
    <s v="Pleasant"/>
    <n v="0.87"/>
    <x v="0"/>
    <n v="0.25369999999999998"/>
    <x v="1"/>
    <x v="16"/>
    <n v="25"/>
    <n v="36"/>
    <s v="Low Demand"/>
  </r>
  <r>
    <n v="22"/>
    <x v="0"/>
    <x v="0"/>
    <x v="0"/>
    <x v="0"/>
    <x v="21"/>
    <x v="3"/>
    <x v="0"/>
    <n v="6"/>
    <s v="Sunday"/>
    <x v="1"/>
    <x v="1"/>
    <n v="0.4"/>
    <x v="0"/>
    <n v="0.40910000000000002"/>
    <s v="Pleasant"/>
    <n v="0.87"/>
    <x v="0"/>
    <n v="0.19400000000000001"/>
    <x v="1"/>
    <x v="0"/>
    <n v="31"/>
    <n v="34"/>
    <s v="Low Demand"/>
  </r>
  <r>
    <n v="23"/>
    <x v="0"/>
    <x v="0"/>
    <x v="0"/>
    <x v="0"/>
    <x v="22"/>
    <x v="3"/>
    <x v="0"/>
    <n v="6"/>
    <s v="Sunday"/>
    <x v="1"/>
    <x v="1"/>
    <n v="0.4"/>
    <x v="0"/>
    <n v="0.40910000000000002"/>
    <s v="Pleasant"/>
    <n v="0.94"/>
    <x v="0"/>
    <n v="0.22389999999999999"/>
    <x v="1"/>
    <x v="16"/>
    <n v="17"/>
    <n v="28"/>
    <s v="Low Demand"/>
  </r>
  <r>
    <n v="24"/>
    <x v="0"/>
    <x v="0"/>
    <x v="0"/>
    <x v="0"/>
    <x v="23"/>
    <x v="3"/>
    <x v="0"/>
    <n v="6"/>
    <s v="Sunday"/>
    <x v="1"/>
    <x v="1"/>
    <n v="0.46"/>
    <x v="2"/>
    <n v="0.43180000000000002"/>
    <s v="Pleasant"/>
    <n v="0.88"/>
    <x v="0"/>
    <n v="0.29849999999999999"/>
    <x v="1"/>
    <x v="13"/>
    <n v="24"/>
    <n v="39"/>
    <s v="Low Demand"/>
  </r>
  <r>
    <n v="25"/>
    <x v="1"/>
    <x v="0"/>
    <x v="0"/>
    <x v="0"/>
    <x v="0"/>
    <x v="0"/>
    <x v="0"/>
    <n v="0"/>
    <s v="Monday"/>
    <x v="1"/>
    <x v="1"/>
    <n v="0.46"/>
    <x v="2"/>
    <n v="0.45450000000000002"/>
    <s v="Hot"/>
    <n v="0.88"/>
    <x v="0"/>
    <n v="0.29849999999999999"/>
    <x v="1"/>
    <x v="17"/>
    <n v="13"/>
    <n v="17"/>
    <s v="Low Demand"/>
  </r>
  <r>
    <n v="26"/>
    <x v="1"/>
    <x v="0"/>
    <x v="0"/>
    <x v="0"/>
    <x v="1"/>
    <x v="0"/>
    <x v="0"/>
    <n v="0"/>
    <s v="Monday"/>
    <x v="1"/>
    <x v="1"/>
    <n v="0.44"/>
    <x v="2"/>
    <n v="0.43940000000000001"/>
    <s v="Pleasant"/>
    <n v="0.94"/>
    <x v="0"/>
    <n v="0.25369999999999998"/>
    <x v="1"/>
    <x v="5"/>
    <n v="16"/>
    <n v="17"/>
    <s v="Low Demand"/>
  </r>
  <r>
    <n v="27"/>
    <x v="1"/>
    <x v="0"/>
    <x v="0"/>
    <x v="0"/>
    <x v="2"/>
    <x v="0"/>
    <x v="0"/>
    <n v="0"/>
    <s v="Monday"/>
    <x v="1"/>
    <x v="1"/>
    <n v="0.42"/>
    <x v="2"/>
    <n v="0.42420000000000002"/>
    <s v="Pleasant"/>
    <n v="1"/>
    <x v="0"/>
    <n v="0.28360000000000002"/>
    <x v="1"/>
    <x v="5"/>
    <n v="8"/>
    <n v="9"/>
    <s v="Low Demand"/>
  </r>
  <r>
    <n v="28"/>
    <x v="1"/>
    <x v="0"/>
    <x v="0"/>
    <x v="0"/>
    <x v="3"/>
    <x v="0"/>
    <x v="0"/>
    <n v="0"/>
    <s v="Monday"/>
    <x v="1"/>
    <x v="1"/>
    <n v="0.46"/>
    <x v="2"/>
    <n v="0.45450000000000002"/>
    <s v="Hot"/>
    <n v="0.94"/>
    <x v="0"/>
    <n v="0.19400000000000001"/>
    <x v="1"/>
    <x v="4"/>
    <n v="4"/>
    <n v="6"/>
    <s v="Low Demand"/>
  </r>
  <r>
    <n v="29"/>
    <x v="1"/>
    <x v="0"/>
    <x v="0"/>
    <x v="0"/>
    <x v="4"/>
    <x v="0"/>
    <x v="0"/>
    <n v="0"/>
    <s v="Monday"/>
    <x v="1"/>
    <x v="1"/>
    <n v="0.46"/>
    <x v="2"/>
    <n v="0.43935000000000002"/>
    <s v="Pleasant"/>
    <n v="0.94"/>
    <x v="0"/>
    <n v="0.19400000000000001"/>
    <x v="1"/>
    <x v="4"/>
    <n v="1"/>
    <n v="3"/>
    <s v="Low Demand"/>
  </r>
  <r>
    <n v="30"/>
    <x v="1"/>
    <x v="0"/>
    <x v="0"/>
    <x v="0"/>
    <x v="6"/>
    <x v="1"/>
    <x v="0"/>
    <n v="0"/>
    <s v="Monday"/>
    <x v="2"/>
    <x v="2"/>
    <n v="0.42"/>
    <x v="2"/>
    <n v="0.42420000000000002"/>
    <s v="Pleasant"/>
    <n v="0.77"/>
    <x v="0"/>
    <n v="0.29849999999999999"/>
    <x v="1"/>
    <x v="3"/>
    <n v="2"/>
    <n v="2"/>
    <s v="Low Demand"/>
  </r>
  <r>
    <n v="31"/>
    <x v="1"/>
    <x v="0"/>
    <x v="0"/>
    <x v="0"/>
    <x v="7"/>
    <x v="1"/>
    <x v="0"/>
    <n v="0"/>
    <s v="Monday"/>
    <x v="1"/>
    <x v="1"/>
    <n v="0.4"/>
    <x v="0"/>
    <n v="0.40910000000000002"/>
    <s v="Pleasant"/>
    <n v="0.76"/>
    <x v="0"/>
    <n v="0.19400000000000001"/>
    <x v="1"/>
    <x v="3"/>
    <n v="1"/>
    <n v="1"/>
    <s v="Low Demand"/>
  </r>
  <r>
    <n v="32"/>
    <x v="1"/>
    <x v="0"/>
    <x v="0"/>
    <x v="0"/>
    <x v="8"/>
    <x v="1"/>
    <x v="0"/>
    <n v="0"/>
    <s v="Monday"/>
    <x v="2"/>
    <x v="2"/>
    <n v="0.4"/>
    <x v="0"/>
    <n v="0.40910000000000002"/>
    <s v="Pleasant"/>
    <n v="0.71"/>
    <x v="1"/>
    <n v="0.22389999999999999"/>
    <x v="1"/>
    <x v="3"/>
    <n v="8"/>
    <n v="8"/>
    <s v="Low Demand"/>
  </r>
  <r>
    <n v="33"/>
    <x v="1"/>
    <x v="0"/>
    <x v="0"/>
    <x v="0"/>
    <x v="9"/>
    <x v="1"/>
    <x v="0"/>
    <n v="0"/>
    <s v="Monday"/>
    <x v="1"/>
    <x v="1"/>
    <n v="0.38"/>
    <x v="0"/>
    <n v="0.37880000000000003"/>
    <s v="Pleasant"/>
    <n v="0.76"/>
    <x v="0"/>
    <n v="0.22389999999999999"/>
    <x v="1"/>
    <x v="5"/>
    <n v="19"/>
    <n v="20"/>
    <s v="Low Demand"/>
  </r>
  <r>
    <n v="34"/>
    <x v="1"/>
    <x v="0"/>
    <x v="0"/>
    <x v="0"/>
    <x v="10"/>
    <x v="1"/>
    <x v="0"/>
    <n v="0"/>
    <s v="Monday"/>
    <x v="1"/>
    <x v="1"/>
    <n v="0.36"/>
    <x v="0"/>
    <n v="0.34849999999999998"/>
    <s v="Pleasant"/>
    <n v="0.81"/>
    <x v="0"/>
    <n v="0.22389999999999999"/>
    <x v="1"/>
    <x v="18"/>
    <n v="46"/>
    <n v="53"/>
    <s v="Low Demand"/>
  </r>
  <r>
    <n v="35"/>
    <x v="1"/>
    <x v="0"/>
    <x v="0"/>
    <x v="0"/>
    <x v="11"/>
    <x v="1"/>
    <x v="0"/>
    <n v="0"/>
    <s v="Monday"/>
    <x v="1"/>
    <x v="1"/>
    <n v="0.36"/>
    <x v="0"/>
    <n v="0.33329999999999999"/>
    <s v="Pleasant"/>
    <n v="0.71"/>
    <x v="1"/>
    <n v="0.25369999999999998"/>
    <x v="1"/>
    <x v="19"/>
    <n v="54"/>
    <n v="70"/>
    <s v="Low Demand"/>
  </r>
  <r>
    <n v="36"/>
    <x v="1"/>
    <x v="0"/>
    <x v="0"/>
    <x v="0"/>
    <x v="12"/>
    <x v="2"/>
    <x v="0"/>
    <n v="0"/>
    <s v="Monday"/>
    <x v="1"/>
    <x v="1"/>
    <n v="0.36"/>
    <x v="0"/>
    <n v="0.33329999999999999"/>
    <s v="Pleasant"/>
    <n v="0.66"/>
    <x v="1"/>
    <n v="0.29849999999999999"/>
    <x v="1"/>
    <x v="20"/>
    <n v="73"/>
    <n v="93"/>
    <s v="Medium Demand"/>
  </r>
  <r>
    <n v="37"/>
    <x v="1"/>
    <x v="0"/>
    <x v="0"/>
    <x v="0"/>
    <x v="13"/>
    <x v="2"/>
    <x v="0"/>
    <n v="0"/>
    <s v="Monday"/>
    <x v="1"/>
    <x v="1"/>
    <n v="0.36"/>
    <x v="0"/>
    <n v="0.34849999999999998"/>
    <s v="Pleasant"/>
    <n v="0.66"/>
    <x v="1"/>
    <n v="0.1343"/>
    <x v="0"/>
    <x v="16"/>
    <n v="64"/>
    <n v="75"/>
    <s v="Low Demand"/>
  </r>
  <r>
    <n v="38"/>
    <x v="1"/>
    <x v="0"/>
    <x v="0"/>
    <x v="0"/>
    <x v="14"/>
    <x v="2"/>
    <x v="0"/>
    <n v="0"/>
    <s v="Monday"/>
    <x v="2"/>
    <x v="2"/>
    <n v="0.36"/>
    <x v="0"/>
    <n v="0.34089999999999998"/>
    <s v="Pleasant"/>
    <n v="0.76"/>
    <x v="0"/>
    <n v="0.19400000000000001"/>
    <x v="1"/>
    <x v="17"/>
    <n v="55"/>
    <n v="59"/>
    <s v="Low Demand"/>
  </r>
  <r>
    <n v="39"/>
    <x v="1"/>
    <x v="0"/>
    <x v="0"/>
    <x v="0"/>
    <x v="15"/>
    <x v="2"/>
    <x v="0"/>
    <n v="0"/>
    <s v="Monday"/>
    <x v="2"/>
    <x v="2"/>
    <n v="0.34"/>
    <x v="0"/>
    <n v="0.33329999999999999"/>
    <s v="Pleasant"/>
    <n v="0.81"/>
    <x v="0"/>
    <n v="0.16420000000000001"/>
    <x v="1"/>
    <x v="21"/>
    <n v="55"/>
    <n v="74"/>
    <s v="Low Demand"/>
  </r>
  <r>
    <n v="40"/>
    <x v="1"/>
    <x v="0"/>
    <x v="0"/>
    <x v="0"/>
    <x v="16"/>
    <x v="2"/>
    <x v="0"/>
    <n v="0"/>
    <s v="Monday"/>
    <x v="2"/>
    <x v="2"/>
    <n v="0.34"/>
    <x v="0"/>
    <n v="0.33329999999999999"/>
    <s v="Pleasant"/>
    <n v="0.71"/>
    <x v="1"/>
    <n v="0.16420000000000001"/>
    <x v="1"/>
    <x v="14"/>
    <n v="67"/>
    <n v="76"/>
    <s v="Medium Demand"/>
  </r>
  <r>
    <n v="41"/>
    <x v="1"/>
    <x v="0"/>
    <x v="0"/>
    <x v="0"/>
    <x v="17"/>
    <x v="2"/>
    <x v="0"/>
    <n v="0"/>
    <s v="Monday"/>
    <x v="0"/>
    <x v="0"/>
    <n v="0.34"/>
    <x v="0"/>
    <n v="0.33329999999999999"/>
    <s v="Pleasant"/>
    <n v="0.56999999999999995"/>
    <x v="1"/>
    <n v="0.19400000000000001"/>
    <x v="1"/>
    <x v="18"/>
    <n v="58"/>
    <n v="65"/>
    <s v="Low Demand"/>
  </r>
  <r>
    <n v="42"/>
    <x v="1"/>
    <x v="0"/>
    <x v="0"/>
    <x v="0"/>
    <x v="18"/>
    <x v="3"/>
    <x v="0"/>
    <n v="0"/>
    <s v="Monday"/>
    <x v="1"/>
    <x v="1"/>
    <n v="0.36"/>
    <x v="0"/>
    <n v="0.33329999999999999"/>
    <s v="Pleasant"/>
    <n v="0.46"/>
    <x v="2"/>
    <n v="0.32840000000000003"/>
    <x v="2"/>
    <x v="22"/>
    <n v="43"/>
    <n v="53"/>
    <s v="Low Demand"/>
  </r>
  <r>
    <n v="43"/>
    <x v="1"/>
    <x v="0"/>
    <x v="0"/>
    <x v="0"/>
    <x v="19"/>
    <x v="3"/>
    <x v="0"/>
    <n v="0"/>
    <s v="Monday"/>
    <x v="0"/>
    <x v="0"/>
    <n v="0.32"/>
    <x v="0"/>
    <n v="0.28789999999999999"/>
    <s v="Cold"/>
    <n v="0.42"/>
    <x v="2"/>
    <n v="0.44779999999999998"/>
    <x v="2"/>
    <x v="5"/>
    <n v="29"/>
    <n v="30"/>
    <s v="Low Demand"/>
  </r>
  <r>
    <n v="44"/>
    <x v="1"/>
    <x v="0"/>
    <x v="0"/>
    <x v="0"/>
    <x v="20"/>
    <x v="3"/>
    <x v="0"/>
    <n v="0"/>
    <s v="Monday"/>
    <x v="0"/>
    <x v="0"/>
    <n v="0.3"/>
    <x v="0"/>
    <n v="0.2576"/>
    <s v="Cold"/>
    <n v="0.39"/>
    <x v="2"/>
    <n v="0.35820000000000002"/>
    <x v="2"/>
    <x v="2"/>
    <n v="17"/>
    <n v="22"/>
    <s v="Low Demand"/>
  </r>
  <r>
    <n v="45"/>
    <x v="1"/>
    <x v="0"/>
    <x v="0"/>
    <x v="0"/>
    <x v="21"/>
    <x v="3"/>
    <x v="0"/>
    <n v="0"/>
    <s v="Monday"/>
    <x v="0"/>
    <x v="0"/>
    <n v="0.26"/>
    <x v="0"/>
    <n v="0.2273"/>
    <s v="Cold"/>
    <n v="0.44"/>
    <x v="2"/>
    <n v="0.32840000000000003"/>
    <x v="2"/>
    <x v="16"/>
    <n v="20"/>
    <n v="31"/>
    <s v="Low Demand"/>
  </r>
  <r>
    <n v="46"/>
    <x v="1"/>
    <x v="0"/>
    <x v="0"/>
    <x v="0"/>
    <x v="22"/>
    <x v="3"/>
    <x v="0"/>
    <n v="0"/>
    <s v="Monday"/>
    <x v="0"/>
    <x v="0"/>
    <n v="0.24"/>
    <x v="0"/>
    <n v="0.21210000000000001"/>
    <s v="Cold"/>
    <n v="0.44"/>
    <x v="2"/>
    <n v="0.29849999999999999"/>
    <x v="1"/>
    <x v="3"/>
    <n v="9"/>
    <n v="9"/>
    <s v="Low Demand"/>
  </r>
  <r>
    <n v="47"/>
    <x v="1"/>
    <x v="0"/>
    <x v="0"/>
    <x v="0"/>
    <x v="23"/>
    <x v="3"/>
    <x v="0"/>
    <n v="0"/>
    <s v="Monday"/>
    <x v="0"/>
    <x v="0"/>
    <n v="0.22"/>
    <x v="0"/>
    <n v="0.2273"/>
    <s v="Cold"/>
    <n v="0.47"/>
    <x v="2"/>
    <n v="0.16420000000000001"/>
    <x v="1"/>
    <x v="3"/>
    <n v="8"/>
    <n v="8"/>
    <s v="Low Demand"/>
  </r>
  <r>
    <n v="48"/>
    <x v="2"/>
    <x v="0"/>
    <x v="0"/>
    <x v="0"/>
    <x v="0"/>
    <x v="0"/>
    <x v="0"/>
    <n v="1"/>
    <s v="Tuesday"/>
    <x v="0"/>
    <x v="0"/>
    <n v="0.22"/>
    <x v="0"/>
    <n v="0.19700000000000001"/>
    <s v="Cold"/>
    <n v="0.44"/>
    <x v="2"/>
    <n v="0.35820000000000002"/>
    <x v="2"/>
    <x v="3"/>
    <n v="5"/>
    <n v="5"/>
    <s v="Low Demand"/>
  </r>
  <r>
    <n v="49"/>
    <x v="2"/>
    <x v="0"/>
    <x v="0"/>
    <x v="0"/>
    <x v="1"/>
    <x v="0"/>
    <x v="0"/>
    <n v="1"/>
    <s v="Tuesday"/>
    <x v="0"/>
    <x v="0"/>
    <n v="0.2"/>
    <x v="1"/>
    <n v="0.16670000000000001"/>
    <s v="Cold"/>
    <n v="0.44"/>
    <x v="2"/>
    <n v="0.41789999999999999"/>
    <x v="2"/>
    <x v="3"/>
    <n v="2"/>
    <n v="2"/>
    <s v="Low Demand"/>
  </r>
  <r>
    <n v="50"/>
    <x v="2"/>
    <x v="0"/>
    <x v="0"/>
    <x v="0"/>
    <x v="4"/>
    <x v="0"/>
    <x v="0"/>
    <n v="1"/>
    <s v="Tuesday"/>
    <x v="0"/>
    <x v="0"/>
    <n v="0.16"/>
    <x v="1"/>
    <n v="0.13639999999999999"/>
    <s v="Very Cold"/>
    <n v="0.47"/>
    <x v="2"/>
    <n v="0.3881"/>
    <x v="2"/>
    <x v="3"/>
    <n v="1"/>
    <n v="1"/>
    <s v="Low Demand"/>
  </r>
  <r>
    <n v="51"/>
    <x v="2"/>
    <x v="0"/>
    <x v="0"/>
    <x v="0"/>
    <x v="5"/>
    <x v="0"/>
    <x v="0"/>
    <n v="1"/>
    <s v="Tuesday"/>
    <x v="0"/>
    <x v="0"/>
    <n v="0.16"/>
    <x v="1"/>
    <n v="0.13639999999999999"/>
    <s v="Very Cold"/>
    <n v="0.47"/>
    <x v="2"/>
    <n v="0.28360000000000002"/>
    <x v="1"/>
    <x v="3"/>
    <n v="3"/>
    <n v="3"/>
    <s v="Low Demand"/>
  </r>
  <r>
    <n v="52"/>
    <x v="2"/>
    <x v="0"/>
    <x v="0"/>
    <x v="0"/>
    <x v="6"/>
    <x v="1"/>
    <x v="0"/>
    <n v="1"/>
    <s v="Tuesday"/>
    <x v="0"/>
    <x v="0"/>
    <n v="0.14000000000000001"/>
    <x v="1"/>
    <n v="0.1061"/>
    <s v="Very Cold"/>
    <n v="0.5"/>
    <x v="2"/>
    <n v="0.3881"/>
    <x v="2"/>
    <x v="3"/>
    <n v="30"/>
    <n v="30"/>
    <s v="Low Demand"/>
  </r>
  <r>
    <n v="53"/>
    <x v="2"/>
    <x v="0"/>
    <x v="0"/>
    <x v="0"/>
    <x v="7"/>
    <x v="1"/>
    <x v="0"/>
    <n v="1"/>
    <s v="Tuesday"/>
    <x v="0"/>
    <x v="0"/>
    <n v="0.14000000000000001"/>
    <x v="1"/>
    <n v="0.13639999999999999"/>
    <s v="Very Cold"/>
    <n v="0.5"/>
    <x v="2"/>
    <n v="0.19400000000000001"/>
    <x v="1"/>
    <x v="5"/>
    <n v="63"/>
    <n v="64"/>
    <s v="Low Demand"/>
  </r>
  <r>
    <n v="54"/>
    <x v="2"/>
    <x v="0"/>
    <x v="0"/>
    <x v="0"/>
    <x v="8"/>
    <x v="1"/>
    <x v="0"/>
    <n v="1"/>
    <s v="Tuesday"/>
    <x v="0"/>
    <x v="0"/>
    <n v="0.14000000000000001"/>
    <x v="1"/>
    <n v="0.1212"/>
    <s v="Very Cold"/>
    <n v="0.5"/>
    <x v="2"/>
    <n v="0.28360000000000002"/>
    <x v="1"/>
    <x v="5"/>
    <n v="153"/>
    <n v="154"/>
    <s v="High Demand"/>
  </r>
  <r>
    <n v="55"/>
    <x v="2"/>
    <x v="0"/>
    <x v="0"/>
    <x v="0"/>
    <x v="9"/>
    <x v="1"/>
    <x v="0"/>
    <n v="1"/>
    <s v="Tuesday"/>
    <x v="0"/>
    <x v="0"/>
    <n v="0.16"/>
    <x v="1"/>
    <n v="0.13639999999999999"/>
    <s v="Very Cold"/>
    <n v="0.43"/>
    <x v="2"/>
    <n v="0.3881"/>
    <x v="2"/>
    <x v="18"/>
    <n v="81"/>
    <n v="88"/>
    <s v="Medium Demand"/>
  </r>
  <r>
    <n v="56"/>
    <x v="2"/>
    <x v="0"/>
    <x v="0"/>
    <x v="0"/>
    <x v="10"/>
    <x v="1"/>
    <x v="0"/>
    <n v="1"/>
    <s v="Tuesday"/>
    <x v="0"/>
    <x v="0"/>
    <n v="0.18"/>
    <x v="1"/>
    <n v="0.16669999999999999"/>
    <s v="Cold"/>
    <n v="0.43"/>
    <x v="2"/>
    <n v="0.25369999999999998"/>
    <x v="1"/>
    <x v="16"/>
    <n v="33"/>
    <n v="44"/>
    <s v="Low Demand"/>
  </r>
  <r>
    <n v="57"/>
    <x v="2"/>
    <x v="0"/>
    <x v="0"/>
    <x v="0"/>
    <x v="11"/>
    <x v="1"/>
    <x v="0"/>
    <n v="1"/>
    <s v="Tuesday"/>
    <x v="0"/>
    <x v="0"/>
    <n v="0.2"/>
    <x v="1"/>
    <n v="0.18179999999999999"/>
    <s v="Cold"/>
    <n v="0.4"/>
    <x v="2"/>
    <n v="0.32840000000000003"/>
    <x v="2"/>
    <x v="22"/>
    <n v="41"/>
    <n v="51"/>
    <s v="Low Demand"/>
  </r>
  <r>
    <n v="58"/>
    <x v="2"/>
    <x v="0"/>
    <x v="0"/>
    <x v="0"/>
    <x v="12"/>
    <x v="2"/>
    <x v="0"/>
    <n v="1"/>
    <s v="Tuesday"/>
    <x v="0"/>
    <x v="0"/>
    <n v="0.22"/>
    <x v="0"/>
    <n v="0.21210000000000001"/>
    <s v="Cold"/>
    <n v="0.35"/>
    <x v="2"/>
    <n v="0.29849999999999999"/>
    <x v="1"/>
    <x v="23"/>
    <n v="48"/>
    <n v="61"/>
    <s v="Low Demand"/>
  </r>
  <r>
    <n v="59"/>
    <x v="2"/>
    <x v="0"/>
    <x v="0"/>
    <x v="0"/>
    <x v="13"/>
    <x v="2"/>
    <x v="0"/>
    <n v="1"/>
    <s v="Tuesday"/>
    <x v="0"/>
    <x v="0"/>
    <n v="0.24"/>
    <x v="0"/>
    <n v="0.22725000000000001"/>
    <s v="Cold"/>
    <n v="0.35"/>
    <x v="2"/>
    <n v="0.28360000000000002"/>
    <x v="1"/>
    <x v="1"/>
    <n v="53"/>
    <n v="61"/>
    <s v="Low Demand"/>
  </r>
  <r>
    <n v="60"/>
    <x v="2"/>
    <x v="0"/>
    <x v="0"/>
    <x v="0"/>
    <x v="14"/>
    <x v="2"/>
    <x v="0"/>
    <n v="1"/>
    <s v="Tuesday"/>
    <x v="0"/>
    <x v="0"/>
    <n v="0.26"/>
    <x v="0"/>
    <n v="0.2424"/>
    <s v="Cold"/>
    <n v="0.3"/>
    <x v="2"/>
    <n v="0.28360000000000002"/>
    <x v="1"/>
    <x v="16"/>
    <n v="66"/>
    <n v="77"/>
    <s v="Medium Demand"/>
  </r>
  <r>
    <n v="61"/>
    <x v="2"/>
    <x v="0"/>
    <x v="0"/>
    <x v="0"/>
    <x v="15"/>
    <x v="2"/>
    <x v="0"/>
    <n v="1"/>
    <s v="Tuesday"/>
    <x v="0"/>
    <x v="0"/>
    <n v="0.26"/>
    <x v="0"/>
    <n v="0.2424"/>
    <s v="Cold"/>
    <n v="0.3"/>
    <x v="2"/>
    <n v="0.25369999999999998"/>
    <x v="1"/>
    <x v="24"/>
    <n v="58"/>
    <n v="72"/>
    <s v="Low Demand"/>
  </r>
  <r>
    <n v="62"/>
    <x v="2"/>
    <x v="0"/>
    <x v="0"/>
    <x v="0"/>
    <x v="16"/>
    <x v="2"/>
    <x v="0"/>
    <n v="1"/>
    <s v="Tuesday"/>
    <x v="0"/>
    <x v="0"/>
    <n v="0.26"/>
    <x v="0"/>
    <n v="0.2424"/>
    <s v="Cold"/>
    <n v="0.3"/>
    <x v="2"/>
    <n v="0.25369999999999998"/>
    <x v="1"/>
    <x v="14"/>
    <n v="67"/>
    <n v="76"/>
    <s v="Medium Demand"/>
  </r>
  <r>
    <n v="63"/>
    <x v="2"/>
    <x v="0"/>
    <x v="0"/>
    <x v="0"/>
    <x v="17"/>
    <x v="2"/>
    <x v="0"/>
    <n v="1"/>
    <s v="Tuesday"/>
    <x v="0"/>
    <x v="0"/>
    <n v="0.24"/>
    <x v="0"/>
    <n v="0.2273"/>
    <s v="Cold"/>
    <n v="0.3"/>
    <x v="2"/>
    <n v="0.22389999999999999"/>
    <x v="1"/>
    <x v="16"/>
    <n v="146"/>
    <n v="157"/>
    <s v="High Demand"/>
  </r>
  <r>
    <n v="64"/>
    <x v="2"/>
    <x v="0"/>
    <x v="0"/>
    <x v="0"/>
    <x v="18"/>
    <x v="3"/>
    <x v="0"/>
    <n v="1"/>
    <s v="Tuesday"/>
    <x v="0"/>
    <x v="0"/>
    <n v="0.24"/>
    <x v="0"/>
    <n v="0.2576"/>
    <s v="Cold"/>
    <n v="0.32"/>
    <x v="2"/>
    <n v="0.1045"/>
    <x v="0"/>
    <x v="14"/>
    <n v="148"/>
    <n v="157"/>
    <s v="High Demand"/>
  </r>
  <r>
    <n v="65"/>
    <x v="2"/>
    <x v="0"/>
    <x v="0"/>
    <x v="0"/>
    <x v="19"/>
    <x v="3"/>
    <x v="0"/>
    <n v="1"/>
    <s v="Tuesday"/>
    <x v="0"/>
    <x v="0"/>
    <n v="0.2"/>
    <x v="1"/>
    <n v="0.2576"/>
    <s v="Cold"/>
    <n v="0.47"/>
    <x v="2"/>
    <n v="0"/>
    <x v="0"/>
    <x v="1"/>
    <n v="102"/>
    <n v="110"/>
    <s v="Medium Demand"/>
  </r>
  <r>
    <n v="66"/>
    <x v="2"/>
    <x v="0"/>
    <x v="0"/>
    <x v="0"/>
    <x v="20"/>
    <x v="3"/>
    <x v="0"/>
    <n v="1"/>
    <s v="Tuesday"/>
    <x v="0"/>
    <x v="0"/>
    <n v="0.2"/>
    <x v="1"/>
    <n v="0.2273"/>
    <s v="Cold"/>
    <n v="0.47"/>
    <x v="2"/>
    <n v="0.1045"/>
    <x v="0"/>
    <x v="0"/>
    <n v="49"/>
    <n v="52"/>
    <s v="Low Demand"/>
  </r>
  <r>
    <n v="67"/>
    <x v="2"/>
    <x v="0"/>
    <x v="0"/>
    <x v="0"/>
    <x v="21"/>
    <x v="3"/>
    <x v="0"/>
    <n v="1"/>
    <s v="Tuesday"/>
    <x v="0"/>
    <x v="0"/>
    <n v="0.18"/>
    <x v="1"/>
    <n v="0.19700000000000001"/>
    <s v="Cold"/>
    <n v="0.64"/>
    <x v="1"/>
    <n v="0.1343"/>
    <x v="0"/>
    <x v="0"/>
    <n v="49"/>
    <n v="52"/>
    <s v="Low Demand"/>
  </r>
  <r>
    <n v="68"/>
    <x v="2"/>
    <x v="0"/>
    <x v="0"/>
    <x v="0"/>
    <x v="22"/>
    <x v="3"/>
    <x v="0"/>
    <n v="1"/>
    <s v="Tuesday"/>
    <x v="0"/>
    <x v="0"/>
    <n v="0.14000000000000001"/>
    <x v="1"/>
    <n v="0.1515"/>
    <s v="Cold"/>
    <n v="0.69"/>
    <x v="1"/>
    <n v="0.1343"/>
    <x v="0"/>
    <x v="3"/>
    <n v="20"/>
    <n v="20"/>
    <s v="Low Demand"/>
  </r>
  <r>
    <n v="69"/>
    <x v="2"/>
    <x v="0"/>
    <x v="0"/>
    <x v="0"/>
    <x v="23"/>
    <x v="3"/>
    <x v="0"/>
    <n v="1"/>
    <s v="Tuesday"/>
    <x v="0"/>
    <x v="0"/>
    <n v="0.18"/>
    <x v="1"/>
    <n v="0.21210000000000001"/>
    <s v="Cold"/>
    <n v="0.55000000000000004"/>
    <x v="1"/>
    <n v="0.1045"/>
    <x v="0"/>
    <x v="5"/>
    <n v="11"/>
    <n v="12"/>
    <s v="Low Demand"/>
  </r>
  <r>
    <n v="70"/>
    <x v="3"/>
    <x v="0"/>
    <x v="0"/>
    <x v="0"/>
    <x v="0"/>
    <x v="0"/>
    <x v="0"/>
    <n v="2"/>
    <s v="Wednesday"/>
    <x v="0"/>
    <x v="0"/>
    <n v="0.16"/>
    <x v="1"/>
    <n v="0.19695000000000001"/>
    <s v="Cold"/>
    <n v="0.55000000000000004"/>
    <x v="1"/>
    <n v="0.1045"/>
    <x v="0"/>
    <x v="3"/>
    <n v="5"/>
    <n v="5"/>
    <s v="Low Demand"/>
  </r>
  <r>
    <n v="71"/>
    <x v="3"/>
    <x v="0"/>
    <x v="0"/>
    <x v="0"/>
    <x v="1"/>
    <x v="0"/>
    <x v="0"/>
    <n v="2"/>
    <s v="Wednesday"/>
    <x v="0"/>
    <x v="0"/>
    <n v="0.16"/>
    <x v="1"/>
    <n v="0.18179999999999999"/>
    <s v="Cold"/>
    <n v="0.59"/>
    <x v="1"/>
    <n v="0.1045"/>
    <x v="0"/>
    <x v="3"/>
    <n v="2"/>
    <n v="2"/>
    <s v="Low Demand"/>
  </r>
  <r>
    <n v="72"/>
    <x v="3"/>
    <x v="0"/>
    <x v="0"/>
    <x v="0"/>
    <x v="2"/>
    <x v="0"/>
    <x v="0"/>
    <n v="2"/>
    <s v="Wednesday"/>
    <x v="0"/>
    <x v="0"/>
    <n v="0.14000000000000001"/>
    <x v="1"/>
    <n v="0.1515"/>
    <s v="Cold"/>
    <n v="0.63"/>
    <x v="1"/>
    <n v="0.1343"/>
    <x v="0"/>
    <x v="3"/>
    <n v="1"/>
    <n v="1"/>
    <s v="Low Demand"/>
  </r>
  <r>
    <n v="73"/>
    <x v="3"/>
    <x v="0"/>
    <x v="0"/>
    <x v="0"/>
    <x v="4"/>
    <x v="0"/>
    <x v="0"/>
    <n v="2"/>
    <s v="Wednesday"/>
    <x v="0"/>
    <x v="0"/>
    <n v="0.14000000000000001"/>
    <x v="1"/>
    <n v="0.18179999999999999"/>
    <s v="Cold"/>
    <n v="0.63"/>
    <x v="1"/>
    <n v="8.9599999999999999E-2"/>
    <x v="0"/>
    <x v="3"/>
    <n v="2"/>
    <n v="2"/>
    <s v="Low Demand"/>
  </r>
  <r>
    <n v="74"/>
    <x v="3"/>
    <x v="0"/>
    <x v="0"/>
    <x v="0"/>
    <x v="5"/>
    <x v="0"/>
    <x v="0"/>
    <n v="2"/>
    <s v="Wednesday"/>
    <x v="0"/>
    <x v="0"/>
    <n v="0.12"/>
    <x v="1"/>
    <n v="0.1515"/>
    <s v="Cold"/>
    <n v="0.68"/>
    <x v="1"/>
    <n v="0.1045"/>
    <x v="0"/>
    <x v="3"/>
    <n v="4"/>
    <n v="4"/>
    <s v="Low Demand"/>
  </r>
  <r>
    <n v="75"/>
    <x v="3"/>
    <x v="0"/>
    <x v="0"/>
    <x v="0"/>
    <x v="6"/>
    <x v="1"/>
    <x v="0"/>
    <n v="2"/>
    <s v="Wednesday"/>
    <x v="0"/>
    <x v="0"/>
    <n v="0.12"/>
    <x v="1"/>
    <n v="0.1515"/>
    <s v="Cold"/>
    <n v="0.74"/>
    <x v="1"/>
    <n v="0.1045"/>
    <x v="0"/>
    <x v="3"/>
    <n v="36"/>
    <n v="36"/>
    <s v="Low Demand"/>
  </r>
  <r>
    <n v="76"/>
    <x v="3"/>
    <x v="0"/>
    <x v="0"/>
    <x v="0"/>
    <x v="7"/>
    <x v="1"/>
    <x v="0"/>
    <n v="2"/>
    <s v="Wednesday"/>
    <x v="0"/>
    <x v="0"/>
    <n v="0.12"/>
    <x v="1"/>
    <n v="0.1515"/>
    <s v="Cold"/>
    <n v="0.74"/>
    <x v="1"/>
    <n v="0.1343"/>
    <x v="0"/>
    <x v="4"/>
    <n v="92"/>
    <n v="94"/>
    <s v="Medium Demand"/>
  </r>
  <r>
    <n v="77"/>
    <x v="3"/>
    <x v="0"/>
    <x v="0"/>
    <x v="0"/>
    <x v="8"/>
    <x v="1"/>
    <x v="0"/>
    <n v="2"/>
    <s v="Wednesday"/>
    <x v="0"/>
    <x v="0"/>
    <n v="0.14000000000000001"/>
    <x v="1"/>
    <n v="0.1515"/>
    <s v="Cold"/>
    <n v="0.69"/>
    <x v="1"/>
    <n v="0.16420000000000001"/>
    <x v="1"/>
    <x v="4"/>
    <n v="177"/>
    <n v="179"/>
    <s v="High Demand"/>
  </r>
  <r>
    <n v="78"/>
    <x v="3"/>
    <x v="0"/>
    <x v="0"/>
    <x v="0"/>
    <x v="9"/>
    <x v="1"/>
    <x v="0"/>
    <n v="2"/>
    <s v="Wednesday"/>
    <x v="0"/>
    <x v="0"/>
    <n v="0.16"/>
    <x v="1"/>
    <n v="0.1515"/>
    <s v="Cold"/>
    <n v="0.64"/>
    <x v="1"/>
    <n v="0.22389999999999999"/>
    <x v="1"/>
    <x v="4"/>
    <n v="98"/>
    <n v="100"/>
    <s v="Medium Demand"/>
  </r>
  <r>
    <n v="79"/>
    <x v="3"/>
    <x v="0"/>
    <x v="0"/>
    <x v="0"/>
    <x v="10"/>
    <x v="1"/>
    <x v="0"/>
    <n v="2"/>
    <s v="Wednesday"/>
    <x v="1"/>
    <x v="1"/>
    <n v="0.16"/>
    <x v="1"/>
    <n v="0.13639999999999999"/>
    <s v="Very Cold"/>
    <n v="0.69"/>
    <x v="1"/>
    <n v="0.32840000000000003"/>
    <x v="2"/>
    <x v="2"/>
    <n v="37"/>
    <n v="42"/>
    <s v="Low Demand"/>
  </r>
  <r>
    <n v="80"/>
    <x v="3"/>
    <x v="0"/>
    <x v="0"/>
    <x v="0"/>
    <x v="11"/>
    <x v="1"/>
    <x v="0"/>
    <n v="2"/>
    <s v="Wednesday"/>
    <x v="0"/>
    <x v="0"/>
    <n v="0.22"/>
    <x v="0"/>
    <n v="0.21210000000000001"/>
    <s v="Cold"/>
    <n v="0.51"/>
    <x v="1"/>
    <n v="0.29849999999999999"/>
    <x v="1"/>
    <x v="18"/>
    <n v="50"/>
    <n v="57"/>
    <s v="Low Demand"/>
  </r>
  <r>
    <n v="81"/>
    <x v="3"/>
    <x v="0"/>
    <x v="0"/>
    <x v="0"/>
    <x v="12"/>
    <x v="2"/>
    <x v="0"/>
    <n v="2"/>
    <s v="Wednesday"/>
    <x v="0"/>
    <x v="0"/>
    <n v="0.22"/>
    <x v="0"/>
    <n v="0.2273"/>
    <s v="Cold"/>
    <n v="0.51"/>
    <x v="1"/>
    <n v="0.16420000000000001"/>
    <x v="1"/>
    <x v="6"/>
    <n v="66"/>
    <n v="78"/>
    <s v="Medium Demand"/>
  </r>
  <r>
    <n v="82"/>
    <x v="3"/>
    <x v="0"/>
    <x v="0"/>
    <x v="0"/>
    <x v="13"/>
    <x v="2"/>
    <x v="0"/>
    <n v="2"/>
    <s v="Wednesday"/>
    <x v="0"/>
    <x v="0"/>
    <n v="0.24"/>
    <x v="0"/>
    <n v="0.2273"/>
    <s v="Cold"/>
    <n v="0.56000000000000005"/>
    <x v="1"/>
    <n v="0.19400000000000001"/>
    <x v="1"/>
    <x v="25"/>
    <n v="79"/>
    <n v="97"/>
    <s v="Medium Demand"/>
  </r>
  <r>
    <n v="83"/>
    <x v="3"/>
    <x v="0"/>
    <x v="0"/>
    <x v="0"/>
    <x v="14"/>
    <x v="2"/>
    <x v="0"/>
    <n v="2"/>
    <s v="Wednesday"/>
    <x v="0"/>
    <x v="0"/>
    <n v="0.26"/>
    <x v="0"/>
    <n v="0.2576"/>
    <s v="Cold"/>
    <n v="0.52"/>
    <x v="1"/>
    <n v="0.22389999999999999"/>
    <x v="1"/>
    <x v="14"/>
    <n v="54"/>
    <n v="63"/>
    <s v="Low Demand"/>
  </r>
  <r>
    <n v="84"/>
    <x v="3"/>
    <x v="0"/>
    <x v="0"/>
    <x v="0"/>
    <x v="15"/>
    <x v="2"/>
    <x v="0"/>
    <n v="2"/>
    <s v="Wednesday"/>
    <x v="0"/>
    <x v="0"/>
    <n v="0.28000000000000003"/>
    <x v="0"/>
    <n v="0.2727"/>
    <s v="Cold"/>
    <n v="0.52"/>
    <x v="1"/>
    <n v="0.25369999999999998"/>
    <x v="1"/>
    <x v="26"/>
    <n v="48"/>
    <n v="65"/>
    <s v="Low Demand"/>
  </r>
  <r>
    <n v="85"/>
    <x v="3"/>
    <x v="0"/>
    <x v="0"/>
    <x v="0"/>
    <x v="16"/>
    <x v="2"/>
    <x v="0"/>
    <n v="2"/>
    <s v="Wednesday"/>
    <x v="0"/>
    <x v="0"/>
    <n v="0.3"/>
    <x v="0"/>
    <n v="0.28789999999999999"/>
    <s v="Cold"/>
    <n v="0.49"/>
    <x v="2"/>
    <n v="0.25369999999999998"/>
    <x v="1"/>
    <x v="13"/>
    <n v="68"/>
    <n v="83"/>
    <s v="Medium Demand"/>
  </r>
  <r>
    <n v="86"/>
    <x v="3"/>
    <x v="0"/>
    <x v="0"/>
    <x v="0"/>
    <x v="17"/>
    <x v="2"/>
    <x v="0"/>
    <n v="2"/>
    <s v="Wednesday"/>
    <x v="0"/>
    <x v="0"/>
    <n v="0.28000000000000003"/>
    <x v="0"/>
    <n v="0.2727"/>
    <s v="Cold"/>
    <n v="0.48"/>
    <x v="2"/>
    <n v="0.22389999999999999"/>
    <x v="1"/>
    <x v="22"/>
    <n v="202"/>
    <n v="212"/>
    <s v="High Demand"/>
  </r>
  <r>
    <n v="87"/>
    <x v="3"/>
    <x v="0"/>
    <x v="0"/>
    <x v="0"/>
    <x v="18"/>
    <x v="3"/>
    <x v="0"/>
    <n v="2"/>
    <s v="Wednesday"/>
    <x v="0"/>
    <x v="0"/>
    <n v="0.26"/>
    <x v="0"/>
    <n v="0.2576"/>
    <s v="Cold"/>
    <n v="0.48"/>
    <x v="2"/>
    <n v="0.19400000000000001"/>
    <x v="1"/>
    <x v="0"/>
    <n v="179"/>
    <n v="182"/>
    <s v="High Demand"/>
  </r>
  <r>
    <n v="88"/>
    <x v="3"/>
    <x v="0"/>
    <x v="0"/>
    <x v="0"/>
    <x v="19"/>
    <x v="3"/>
    <x v="0"/>
    <n v="2"/>
    <s v="Wednesday"/>
    <x v="0"/>
    <x v="0"/>
    <n v="0.24"/>
    <x v="0"/>
    <n v="0.2576"/>
    <s v="Cold"/>
    <n v="0.48"/>
    <x v="2"/>
    <n v="0.1045"/>
    <x v="0"/>
    <x v="4"/>
    <n v="110"/>
    <n v="112"/>
    <s v="Medium Demand"/>
  </r>
  <r>
    <n v="89"/>
    <x v="3"/>
    <x v="0"/>
    <x v="0"/>
    <x v="0"/>
    <x v="20"/>
    <x v="3"/>
    <x v="0"/>
    <n v="2"/>
    <s v="Wednesday"/>
    <x v="0"/>
    <x v="0"/>
    <n v="0.24"/>
    <x v="0"/>
    <n v="0.2576"/>
    <s v="Cold"/>
    <n v="0.48"/>
    <x v="2"/>
    <n v="0.1045"/>
    <x v="0"/>
    <x v="5"/>
    <n v="53"/>
    <n v="54"/>
    <s v="Low Demand"/>
  </r>
  <r>
    <n v="90"/>
    <x v="3"/>
    <x v="0"/>
    <x v="0"/>
    <x v="0"/>
    <x v="21"/>
    <x v="3"/>
    <x v="0"/>
    <n v="2"/>
    <s v="Wednesday"/>
    <x v="0"/>
    <x v="0"/>
    <n v="0.22"/>
    <x v="0"/>
    <n v="0.2727"/>
    <s v="Cold"/>
    <n v="0.64"/>
    <x v="1"/>
    <n v="0"/>
    <x v="0"/>
    <x v="3"/>
    <n v="48"/>
    <n v="48"/>
    <s v="Low Demand"/>
  </r>
  <r>
    <n v="91"/>
    <x v="3"/>
    <x v="0"/>
    <x v="0"/>
    <x v="0"/>
    <x v="22"/>
    <x v="3"/>
    <x v="0"/>
    <n v="2"/>
    <s v="Wednesday"/>
    <x v="0"/>
    <x v="0"/>
    <n v="0.22"/>
    <x v="0"/>
    <n v="0.2576"/>
    <s v="Cold"/>
    <n v="0.64"/>
    <x v="1"/>
    <n v="8.9599999999999999E-2"/>
    <x v="0"/>
    <x v="5"/>
    <n v="34"/>
    <n v="35"/>
    <s v="Low Demand"/>
  </r>
  <r>
    <n v="92"/>
    <x v="3"/>
    <x v="0"/>
    <x v="0"/>
    <x v="0"/>
    <x v="23"/>
    <x v="3"/>
    <x v="0"/>
    <n v="2"/>
    <s v="Wednesday"/>
    <x v="0"/>
    <x v="0"/>
    <n v="0.2"/>
    <x v="1"/>
    <n v="0.2273"/>
    <s v="Cold"/>
    <n v="0.69"/>
    <x v="1"/>
    <n v="8.9599999999999999E-2"/>
    <x v="0"/>
    <x v="4"/>
    <n v="9"/>
    <n v="11"/>
    <s v="Low Demand"/>
  </r>
  <r>
    <n v="93"/>
    <x v="4"/>
    <x v="0"/>
    <x v="0"/>
    <x v="0"/>
    <x v="0"/>
    <x v="0"/>
    <x v="0"/>
    <n v="3"/>
    <s v="Thursday"/>
    <x v="0"/>
    <x v="0"/>
    <n v="0.2"/>
    <x v="1"/>
    <n v="0.2576"/>
    <s v="Cold"/>
    <n v="0.64"/>
    <x v="1"/>
    <n v="0"/>
    <x v="0"/>
    <x v="3"/>
    <n v="6"/>
    <n v="6"/>
    <s v="Low Demand"/>
  </r>
  <r>
    <n v="94"/>
    <x v="4"/>
    <x v="0"/>
    <x v="0"/>
    <x v="0"/>
    <x v="1"/>
    <x v="0"/>
    <x v="0"/>
    <n v="3"/>
    <s v="Thursday"/>
    <x v="0"/>
    <x v="0"/>
    <n v="0.16"/>
    <x v="1"/>
    <n v="0.19700000000000001"/>
    <s v="Cold"/>
    <n v="0.74"/>
    <x v="1"/>
    <n v="8.9599999999999999E-2"/>
    <x v="0"/>
    <x v="3"/>
    <n v="6"/>
    <n v="6"/>
    <s v="Low Demand"/>
  </r>
  <r>
    <n v="95"/>
    <x v="4"/>
    <x v="0"/>
    <x v="0"/>
    <x v="0"/>
    <x v="2"/>
    <x v="0"/>
    <x v="0"/>
    <n v="3"/>
    <s v="Thursday"/>
    <x v="0"/>
    <x v="0"/>
    <n v="0.16"/>
    <x v="1"/>
    <n v="0.19700000000000001"/>
    <s v="Cold"/>
    <n v="0.74"/>
    <x v="1"/>
    <n v="8.9599999999999999E-2"/>
    <x v="0"/>
    <x v="3"/>
    <n v="2"/>
    <n v="2"/>
    <s v="Low Demand"/>
  </r>
  <r>
    <n v="96"/>
    <x v="4"/>
    <x v="0"/>
    <x v="0"/>
    <x v="0"/>
    <x v="4"/>
    <x v="0"/>
    <x v="0"/>
    <n v="3"/>
    <s v="Thursday"/>
    <x v="0"/>
    <x v="0"/>
    <n v="0.24"/>
    <x v="0"/>
    <n v="0.2273"/>
    <s v="Cold"/>
    <n v="0.48"/>
    <x v="2"/>
    <n v="0.22389999999999999"/>
    <x v="1"/>
    <x v="3"/>
    <n v="2"/>
    <n v="2"/>
    <s v="Low Demand"/>
  </r>
  <r>
    <n v="97"/>
    <x v="4"/>
    <x v="0"/>
    <x v="0"/>
    <x v="0"/>
    <x v="5"/>
    <x v="0"/>
    <x v="0"/>
    <n v="3"/>
    <s v="Thursday"/>
    <x v="0"/>
    <x v="0"/>
    <n v="0.22"/>
    <x v="0"/>
    <n v="0.2273"/>
    <s v="Cold"/>
    <n v="0.47"/>
    <x v="2"/>
    <n v="0.16420000000000001"/>
    <x v="1"/>
    <x v="3"/>
    <n v="3"/>
    <n v="3"/>
    <s v="Low Demand"/>
  </r>
  <r>
    <n v="98"/>
    <x v="4"/>
    <x v="0"/>
    <x v="0"/>
    <x v="0"/>
    <x v="6"/>
    <x v="1"/>
    <x v="0"/>
    <n v="3"/>
    <s v="Thursday"/>
    <x v="0"/>
    <x v="0"/>
    <n v="0.2"/>
    <x v="1"/>
    <n v="0.19700000000000001"/>
    <s v="Cold"/>
    <n v="0.47"/>
    <x v="2"/>
    <n v="0.22389999999999999"/>
    <x v="1"/>
    <x v="3"/>
    <n v="33"/>
    <n v="33"/>
    <s v="Low Demand"/>
  </r>
  <r>
    <n v="99"/>
    <x v="4"/>
    <x v="0"/>
    <x v="0"/>
    <x v="0"/>
    <x v="7"/>
    <x v="1"/>
    <x v="0"/>
    <n v="3"/>
    <s v="Thursday"/>
    <x v="0"/>
    <x v="0"/>
    <n v="0.18"/>
    <x v="1"/>
    <n v="0.18179999999999999"/>
    <s v="Cold"/>
    <n v="0.43"/>
    <x v="2"/>
    <n v="0.19400000000000001"/>
    <x v="1"/>
    <x v="5"/>
    <n v="87"/>
    <n v="88"/>
    <s v="Medium Demand"/>
  </r>
  <r>
    <n v="100"/>
    <x v="4"/>
    <x v="0"/>
    <x v="0"/>
    <x v="0"/>
    <x v="8"/>
    <x v="1"/>
    <x v="0"/>
    <n v="3"/>
    <s v="Thursday"/>
    <x v="0"/>
    <x v="0"/>
    <n v="0.2"/>
    <x v="1"/>
    <n v="0.18179999999999999"/>
    <s v="Cold"/>
    <n v="0.4"/>
    <x v="2"/>
    <n v="0.29849999999999999"/>
    <x v="1"/>
    <x v="0"/>
    <n v="192"/>
    <n v="195"/>
    <s v="High Demand"/>
  </r>
  <r>
    <n v="101"/>
    <x v="4"/>
    <x v="0"/>
    <x v="0"/>
    <x v="0"/>
    <x v="9"/>
    <x v="1"/>
    <x v="0"/>
    <n v="3"/>
    <s v="Thursday"/>
    <x v="0"/>
    <x v="0"/>
    <n v="0.22"/>
    <x v="0"/>
    <n v="0.19700000000000001"/>
    <s v="Cold"/>
    <n v="0.37"/>
    <x v="2"/>
    <n v="0.32840000000000003"/>
    <x v="2"/>
    <x v="15"/>
    <n v="109"/>
    <n v="115"/>
    <s v="Medium Demand"/>
  </r>
  <r>
    <n v="102"/>
    <x v="4"/>
    <x v="0"/>
    <x v="0"/>
    <x v="0"/>
    <x v="10"/>
    <x v="1"/>
    <x v="0"/>
    <n v="3"/>
    <s v="Thursday"/>
    <x v="0"/>
    <x v="0"/>
    <n v="0.22"/>
    <x v="0"/>
    <n v="0.19700000000000001"/>
    <s v="Cold"/>
    <n v="0.37"/>
    <x v="2"/>
    <n v="0.32840000000000003"/>
    <x v="2"/>
    <x v="17"/>
    <n v="53"/>
    <n v="57"/>
    <s v="Low Demand"/>
  </r>
  <r>
    <n v="103"/>
    <x v="4"/>
    <x v="0"/>
    <x v="0"/>
    <x v="0"/>
    <x v="11"/>
    <x v="1"/>
    <x v="0"/>
    <n v="3"/>
    <s v="Thursday"/>
    <x v="0"/>
    <x v="0"/>
    <n v="0.26"/>
    <x v="0"/>
    <n v="0.2273"/>
    <s v="Cold"/>
    <n v="0.33"/>
    <x v="2"/>
    <n v="0.32840000000000003"/>
    <x v="2"/>
    <x v="6"/>
    <n v="34"/>
    <n v="46"/>
    <s v="Low Demand"/>
  </r>
  <r>
    <n v="104"/>
    <x v="4"/>
    <x v="0"/>
    <x v="0"/>
    <x v="0"/>
    <x v="12"/>
    <x v="2"/>
    <x v="0"/>
    <n v="3"/>
    <s v="Thursday"/>
    <x v="0"/>
    <x v="0"/>
    <n v="0.26"/>
    <x v="0"/>
    <n v="0.2273"/>
    <s v="Cold"/>
    <n v="0.33"/>
    <x v="2"/>
    <n v="0.32840000000000003"/>
    <x v="2"/>
    <x v="2"/>
    <n v="74"/>
    <n v="79"/>
    <s v="Medium Demand"/>
  </r>
  <r>
    <n v="105"/>
    <x v="4"/>
    <x v="0"/>
    <x v="0"/>
    <x v="0"/>
    <x v="13"/>
    <x v="2"/>
    <x v="0"/>
    <n v="3"/>
    <s v="Thursday"/>
    <x v="0"/>
    <x v="0"/>
    <n v="0.28000000000000003"/>
    <x v="0"/>
    <n v="0.2576"/>
    <s v="Cold"/>
    <n v="0.3"/>
    <x v="2"/>
    <n v="0.29849999999999999"/>
    <x v="1"/>
    <x v="15"/>
    <n v="65"/>
    <n v="71"/>
    <s v="Low Demand"/>
  </r>
  <r>
    <n v="106"/>
    <x v="4"/>
    <x v="0"/>
    <x v="0"/>
    <x v="0"/>
    <x v="14"/>
    <x v="2"/>
    <x v="0"/>
    <n v="3"/>
    <s v="Thursday"/>
    <x v="0"/>
    <x v="0"/>
    <n v="0.3"/>
    <x v="0"/>
    <n v="0.28789999999999999"/>
    <s v="Cold"/>
    <n v="0.28000000000000003"/>
    <x v="2"/>
    <n v="0.19400000000000001"/>
    <x v="1"/>
    <x v="22"/>
    <n v="52"/>
    <n v="62"/>
    <s v="Low Demand"/>
  </r>
  <r>
    <n v="107"/>
    <x v="4"/>
    <x v="0"/>
    <x v="0"/>
    <x v="0"/>
    <x v="15"/>
    <x v="2"/>
    <x v="0"/>
    <n v="3"/>
    <s v="Thursday"/>
    <x v="0"/>
    <x v="0"/>
    <n v="0.3"/>
    <x v="0"/>
    <n v="0.28789999999999999"/>
    <s v="Cold"/>
    <n v="0.28000000000000003"/>
    <x v="2"/>
    <n v="0.19400000000000001"/>
    <x v="1"/>
    <x v="18"/>
    <n v="55"/>
    <n v="62"/>
    <s v="Low Demand"/>
  </r>
  <r>
    <n v="108"/>
    <x v="4"/>
    <x v="0"/>
    <x v="0"/>
    <x v="0"/>
    <x v="16"/>
    <x v="2"/>
    <x v="0"/>
    <n v="3"/>
    <s v="Thursday"/>
    <x v="0"/>
    <x v="0"/>
    <n v="0.3"/>
    <x v="0"/>
    <n v="0.31819999999999998"/>
    <s v="Pleasant"/>
    <n v="0.28000000000000003"/>
    <x v="2"/>
    <n v="8.9599999999999999E-2"/>
    <x v="0"/>
    <x v="17"/>
    <n v="85"/>
    <n v="89"/>
    <s v="Medium Demand"/>
  </r>
  <r>
    <n v="109"/>
    <x v="4"/>
    <x v="0"/>
    <x v="0"/>
    <x v="0"/>
    <x v="17"/>
    <x v="2"/>
    <x v="0"/>
    <n v="3"/>
    <s v="Thursday"/>
    <x v="0"/>
    <x v="0"/>
    <n v="0.24"/>
    <x v="0"/>
    <n v="0.2273"/>
    <s v="Cold"/>
    <n v="0.38"/>
    <x v="2"/>
    <n v="0.19400000000000001"/>
    <x v="1"/>
    <x v="17"/>
    <n v="186"/>
    <n v="190"/>
    <s v="High Demand"/>
  </r>
  <r>
    <n v="110"/>
    <x v="4"/>
    <x v="0"/>
    <x v="0"/>
    <x v="0"/>
    <x v="18"/>
    <x v="3"/>
    <x v="0"/>
    <n v="3"/>
    <s v="Thursday"/>
    <x v="0"/>
    <x v="0"/>
    <n v="0.24"/>
    <x v="0"/>
    <n v="0.2424"/>
    <s v="Cold"/>
    <n v="0.38"/>
    <x v="2"/>
    <n v="0.1343"/>
    <x v="0"/>
    <x v="0"/>
    <n v="166"/>
    <n v="169"/>
    <s v="High Demand"/>
  </r>
  <r>
    <n v="111"/>
    <x v="4"/>
    <x v="0"/>
    <x v="0"/>
    <x v="0"/>
    <x v="19"/>
    <x v="3"/>
    <x v="0"/>
    <n v="3"/>
    <s v="Thursday"/>
    <x v="0"/>
    <x v="0"/>
    <n v="0.24"/>
    <x v="0"/>
    <n v="0.2576"/>
    <s v="Cold"/>
    <n v="0.38"/>
    <x v="2"/>
    <n v="0.1045"/>
    <x v="0"/>
    <x v="2"/>
    <n v="127"/>
    <n v="132"/>
    <s v="Medium Demand"/>
  </r>
  <r>
    <n v="112"/>
    <x v="4"/>
    <x v="0"/>
    <x v="0"/>
    <x v="0"/>
    <x v="20"/>
    <x v="3"/>
    <x v="0"/>
    <n v="3"/>
    <s v="Thursday"/>
    <x v="0"/>
    <x v="0"/>
    <n v="0.22"/>
    <x v="0"/>
    <n v="0.2273"/>
    <s v="Cold"/>
    <n v="0.47"/>
    <x v="2"/>
    <n v="0.16420000000000001"/>
    <x v="1"/>
    <x v="18"/>
    <n v="82"/>
    <n v="89"/>
    <s v="Medium Demand"/>
  </r>
  <r>
    <n v="113"/>
    <x v="4"/>
    <x v="0"/>
    <x v="0"/>
    <x v="0"/>
    <x v="21"/>
    <x v="3"/>
    <x v="0"/>
    <n v="3"/>
    <s v="Thursday"/>
    <x v="0"/>
    <x v="0"/>
    <n v="0.2"/>
    <x v="1"/>
    <n v="0.19700000000000001"/>
    <s v="Cold"/>
    <n v="0.51"/>
    <x v="1"/>
    <n v="0.19400000000000001"/>
    <x v="1"/>
    <x v="0"/>
    <n v="40"/>
    <n v="43"/>
    <s v="Low Demand"/>
  </r>
  <r>
    <n v="114"/>
    <x v="4"/>
    <x v="0"/>
    <x v="0"/>
    <x v="0"/>
    <x v="22"/>
    <x v="3"/>
    <x v="0"/>
    <n v="3"/>
    <s v="Thursday"/>
    <x v="0"/>
    <x v="0"/>
    <n v="0.18"/>
    <x v="1"/>
    <n v="0.19700000000000001"/>
    <s v="Cold"/>
    <n v="0.55000000000000004"/>
    <x v="1"/>
    <n v="0.1343"/>
    <x v="0"/>
    <x v="5"/>
    <n v="41"/>
    <n v="42"/>
    <s v="Low Demand"/>
  </r>
  <r>
    <n v="115"/>
    <x v="4"/>
    <x v="0"/>
    <x v="0"/>
    <x v="0"/>
    <x v="23"/>
    <x v="3"/>
    <x v="0"/>
    <n v="3"/>
    <s v="Thursday"/>
    <x v="0"/>
    <x v="0"/>
    <n v="0.2"/>
    <x v="1"/>
    <n v="0.2576"/>
    <s v="Cold"/>
    <n v="0.47"/>
    <x v="2"/>
    <n v="0"/>
    <x v="0"/>
    <x v="5"/>
    <n v="18"/>
    <n v="19"/>
    <s v="Low Demand"/>
  </r>
  <r>
    <n v="116"/>
    <x v="5"/>
    <x v="0"/>
    <x v="0"/>
    <x v="0"/>
    <x v="0"/>
    <x v="0"/>
    <x v="0"/>
    <n v="4"/>
    <s v="Friday"/>
    <x v="0"/>
    <x v="0"/>
    <n v="0.18"/>
    <x v="1"/>
    <n v="0.2424"/>
    <s v="Cold"/>
    <n v="0.55000000000000004"/>
    <x v="1"/>
    <n v="0"/>
    <x v="0"/>
    <x v="3"/>
    <n v="11"/>
    <n v="11"/>
    <s v="Low Demand"/>
  </r>
  <r>
    <n v="117"/>
    <x v="5"/>
    <x v="0"/>
    <x v="0"/>
    <x v="0"/>
    <x v="1"/>
    <x v="0"/>
    <x v="0"/>
    <n v="4"/>
    <s v="Friday"/>
    <x v="0"/>
    <x v="0"/>
    <n v="0.16"/>
    <x v="1"/>
    <n v="0.2273"/>
    <s v="Cold"/>
    <n v="0.64"/>
    <x v="1"/>
    <n v="0"/>
    <x v="0"/>
    <x v="3"/>
    <n v="4"/>
    <n v="4"/>
    <s v="Low Demand"/>
  </r>
  <r>
    <n v="118"/>
    <x v="5"/>
    <x v="0"/>
    <x v="0"/>
    <x v="0"/>
    <x v="2"/>
    <x v="0"/>
    <x v="0"/>
    <n v="4"/>
    <s v="Friday"/>
    <x v="0"/>
    <x v="0"/>
    <n v="0.16"/>
    <x v="1"/>
    <n v="0.2273"/>
    <s v="Cold"/>
    <n v="0.64"/>
    <x v="1"/>
    <n v="0"/>
    <x v="0"/>
    <x v="3"/>
    <n v="2"/>
    <n v="2"/>
    <s v="Low Demand"/>
  </r>
  <r>
    <n v="119"/>
    <x v="5"/>
    <x v="0"/>
    <x v="0"/>
    <x v="0"/>
    <x v="4"/>
    <x v="0"/>
    <x v="0"/>
    <n v="4"/>
    <s v="Friday"/>
    <x v="1"/>
    <x v="1"/>
    <n v="0.16"/>
    <x v="1"/>
    <n v="0.19700000000000001"/>
    <s v="Cold"/>
    <n v="0.64"/>
    <x v="1"/>
    <n v="8.9599999999999999E-2"/>
    <x v="0"/>
    <x v="3"/>
    <n v="1"/>
    <n v="1"/>
    <s v="Low Demand"/>
  </r>
  <r>
    <n v="120"/>
    <x v="5"/>
    <x v="0"/>
    <x v="0"/>
    <x v="0"/>
    <x v="5"/>
    <x v="0"/>
    <x v="0"/>
    <n v="4"/>
    <s v="Friday"/>
    <x v="1"/>
    <x v="1"/>
    <n v="0.14000000000000001"/>
    <x v="1"/>
    <n v="0.18179999999999999"/>
    <s v="Cold"/>
    <n v="0.69"/>
    <x v="1"/>
    <n v="8.9599999999999999E-2"/>
    <x v="0"/>
    <x v="3"/>
    <n v="4"/>
    <n v="4"/>
    <s v="Low Demand"/>
  </r>
  <r>
    <n v="121"/>
    <x v="5"/>
    <x v="0"/>
    <x v="0"/>
    <x v="0"/>
    <x v="6"/>
    <x v="1"/>
    <x v="0"/>
    <n v="4"/>
    <s v="Friday"/>
    <x v="1"/>
    <x v="1"/>
    <n v="0.14000000000000001"/>
    <x v="1"/>
    <n v="0.16669999999999999"/>
    <s v="Cold"/>
    <n v="0.63"/>
    <x v="1"/>
    <n v="0.1045"/>
    <x v="0"/>
    <x v="3"/>
    <n v="36"/>
    <n v="36"/>
    <s v="Low Demand"/>
  </r>
  <r>
    <n v="122"/>
    <x v="5"/>
    <x v="0"/>
    <x v="0"/>
    <x v="0"/>
    <x v="7"/>
    <x v="1"/>
    <x v="0"/>
    <n v="4"/>
    <s v="Friday"/>
    <x v="1"/>
    <x v="1"/>
    <n v="0.16"/>
    <x v="1"/>
    <n v="0.2273"/>
    <s v="Cold"/>
    <n v="0.59"/>
    <x v="1"/>
    <n v="0"/>
    <x v="0"/>
    <x v="3"/>
    <n v="95"/>
    <n v="95"/>
    <s v="Medium Demand"/>
  </r>
  <r>
    <n v="123"/>
    <x v="5"/>
    <x v="0"/>
    <x v="0"/>
    <x v="0"/>
    <x v="8"/>
    <x v="1"/>
    <x v="0"/>
    <n v="4"/>
    <s v="Friday"/>
    <x v="0"/>
    <x v="0"/>
    <n v="0.16"/>
    <x v="1"/>
    <n v="0.2273"/>
    <s v="Cold"/>
    <n v="0.59"/>
    <x v="1"/>
    <n v="0"/>
    <x v="0"/>
    <x v="0"/>
    <n v="216"/>
    <n v="219"/>
    <s v="High Demand"/>
  </r>
  <r>
    <n v="124"/>
    <x v="5"/>
    <x v="0"/>
    <x v="0"/>
    <x v="0"/>
    <x v="9"/>
    <x v="1"/>
    <x v="0"/>
    <n v="4"/>
    <s v="Friday"/>
    <x v="1"/>
    <x v="1"/>
    <n v="0.18"/>
    <x v="1"/>
    <n v="0.2424"/>
    <s v="Cold"/>
    <n v="0.51"/>
    <x v="1"/>
    <n v="0"/>
    <x v="0"/>
    <x v="15"/>
    <n v="116"/>
    <n v="122"/>
    <s v="Medium Demand"/>
  </r>
  <r>
    <n v="125"/>
    <x v="5"/>
    <x v="0"/>
    <x v="0"/>
    <x v="0"/>
    <x v="10"/>
    <x v="1"/>
    <x v="0"/>
    <n v="4"/>
    <s v="Friday"/>
    <x v="0"/>
    <x v="0"/>
    <n v="0.2"/>
    <x v="1"/>
    <n v="0.2576"/>
    <s v="Cold"/>
    <n v="0.47"/>
    <x v="2"/>
    <n v="0"/>
    <x v="0"/>
    <x v="0"/>
    <n v="42"/>
    <n v="45"/>
    <s v="Low Demand"/>
  </r>
  <r>
    <n v="126"/>
    <x v="5"/>
    <x v="0"/>
    <x v="0"/>
    <x v="0"/>
    <x v="11"/>
    <x v="1"/>
    <x v="0"/>
    <n v="4"/>
    <s v="Friday"/>
    <x v="0"/>
    <x v="0"/>
    <n v="0.22"/>
    <x v="0"/>
    <n v="0.2576"/>
    <s v="Cold"/>
    <n v="0.44"/>
    <x v="2"/>
    <n v="8.9599999999999999E-2"/>
    <x v="0"/>
    <x v="4"/>
    <n v="57"/>
    <n v="59"/>
    <s v="Low Demand"/>
  </r>
  <r>
    <n v="127"/>
    <x v="5"/>
    <x v="0"/>
    <x v="0"/>
    <x v="0"/>
    <x v="12"/>
    <x v="2"/>
    <x v="0"/>
    <n v="4"/>
    <s v="Friday"/>
    <x v="0"/>
    <x v="0"/>
    <n v="0.26"/>
    <x v="0"/>
    <n v="0.28789999999999999"/>
    <s v="Cold"/>
    <n v="0.35"/>
    <x v="2"/>
    <n v="0"/>
    <x v="0"/>
    <x v="15"/>
    <n v="78"/>
    <n v="84"/>
    <s v="Medium Demand"/>
  </r>
  <r>
    <n v="128"/>
    <x v="5"/>
    <x v="0"/>
    <x v="0"/>
    <x v="0"/>
    <x v="13"/>
    <x v="2"/>
    <x v="0"/>
    <n v="4"/>
    <s v="Friday"/>
    <x v="0"/>
    <x v="0"/>
    <n v="0.26"/>
    <x v="0"/>
    <n v="0.2727"/>
    <s v="Cold"/>
    <n v="0.35"/>
    <x v="2"/>
    <n v="0.1045"/>
    <x v="0"/>
    <x v="6"/>
    <n v="55"/>
    <n v="67"/>
    <s v="Low Demand"/>
  </r>
  <r>
    <n v="129"/>
    <x v="5"/>
    <x v="0"/>
    <x v="0"/>
    <x v="0"/>
    <x v="14"/>
    <x v="2"/>
    <x v="0"/>
    <n v="4"/>
    <s v="Friday"/>
    <x v="0"/>
    <x v="0"/>
    <n v="0.28000000000000003"/>
    <x v="0"/>
    <n v="0.2727"/>
    <s v="Cold"/>
    <n v="0.36"/>
    <x v="2"/>
    <n v="0.16420000000000001"/>
    <x v="1"/>
    <x v="16"/>
    <n v="59"/>
    <n v="70"/>
    <s v="Low Demand"/>
  </r>
  <r>
    <n v="130"/>
    <x v="5"/>
    <x v="0"/>
    <x v="0"/>
    <x v="0"/>
    <x v="15"/>
    <x v="2"/>
    <x v="0"/>
    <n v="4"/>
    <s v="Friday"/>
    <x v="0"/>
    <x v="0"/>
    <n v="0.28000000000000003"/>
    <x v="0"/>
    <n v="0.2727"/>
    <s v="Cold"/>
    <n v="0.36"/>
    <x v="2"/>
    <n v="0"/>
    <x v="0"/>
    <x v="1"/>
    <n v="54"/>
    <n v="62"/>
    <s v="Low Demand"/>
  </r>
  <r>
    <n v="131"/>
    <x v="5"/>
    <x v="0"/>
    <x v="0"/>
    <x v="0"/>
    <x v="16"/>
    <x v="2"/>
    <x v="0"/>
    <n v="4"/>
    <s v="Friday"/>
    <x v="0"/>
    <x v="0"/>
    <n v="0.26"/>
    <x v="0"/>
    <n v="0.2576"/>
    <s v="Cold"/>
    <n v="0.38"/>
    <x v="2"/>
    <n v="0.16420000000000001"/>
    <x v="1"/>
    <x v="6"/>
    <n v="74"/>
    <n v="86"/>
    <s v="Medium Demand"/>
  </r>
  <r>
    <n v="132"/>
    <x v="5"/>
    <x v="0"/>
    <x v="0"/>
    <x v="0"/>
    <x v="17"/>
    <x v="2"/>
    <x v="0"/>
    <n v="4"/>
    <s v="Friday"/>
    <x v="0"/>
    <x v="0"/>
    <n v="0.22"/>
    <x v="0"/>
    <n v="0.2273"/>
    <s v="Cold"/>
    <n v="0.51"/>
    <x v="1"/>
    <n v="0.16420000000000001"/>
    <x v="1"/>
    <x v="14"/>
    <n v="163"/>
    <n v="172"/>
    <s v="High Demand"/>
  </r>
  <r>
    <n v="133"/>
    <x v="5"/>
    <x v="0"/>
    <x v="0"/>
    <x v="0"/>
    <x v="18"/>
    <x v="3"/>
    <x v="0"/>
    <n v="4"/>
    <s v="Friday"/>
    <x v="0"/>
    <x v="0"/>
    <n v="0.22"/>
    <x v="0"/>
    <n v="0.2273"/>
    <s v="Cold"/>
    <n v="0.51"/>
    <x v="1"/>
    <n v="0.1343"/>
    <x v="0"/>
    <x v="2"/>
    <n v="158"/>
    <n v="163"/>
    <s v="High Demand"/>
  </r>
  <r>
    <n v="134"/>
    <x v="5"/>
    <x v="0"/>
    <x v="0"/>
    <x v="0"/>
    <x v="19"/>
    <x v="3"/>
    <x v="0"/>
    <n v="4"/>
    <s v="Friday"/>
    <x v="0"/>
    <x v="0"/>
    <n v="0.22"/>
    <x v="0"/>
    <n v="0.2576"/>
    <s v="Cold"/>
    <n v="0.55000000000000004"/>
    <x v="1"/>
    <n v="8.9599999999999999E-2"/>
    <x v="0"/>
    <x v="0"/>
    <n v="109"/>
    <n v="112"/>
    <s v="Medium Demand"/>
  </r>
  <r>
    <n v="135"/>
    <x v="5"/>
    <x v="0"/>
    <x v="0"/>
    <x v="0"/>
    <x v="20"/>
    <x v="3"/>
    <x v="0"/>
    <n v="4"/>
    <s v="Friday"/>
    <x v="0"/>
    <x v="0"/>
    <n v="0.2"/>
    <x v="1"/>
    <n v="0.21210000000000001"/>
    <s v="Cold"/>
    <n v="0.51"/>
    <x v="1"/>
    <n v="0.16420000000000001"/>
    <x v="1"/>
    <x v="0"/>
    <n v="66"/>
    <n v="69"/>
    <s v="Low Demand"/>
  </r>
  <r>
    <n v="136"/>
    <x v="5"/>
    <x v="0"/>
    <x v="0"/>
    <x v="0"/>
    <x v="21"/>
    <x v="3"/>
    <x v="0"/>
    <n v="4"/>
    <s v="Friday"/>
    <x v="1"/>
    <x v="1"/>
    <n v="0.22"/>
    <x v="0"/>
    <n v="0.21210000000000001"/>
    <s v="Cold"/>
    <n v="0.55000000000000004"/>
    <x v="1"/>
    <n v="0.22389999999999999"/>
    <x v="1"/>
    <x v="3"/>
    <n v="48"/>
    <n v="48"/>
    <s v="Low Demand"/>
  </r>
  <r>
    <n v="137"/>
    <x v="5"/>
    <x v="0"/>
    <x v="0"/>
    <x v="0"/>
    <x v="22"/>
    <x v="3"/>
    <x v="0"/>
    <n v="4"/>
    <s v="Friday"/>
    <x v="1"/>
    <x v="1"/>
    <n v="0.22"/>
    <x v="0"/>
    <n v="0.21210000000000001"/>
    <s v="Cold"/>
    <n v="0.51"/>
    <x v="1"/>
    <n v="0.28360000000000002"/>
    <x v="1"/>
    <x v="5"/>
    <n v="51"/>
    <n v="52"/>
    <s v="Low Demand"/>
  </r>
  <r>
    <n v="138"/>
    <x v="5"/>
    <x v="0"/>
    <x v="0"/>
    <x v="0"/>
    <x v="23"/>
    <x v="3"/>
    <x v="0"/>
    <n v="4"/>
    <s v="Friday"/>
    <x v="1"/>
    <x v="1"/>
    <n v="0.2"/>
    <x v="1"/>
    <n v="0.19700000000000001"/>
    <s v="Cold"/>
    <n v="0.59"/>
    <x v="1"/>
    <n v="0.19400000000000001"/>
    <x v="1"/>
    <x v="17"/>
    <n v="19"/>
    <n v="23"/>
    <s v="Low Demand"/>
  </r>
  <r>
    <n v="139"/>
    <x v="6"/>
    <x v="0"/>
    <x v="0"/>
    <x v="0"/>
    <x v="0"/>
    <x v="0"/>
    <x v="0"/>
    <n v="5"/>
    <s v="Saturday"/>
    <x v="1"/>
    <x v="1"/>
    <n v="0.2"/>
    <x v="1"/>
    <n v="0.19700000000000001"/>
    <s v="Cold"/>
    <n v="0.64"/>
    <x v="1"/>
    <n v="0.19400000000000001"/>
    <x v="1"/>
    <x v="17"/>
    <n v="13"/>
    <n v="17"/>
    <s v="Low Demand"/>
  </r>
  <r>
    <n v="140"/>
    <x v="6"/>
    <x v="0"/>
    <x v="0"/>
    <x v="0"/>
    <x v="1"/>
    <x v="0"/>
    <x v="0"/>
    <n v="5"/>
    <s v="Saturday"/>
    <x v="1"/>
    <x v="1"/>
    <n v="0.2"/>
    <x v="1"/>
    <n v="0.19700000000000001"/>
    <s v="Cold"/>
    <n v="0.69"/>
    <x v="1"/>
    <n v="0.22389999999999999"/>
    <x v="1"/>
    <x v="4"/>
    <n v="5"/>
    <n v="7"/>
    <s v="Low Demand"/>
  </r>
  <r>
    <n v="141"/>
    <x v="6"/>
    <x v="0"/>
    <x v="0"/>
    <x v="0"/>
    <x v="2"/>
    <x v="0"/>
    <x v="0"/>
    <n v="5"/>
    <s v="Saturday"/>
    <x v="1"/>
    <x v="1"/>
    <n v="0.2"/>
    <x v="1"/>
    <n v="0.19700000000000001"/>
    <s v="Cold"/>
    <n v="0.69"/>
    <x v="1"/>
    <n v="0.22389999999999999"/>
    <x v="1"/>
    <x v="3"/>
    <n v="1"/>
    <n v="1"/>
    <s v="Low Demand"/>
  </r>
  <r>
    <n v="142"/>
    <x v="6"/>
    <x v="0"/>
    <x v="0"/>
    <x v="0"/>
    <x v="4"/>
    <x v="0"/>
    <x v="0"/>
    <n v="5"/>
    <s v="Saturday"/>
    <x v="1"/>
    <x v="1"/>
    <n v="0.2"/>
    <x v="1"/>
    <n v="0.21210000000000001"/>
    <s v="Cold"/>
    <n v="0.69"/>
    <x v="1"/>
    <n v="0.1343"/>
    <x v="0"/>
    <x v="3"/>
    <n v="1"/>
    <n v="1"/>
    <s v="Low Demand"/>
  </r>
  <r>
    <n v="143"/>
    <x v="6"/>
    <x v="0"/>
    <x v="0"/>
    <x v="0"/>
    <x v="5"/>
    <x v="0"/>
    <x v="0"/>
    <n v="5"/>
    <s v="Saturday"/>
    <x v="2"/>
    <x v="2"/>
    <n v="0.22"/>
    <x v="0"/>
    <n v="0.2727"/>
    <s v="Cold"/>
    <n v="0.55000000000000004"/>
    <x v="1"/>
    <n v="0"/>
    <x v="0"/>
    <x v="3"/>
    <n v="5"/>
    <n v="5"/>
    <s v="Low Demand"/>
  </r>
  <r>
    <n v="144"/>
    <x v="6"/>
    <x v="0"/>
    <x v="0"/>
    <x v="0"/>
    <x v="6"/>
    <x v="1"/>
    <x v="0"/>
    <n v="5"/>
    <s v="Saturday"/>
    <x v="1"/>
    <x v="1"/>
    <n v="0.2"/>
    <x v="1"/>
    <n v="0.2576"/>
    <s v="Cold"/>
    <n v="0.69"/>
    <x v="1"/>
    <n v="0"/>
    <x v="0"/>
    <x v="1"/>
    <n v="26"/>
    <n v="34"/>
    <s v="Low Demand"/>
  </r>
  <r>
    <n v="145"/>
    <x v="6"/>
    <x v="0"/>
    <x v="0"/>
    <x v="0"/>
    <x v="7"/>
    <x v="1"/>
    <x v="0"/>
    <n v="5"/>
    <s v="Saturday"/>
    <x v="0"/>
    <x v="0"/>
    <n v="0.2"/>
    <x v="1"/>
    <n v="0.21210000000000001"/>
    <s v="Cold"/>
    <n v="0.69"/>
    <x v="1"/>
    <n v="0.1343"/>
    <x v="0"/>
    <x v="1"/>
    <n v="76"/>
    <n v="84"/>
    <s v="Medium Demand"/>
  </r>
  <r>
    <n v="146"/>
    <x v="6"/>
    <x v="0"/>
    <x v="0"/>
    <x v="0"/>
    <x v="8"/>
    <x v="1"/>
    <x v="0"/>
    <n v="5"/>
    <s v="Saturday"/>
    <x v="0"/>
    <x v="0"/>
    <n v="0.2"/>
    <x v="1"/>
    <n v="0.19700000000000001"/>
    <s v="Cold"/>
    <n v="0.51"/>
    <x v="1"/>
    <n v="0.25369999999999998"/>
    <x v="1"/>
    <x v="20"/>
    <n v="190"/>
    <n v="210"/>
    <s v="High Demand"/>
  </r>
  <r>
    <n v="147"/>
    <x v="6"/>
    <x v="0"/>
    <x v="0"/>
    <x v="0"/>
    <x v="9"/>
    <x v="1"/>
    <x v="0"/>
    <n v="5"/>
    <s v="Saturday"/>
    <x v="0"/>
    <x v="0"/>
    <n v="0.2"/>
    <x v="1"/>
    <n v="0.18179999999999999"/>
    <s v="Cold"/>
    <n v="0.47"/>
    <x v="2"/>
    <n v="0.29849999999999999"/>
    <x v="1"/>
    <x v="14"/>
    <n v="125"/>
    <n v="134"/>
    <s v="Medium Demand"/>
  </r>
  <r>
    <n v="148"/>
    <x v="6"/>
    <x v="0"/>
    <x v="0"/>
    <x v="0"/>
    <x v="10"/>
    <x v="1"/>
    <x v="0"/>
    <n v="5"/>
    <s v="Saturday"/>
    <x v="0"/>
    <x v="0"/>
    <n v="0.22"/>
    <x v="0"/>
    <n v="0.19700000000000001"/>
    <s v="Cold"/>
    <n v="0.37"/>
    <x v="2"/>
    <n v="0.32840000000000003"/>
    <x v="2"/>
    <x v="19"/>
    <n v="47"/>
    <n v="63"/>
    <s v="Low Demand"/>
  </r>
  <r>
    <n v="149"/>
    <x v="6"/>
    <x v="0"/>
    <x v="0"/>
    <x v="0"/>
    <x v="11"/>
    <x v="1"/>
    <x v="0"/>
    <n v="5"/>
    <s v="Saturday"/>
    <x v="1"/>
    <x v="1"/>
    <n v="0.2"/>
    <x v="1"/>
    <n v="0.19700000000000001"/>
    <s v="Cold"/>
    <n v="0.4"/>
    <x v="2"/>
    <n v="0.22389999999999999"/>
    <x v="1"/>
    <x v="21"/>
    <n v="48"/>
    <n v="67"/>
    <s v="Low Demand"/>
  </r>
  <r>
    <n v="150"/>
    <x v="6"/>
    <x v="0"/>
    <x v="0"/>
    <x v="0"/>
    <x v="12"/>
    <x v="2"/>
    <x v="0"/>
    <n v="5"/>
    <s v="Saturday"/>
    <x v="1"/>
    <x v="1"/>
    <n v="0.2"/>
    <x v="1"/>
    <n v="0.19700000000000001"/>
    <s v="Cold"/>
    <n v="0.37"/>
    <x v="2"/>
    <n v="0.25369999999999998"/>
    <x v="1"/>
    <x v="14"/>
    <n v="50"/>
    <n v="59"/>
    <s v="Low Demand"/>
  </r>
  <r>
    <n v="151"/>
    <x v="6"/>
    <x v="0"/>
    <x v="0"/>
    <x v="0"/>
    <x v="13"/>
    <x v="2"/>
    <x v="0"/>
    <n v="5"/>
    <s v="Saturday"/>
    <x v="1"/>
    <x v="1"/>
    <n v="0.2"/>
    <x v="1"/>
    <n v="0.18179999999999999"/>
    <s v="Cold"/>
    <n v="0.37"/>
    <x v="2"/>
    <n v="0.28360000000000002"/>
    <x v="1"/>
    <x v="14"/>
    <n v="64"/>
    <n v="73"/>
    <s v="Low Demand"/>
  </r>
  <r>
    <n v="152"/>
    <x v="6"/>
    <x v="0"/>
    <x v="0"/>
    <x v="0"/>
    <x v="14"/>
    <x v="2"/>
    <x v="0"/>
    <n v="5"/>
    <s v="Saturday"/>
    <x v="1"/>
    <x v="1"/>
    <n v="0.2"/>
    <x v="1"/>
    <n v="0.19700000000000001"/>
    <s v="Cold"/>
    <n v="0.4"/>
    <x v="2"/>
    <n v="0.25369999999999998"/>
    <x v="1"/>
    <x v="18"/>
    <n v="43"/>
    <n v="50"/>
    <s v="Low Demand"/>
  </r>
  <r>
    <n v="153"/>
    <x v="6"/>
    <x v="0"/>
    <x v="0"/>
    <x v="0"/>
    <x v="15"/>
    <x v="2"/>
    <x v="0"/>
    <n v="5"/>
    <s v="Saturday"/>
    <x v="1"/>
    <x v="1"/>
    <n v="0.2"/>
    <x v="1"/>
    <n v="0.21210000000000001"/>
    <s v="Cold"/>
    <n v="0.37"/>
    <x v="2"/>
    <n v="0.16420000000000001"/>
    <x v="1"/>
    <x v="14"/>
    <n v="63"/>
    <n v="72"/>
    <s v="Low Demand"/>
  </r>
  <r>
    <n v="154"/>
    <x v="6"/>
    <x v="0"/>
    <x v="0"/>
    <x v="0"/>
    <x v="16"/>
    <x v="2"/>
    <x v="0"/>
    <n v="5"/>
    <s v="Saturday"/>
    <x v="1"/>
    <x v="1"/>
    <n v="0.2"/>
    <x v="1"/>
    <n v="0.21210000000000001"/>
    <s v="Cold"/>
    <n v="0.37"/>
    <x v="2"/>
    <n v="0.16420000000000001"/>
    <x v="1"/>
    <x v="2"/>
    <n v="82"/>
    <n v="87"/>
    <s v="Medium Demand"/>
  </r>
  <r>
    <n v="155"/>
    <x v="6"/>
    <x v="0"/>
    <x v="0"/>
    <x v="0"/>
    <x v="17"/>
    <x v="2"/>
    <x v="0"/>
    <n v="5"/>
    <s v="Saturday"/>
    <x v="1"/>
    <x v="1"/>
    <n v="0.2"/>
    <x v="1"/>
    <n v="0.2576"/>
    <s v="Cold"/>
    <n v="0.37"/>
    <x v="2"/>
    <n v="0"/>
    <x v="0"/>
    <x v="14"/>
    <n v="178"/>
    <n v="187"/>
    <s v="High Demand"/>
  </r>
  <r>
    <n v="156"/>
    <x v="6"/>
    <x v="0"/>
    <x v="0"/>
    <x v="0"/>
    <x v="18"/>
    <x v="3"/>
    <x v="0"/>
    <n v="5"/>
    <s v="Saturday"/>
    <x v="0"/>
    <x v="0"/>
    <n v="0.2"/>
    <x v="1"/>
    <n v="0.2273"/>
    <s v="Cold"/>
    <n v="0.4"/>
    <x v="2"/>
    <n v="8.9599999999999999E-2"/>
    <x v="0"/>
    <x v="18"/>
    <n v="116"/>
    <n v="123"/>
    <s v="Medium Demand"/>
  </r>
  <r>
    <n v="157"/>
    <x v="6"/>
    <x v="0"/>
    <x v="0"/>
    <x v="0"/>
    <x v="19"/>
    <x v="3"/>
    <x v="0"/>
    <n v="5"/>
    <s v="Saturday"/>
    <x v="0"/>
    <x v="0"/>
    <n v="0.16"/>
    <x v="1"/>
    <n v="0.19700000000000001"/>
    <s v="Cold"/>
    <n v="0.55000000000000004"/>
    <x v="1"/>
    <n v="8.9599999999999999E-2"/>
    <x v="0"/>
    <x v="0"/>
    <n v="92"/>
    <n v="95"/>
    <s v="Medium Demand"/>
  </r>
  <r>
    <n v="158"/>
    <x v="6"/>
    <x v="0"/>
    <x v="0"/>
    <x v="0"/>
    <x v="20"/>
    <x v="3"/>
    <x v="0"/>
    <n v="5"/>
    <s v="Saturday"/>
    <x v="0"/>
    <x v="0"/>
    <n v="0.18"/>
    <x v="1"/>
    <n v="0.21210000000000001"/>
    <s v="Cold"/>
    <n v="0.47"/>
    <x v="2"/>
    <n v="0.1045"/>
    <x v="0"/>
    <x v="5"/>
    <n v="50"/>
    <n v="51"/>
    <s v="Low Demand"/>
  </r>
  <r>
    <n v="159"/>
    <x v="6"/>
    <x v="0"/>
    <x v="0"/>
    <x v="0"/>
    <x v="21"/>
    <x v="3"/>
    <x v="0"/>
    <n v="5"/>
    <s v="Saturday"/>
    <x v="0"/>
    <x v="0"/>
    <n v="0.18"/>
    <x v="1"/>
    <n v="0.19700000000000001"/>
    <s v="Cold"/>
    <n v="0.47"/>
    <x v="2"/>
    <n v="0.1343"/>
    <x v="0"/>
    <x v="3"/>
    <n v="39"/>
    <n v="39"/>
    <s v="Low Demand"/>
  </r>
  <r>
    <n v="160"/>
    <x v="6"/>
    <x v="0"/>
    <x v="0"/>
    <x v="0"/>
    <x v="22"/>
    <x v="3"/>
    <x v="0"/>
    <n v="5"/>
    <s v="Saturday"/>
    <x v="1"/>
    <x v="1"/>
    <n v="0.18"/>
    <x v="1"/>
    <n v="0.19700000000000001"/>
    <s v="Cold"/>
    <n v="0.43"/>
    <x v="2"/>
    <n v="0.16420000000000001"/>
    <x v="1"/>
    <x v="4"/>
    <n v="34"/>
    <n v="36"/>
    <s v="Low Demand"/>
  </r>
  <r>
    <n v="161"/>
    <x v="6"/>
    <x v="0"/>
    <x v="0"/>
    <x v="0"/>
    <x v="23"/>
    <x v="3"/>
    <x v="0"/>
    <n v="5"/>
    <s v="Saturday"/>
    <x v="1"/>
    <x v="1"/>
    <n v="0.18"/>
    <x v="1"/>
    <n v="0.19700000000000001"/>
    <s v="Cold"/>
    <n v="0.51"/>
    <x v="1"/>
    <n v="0.16420000000000001"/>
    <x v="1"/>
    <x v="5"/>
    <n v="14"/>
    <n v="15"/>
    <s v="Low Demand"/>
  </r>
  <r>
    <n v="162"/>
    <x v="7"/>
    <x v="0"/>
    <x v="0"/>
    <x v="0"/>
    <x v="0"/>
    <x v="0"/>
    <x v="0"/>
    <n v="6"/>
    <s v="Sunday"/>
    <x v="1"/>
    <x v="1"/>
    <n v="0.18"/>
    <x v="1"/>
    <n v="0.19700000000000001"/>
    <s v="Cold"/>
    <n v="0.51"/>
    <x v="1"/>
    <n v="0.16420000000000001"/>
    <x v="1"/>
    <x v="5"/>
    <n v="24"/>
    <n v="25"/>
    <s v="Low Demand"/>
  </r>
  <r>
    <n v="163"/>
    <x v="7"/>
    <x v="0"/>
    <x v="0"/>
    <x v="0"/>
    <x v="1"/>
    <x v="0"/>
    <x v="0"/>
    <n v="6"/>
    <s v="Sunday"/>
    <x v="1"/>
    <x v="1"/>
    <n v="0.18"/>
    <x v="1"/>
    <n v="0.21210000000000001"/>
    <s v="Cold"/>
    <n v="0.55000000000000004"/>
    <x v="1"/>
    <n v="8.9599999999999999E-2"/>
    <x v="0"/>
    <x v="5"/>
    <n v="15"/>
    <n v="16"/>
    <s v="Low Demand"/>
  </r>
  <r>
    <n v="164"/>
    <x v="7"/>
    <x v="0"/>
    <x v="0"/>
    <x v="0"/>
    <x v="2"/>
    <x v="0"/>
    <x v="0"/>
    <n v="6"/>
    <s v="Sunday"/>
    <x v="1"/>
    <x v="1"/>
    <n v="0.18"/>
    <x v="1"/>
    <n v="0.2424"/>
    <s v="Cold"/>
    <n v="0.55000000000000004"/>
    <x v="1"/>
    <n v="0"/>
    <x v="0"/>
    <x v="0"/>
    <n v="13"/>
    <n v="16"/>
    <s v="Low Demand"/>
  </r>
  <r>
    <n v="165"/>
    <x v="7"/>
    <x v="0"/>
    <x v="0"/>
    <x v="0"/>
    <x v="3"/>
    <x v="0"/>
    <x v="0"/>
    <n v="6"/>
    <s v="Sunday"/>
    <x v="2"/>
    <x v="2"/>
    <n v="0.18"/>
    <x v="1"/>
    <n v="0.19700000000000001"/>
    <s v="Cold"/>
    <n v="0.55000000000000004"/>
    <x v="1"/>
    <n v="0.16420000000000001"/>
    <x v="1"/>
    <x v="3"/>
    <n v="7"/>
    <n v="7"/>
    <s v="Low Demand"/>
  </r>
  <r>
    <n v="166"/>
    <x v="7"/>
    <x v="0"/>
    <x v="0"/>
    <x v="0"/>
    <x v="4"/>
    <x v="0"/>
    <x v="0"/>
    <n v="6"/>
    <s v="Sunday"/>
    <x v="2"/>
    <x v="2"/>
    <n v="0.18"/>
    <x v="1"/>
    <n v="0.19700000000000001"/>
    <s v="Cold"/>
    <n v="0.55000000000000004"/>
    <x v="1"/>
    <n v="0.16420000000000001"/>
    <x v="1"/>
    <x v="3"/>
    <n v="1"/>
    <n v="1"/>
    <s v="Low Demand"/>
  </r>
  <r>
    <n v="167"/>
    <x v="7"/>
    <x v="0"/>
    <x v="0"/>
    <x v="0"/>
    <x v="5"/>
    <x v="0"/>
    <x v="0"/>
    <n v="6"/>
    <s v="Sunday"/>
    <x v="1"/>
    <x v="1"/>
    <n v="0.16"/>
    <x v="1"/>
    <n v="0.16669999999999999"/>
    <s v="Cold"/>
    <n v="0.74"/>
    <x v="1"/>
    <n v="0.16420000000000001"/>
    <x v="1"/>
    <x v="3"/>
    <n v="5"/>
    <n v="5"/>
    <s v="Low Demand"/>
  </r>
  <r>
    <n v="168"/>
    <x v="7"/>
    <x v="0"/>
    <x v="0"/>
    <x v="0"/>
    <x v="6"/>
    <x v="1"/>
    <x v="0"/>
    <n v="6"/>
    <s v="Sunday"/>
    <x v="1"/>
    <x v="1"/>
    <n v="0.16"/>
    <x v="1"/>
    <n v="0.16669999999999999"/>
    <s v="Cold"/>
    <n v="0.74"/>
    <x v="1"/>
    <n v="0.16420000000000001"/>
    <x v="1"/>
    <x v="3"/>
    <n v="2"/>
    <n v="2"/>
    <s v="Low Demand"/>
  </r>
  <r>
    <n v="169"/>
    <x v="7"/>
    <x v="0"/>
    <x v="0"/>
    <x v="0"/>
    <x v="7"/>
    <x v="1"/>
    <x v="0"/>
    <n v="6"/>
    <s v="Sunday"/>
    <x v="1"/>
    <x v="1"/>
    <n v="0.16"/>
    <x v="1"/>
    <n v="0.18179999999999999"/>
    <s v="Cold"/>
    <n v="0.74"/>
    <x v="1"/>
    <n v="0.1045"/>
    <x v="0"/>
    <x v="5"/>
    <n v="8"/>
    <n v="9"/>
    <s v="Low Demand"/>
  </r>
  <r>
    <n v="170"/>
    <x v="7"/>
    <x v="0"/>
    <x v="0"/>
    <x v="0"/>
    <x v="8"/>
    <x v="1"/>
    <x v="0"/>
    <n v="6"/>
    <s v="Sunday"/>
    <x v="2"/>
    <x v="2"/>
    <n v="0.16"/>
    <x v="1"/>
    <n v="0.18179999999999999"/>
    <s v="Cold"/>
    <n v="0.93"/>
    <x v="0"/>
    <n v="0.1045"/>
    <x v="0"/>
    <x v="3"/>
    <n v="15"/>
    <n v="15"/>
    <s v="Low Demand"/>
  </r>
  <r>
    <n v="171"/>
    <x v="7"/>
    <x v="0"/>
    <x v="0"/>
    <x v="0"/>
    <x v="9"/>
    <x v="1"/>
    <x v="0"/>
    <n v="6"/>
    <s v="Sunday"/>
    <x v="2"/>
    <x v="2"/>
    <n v="0.16"/>
    <x v="1"/>
    <n v="0.18179999999999999"/>
    <s v="Cold"/>
    <n v="0.93"/>
    <x v="0"/>
    <n v="0.1045"/>
    <x v="0"/>
    <x v="3"/>
    <n v="20"/>
    <n v="20"/>
    <s v="Low Demand"/>
  </r>
  <r>
    <n v="172"/>
    <x v="7"/>
    <x v="0"/>
    <x v="0"/>
    <x v="0"/>
    <x v="10"/>
    <x v="1"/>
    <x v="0"/>
    <n v="6"/>
    <s v="Sunday"/>
    <x v="1"/>
    <x v="1"/>
    <n v="0.18"/>
    <x v="1"/>
    <n v="0.19700000000000001"/>
    <s v="Cold"/>
    <n v="0.8"/>
    <x v="0"/>
    <n v="0.16420000000000001"/>
    <x v="1"/>
    <x v="2"/>
    <n v="56"/>
    <n v="61"/>
    <s v="Low Demand"/>
  </r>
  <r>
    <n v="173"/>
    <x v="7"/>
    <x v="0"/>
    <x v="0"/>
    <x v="0"/>
    <x v="11"/>
    <x v="1"/>
    <x v="0"/>
    <n v="6"/>
    <s v="Sunday"/>
    <x v="1"/>
    <x v="1"/>
    <n v="0.2"/>
    <x v="1"/>
    <n v="0.18179999999999999"/>
    <s v="Cold"/>
    <n v="0.69"/>
    <x v="1"/>
    <n v="0.3881"/>
    <x v="2"/>
    <x v="4"/>
    <n v="60"/>
    <n v="62"/>
    <s v="Low Demand"/>
  </r>
  <r>
    <n v="174"/>
    <x v="7"/>
    <x v="0"/>
    <x v="0"/>
    <x v="0"/>
    <x v="12"/>
    <x v="2"/>
    <x v="0"/>
    <n v="6"/>
    <s v="Sunday"/>
    <x v="1"/>
    <x v="1"/>
    <n v="0.2"/>
    <x v="1"/>
    <n v="0.18179999999999999"/>
    <s v="Cold"/>
    <n v="0.59"/>
    <x v="1"/>
    <n v="0.35820000000000002"/>
    <x v="2"/>
    <x v="1"/>
    <n v="90"/>
    <n v="98"/>
    <s v="Medium Demand"/>
  </r>
  <r>
    <n v="175"/>
    <x v="7"/>
    <x v="0"/>
    <x v="0"/>
    <x v="0"/>
    <x v="13"/>
    <x v="2"/>
    <x v="0"/>
    <n v="6"/>
    <s v="Sunday"/>
    <x v="0"/>
    <x v="0"/>
    <n v="0.2"/>
    <x v="1"/>
    <n v="0.18179999999999999"/>
    <s v="Cold"/>
    <n v="0.44"/>
    <x v="2"/>
    <n v="0.32840000000000003"/>
    <x v="2"/>
    <x v="18"/>
    <n v="95"/>
    <n v="102"/>
    <s v="Medium Demand"/>
  </r>
  <r>
    <n v="176"/>
    <x v="7"/>
    <x v="0"/>
    <x v="0"/>
    <x v="0"/>
    <x v="14"/>
    <x v="2"/>
    <x v="0"/>
    <n v="6"/>
    <s v="Sunday"/>
    <x v="0"/>
    <x v="0"/>
    <n v="0.2"/>
    <x v="1"/>
    <n v="0.16669999999999999"/>
    <s v="Cold"/>
    <n v="0.32"/>
    <x v="2"/>
    <n v="0.49249999999999999"/>
    <x v="3"/>
    <x v="6"/>
    <n v="83"/>
    <n v="95"/>
    <s v="Medium Demand"/>
  </r>
  <r>
    <n v="177"/>
    <x v="7"/>
    <x v="0"/>
    <x v="0"/>
    <x v="0"/>
    <x v="15"/>
    <x v="2"/>
    <x v="0"/>
    <n v="6"/>
    <s v="Sunday"/>
    <x v="0"/>
    <x v="0"/>
    <n v="0.2"/>
    <x v="1"/>
    <n v="0.16669999999999999"/>
    <s v="Cold"/>
    <n v="0.32"/>
    <x v="2"/>
    <n v="0.44779999999999998"/>
    <x v="2"/>
    <x v="2"/>
    <n v="69"/>
    <n v="74"/>
    <s v="Low Demand"/>
  </r>
  <r>
    <n v="178"/>
    <x v="7"/>
    <x v="0"/>
    <x v="0"/>
    <x v="0"/>
    <x v="16"/>
    <x v="2"/>
    <x v="0"/>
    <n v="6"/>
    <s v="Sunday"/>
    <x v="0"/>
    <x v="0"/>
    <n v="0.18"/>
    <x v="1"/>
    <n v="0.13639999999999999"/>
    <s v="Very Cold"/>
    <n v="0.28999999999999998"/>
    <x v="2"/>
    <n v="0.44779999999999998"/>
    <x v="2"/>
    <x v="1"/>
    <n v="68"/>
    <n v="76"/>
    <s v="Medium Demand"/>
  </r>
  <r>
    <n v="179"/>
    <x v="7"/>
    <x v="0"/>
    <x v="0"/>
    <x v="0"/>
    <x v="17"/>
    <x v="2"/>
    <x v="0"/>
    <n v="6"/>
    <s v="Sunday"/>
    <x v="0"/>
    <x v="0"/>
    <n v="0.16"/>
    <x v="1"/>
    <n v="0.1212"/>
    <s v="Very Cold"/>
    <n v="0.37"/>
    <x v="2"/>
    <n v="0.55220000000000002"/>
    <x v="3"/>
    <x v="2"/>
    <n v="64"/>
    <n v="69"/>
    <s v="Low Demand"/>
  </r>
  <r>
    <n v="180"/>
    <x v="7"/>
    <x v="0"/>
    <x v="0"/>
    <x v="0"/>
    <x v="18"/>
    <x v="3"/>
    <x v="0"/>
    <n v="6"/>
    <s v="Sunday"/>
    <x v="0"/>
    <x v="0"/>
    <n v="0.14000000000000001"/>
    <x v="1"/>
    <n v="0.1212"/>
    <s v="Very Cold"/>
    <n v="0.39"/>
    <x v="2"/>
    <n v="0.29849999999999999"/>
    <x v="1"/>
    <x v="0"/>
    <n v="52"/>
    <n v="55"/>
    <s v="Low Demand"/>
  </r>
  <r>
    <n v="181"/>
    <x v="7"/>
    <x v="0"/>
    <x v="0"/>
    <x v="0"/>
    <x v="19"/>
    <x v="3"/>
    <x v="0"/>
    <n v="6"/>
    <s v="Sunday"/>
    <x v="0"/>
    <x v="0"/>
    <n v="0.14000000000000001"/>
    <x v="1"/>
    <n v="0.1212"/>
    <s v="Very Cold"/>
    <n v="0.36"/>
    <x v="2"/>
    <n v="0.25369999999999998"/>
    <x v="1"/>
    <x v="17"/>
    <n v="26"/>
    <n v="30"/>
    <s v="Low Demand"/>
  </r>
  <r>
    <n v="182"/>
    <x v="7"/>
    <x v="0"/>
    <x v="0"/>
    <x v="0"/>
    <x v="20"/>
    <x v="3"/>
    <x v="0"/>
    <n v="6"/>
    <s v="Sunday"/>
    <x v="0"/>
    <x v="0"/>
    <n v="0.12"/>
    <x v="1"/>
    <n v="0.1212"/>
    <s v="Very Cold"/>
    <n v="0.36"/>
    <x v="2"/>
    <n v="0.25369999999999998"/>
    <x v="1"/>
    <x v="3"/>
    <n v="28"/>
    <n v="28"/>
    <s v="Low Demand"/>
  </r>
  <r>
    <n v="183"/>
    <x v="7"/>
    <x v="0"/>
    <x v="0"/>
    <x v="0"/>
    <x v="21"/>
    <x v="3"/>
    <x v="0"/>
    <n v="6"/>
    <s v="Sunday"/>
    <x v="0"/>
    <x v="0"/>
    <n v="0.12"/>
    <x v="1"/>
    <n v="0.1061"/>
    <s v="Very Cold"/>
    <n v="0.39"/>
    <x v="2"/>
    <n v="0.35820000000000002"/>
    <x v="2"/>
    <x v="4"/>
    <n v="35"/>
    <n v="37"/>
    <s v="Low Demand"/>
  </r>
  <r>
    <n v="184"/>
    <x v="7"/>
    <x v="0"/>
    <x v="0"/>
    <x v="0"/>
    <x v="22"/>
    <x v="3"/>
    <x v="0"/>
    <n v="6"/>
    <s v="Sunday"/>
    <x v="0"/>
    <x v="0"/>
    <n v="0.12"/>
    <x v="1"/>
    <n v="0.1061"/>
    <s v="Very Cold"/>
    <n v="0.36"/>
    <x v="2"/>
    <n v="0.3881"/>
    <x v="2"/>
    <x v="5"/>
    <n v="33"/>
    <n v="34"/>
    <s v="Low Demand"/>
  </r>
  <r>
    <n v="185"/>
    <x v="7"/>
    <x v="0"/>
    <x v="0"/>
    <x v="0"/>
    <x v="23"/>
    <x v="3"/>
    <x v="0"/>
    <n v="6"/>
    <s v="Sunday"/>
    <x v="0"/>
    <x v="0"/>
    <n v="0.1"/>
    <x v="1"/>
    <n v="6.0600000000000001E-2"/>
    <s v="Very Cold"/>
    <n v="0.39"/>
    <x v="2"/>
    <n v="0.44779999999999998"/>
    <x v="2"/>
    <x v="3"/>
    <n v="22"/>
    <n v="22"/>
    <s v="Low Demand"/>
  </r>
  <r>
    <n v="186"/>
    <x v="8"/>
    <x v="0"/>
    <x v="0"/>
    <x v="0"/>
    <x v="0"/>
    <x v="0"/>
    <x v="0"/>
    <n v="0"/>
    <s v="Monday"/>
    <x v="0"/>
    <x v="0"/>
    <n v="0.1"/>
    <x v="1"/>
    <n v="7.5800000000000006E-2"/>
    <s v="Very Cold"/>
    <n v="0.42"/>
    <x v="2"/>
    <n v="0.3881"/>
    <x v="2"/>
    <x v="5"/>
    <n v="24"/>
    <n v="25"/>
    <s v="Low Demand"/>
  </r>
  <r>
    <n v="187"/>
    <x v="8"/>
    <x v="0"/>
    <x v="0"/>
    <x v="0"/>
    <x v="1"/>
    <x v="0"/>
    <x v="0"/>
    <n v="0"/>
    <s v="Monday"/>
    <x v="0"/>
    <x v="0"/>
    <n v="0.1"/>
    <x v="1"/>
    <n v="6.0600000000000001E-2"/>
    <s v="Very Cold"/>
    <n v="0.42"/>
    <x v="2"/>
    <n v="0.4627"/>
    <x v="3"/>
    <x v="3"/>
    <n v="12"/>
    <n v="12"/>
    <s v="Low Demand"/>
  </r>
  <r>
    <n v="188"/>
    <x v="8"/>
    <x v="0"/>
    <x v="0"/>
    <x v="0"/>
    <x v="2"/>
    <x v="0"/>
    <x v="0"/>
    <n v="0"/>
    <s v="Monday"/>
    <x v="0"/>
    <x v="0"/>
    <n v="0.1"/>
    <x v="1"/>
    <n v="6.0600000000000001E-2"/>
    <s v="Very Cold"/>
    <n v="0.46"/>
    <x v="2"/>
    <n v="0.4627"/>
    <x v="3"/>
    <x v="3"/>
    <n v="11"/>
    <n v="11"/>
    <s v="Low Demand"/>
  </r>
  <r>
    <n v="189"/>
    <x v="8"/>
    <x v="0"/>
    <x v="0"/>
    <x v="0"/>
    <x v="3"/>
    <x v="0"/>
    <x v="0"/>
    <n v="0"/>
    <s v="Monday"/>
    <x v="0"/>
    <x v="0"/>
    <n v="0.1"/>
    <x v="1"/>
    <n v="7.5800000000000006E-2"/>
    <s v="Very Cold"/>
    <n v="0.46"/>
    <x v="2"/>
    <n v="0.41789999999999999"/>
    <x v="2"/>
    <x v="3"/>
    <n v="4"/>
    <n v="4"/>
    <s v="Low Demand"/>
  </r>
  <r>
    <n v="190"/>
    <x v="8"/>
    <x v="0"/>
    <x v="0"/>
    <x v="0"/>
    <x v="4"/>
    <x v="0"/>
    <x v="0"/>
    <n v="0"/>
    <s v="Monday"/>
    <x v="0"/>
    <x v="0"/>
    <n v="0.08"/>
    <x v="1"/>
    <n v="9.0899999999999995E-2"/>
    <s v="Very Cold"/>
    <n v="0.53"/>
    <x v="1"/>
    <n v="0.19400000000000001"/>
    <x v="1"/>
    <x v="3"/>
    <n v="1"/>
    <n v="1"/>
    <s v="Low Demand"/>
  </r>
  <r>
    <n v="191"/>
    <x v="8"/>
    <x v="0"/>
    <x v="0"/>
    <x v="0"/>
    <x v="5"/>
    <x v="0"/>
    <x v="0"/>
    <n v="0"/>
    <s v="Monday"/>
    <x v="0"/>
    <x v="0"/>
    <n v="0.08"/>
    <x v="1"/>
    <n v="9.0899999999999995E-2"/>
    <s v="Very Cold"/>
    <n v="0.53"/>
    <x v="1"/>
    <n v="0.19400000000000001"/>
    <x v="1"/>
    <x v="3"/>
    <n v="1"/>
    <n v="1"/>
    <s v="Low Demand"/>
  </r>
  <r>
    <n v="192"/>
    <x v="8"/>
    <x v="0"/>
    <x v="0"/>
    <x v="0"/>
    <x v="6"/>
    <x v="1"/>
    <x v="0"/>
    <n v="0"/>
    <s v="Monday"/>
    <x v="0"/>
    <x v="0"/>
    <n v="0.1"/>
    <x v="1"/>
    <n v="9.0899999999999995E-2"/>
    <s v="Very Cold"/>
    <n v="0.49"/>
    <x v="2"/>
    <n v="0.28360000000000002"/>
    <x v="1"/>
    <x v="3"/>
    <n v="1"/>
    <n v="1"/>
    <s v="Low Demand"/>
  </r>
  <r>
    <n v="193"/>
    <x v="8"/>
    <x v="0"/>
    <x v="0"/>
    <x v="0"/>
    <x v="7"/>
    <x v="1"/>
    <x v="0"/>
    <n v="0"/>
    <s v="Monday"/>
    <x v="0"/>
    <x v="0"/>
    <n v="0.08"/>
    <x v="1"/>
    <n v="9.0899999999999995E-2"/>
    <s v="Very Cold"/>
    <n v="0.53"/>
    <x v="1"/>
    <n v="0.19400000000000001"/>
    <x v="1"/>
    <x v="5"/>
    <n v="5"/>
    <n v="6"/>
    <s v="Low Demand"/>
  </r>
  <r>
    <n v="194"/>
    <x v="8"/>
    <x v="0"/>
    <x v="0"/>
    <x v="0"/>
    <x v="8"/>
    <x v="1"/>
    <x v="0"/>
    <n v="0"/>
    <s v="Monday"/>
    <x v="0"/>
    <x v="0"/>
    <n v="0.1"/>
    <x v="1"/>
    <n v="9.0899999999999995E-2"/>
    <s v="Very Cold"/>
    <n v="0.49"/>
    <x v="2"/>
    <n v="0.28360000000000002"/>
    <x v="1"/>
    <x v="3"/>
    <n v="10"/>
    <n v="10"/>
    <s v="Low Demand"/>
  </r>
  <r>
    <n v="195"/>
    <x v="8"/>
    <x v="0"/>
    <x v="0"/>
    <x v="0"/>
    <x v="9"/>
    <x v="1"/>
    <x v="0"/>
    <n v="0"/>
    <s v="Monday"/>
    <x v="0"/>
    <x v="0"/>
    <n v="0.12"/>
    <x v="1"/>
    <n v="7.5800000000000006E-2"/>
    <s v="Very Cold"/>
    <n v="0.46"/>
    <x v="2"/>
    <n v="0.52239999999999998"/>
    <x v="3"/>
    <x v="3"/>
    <n v="19"/>
    <n v="19"/>
    <s v="Low Demand"/>
  </r>
  <r>
    <n v="196"/>
    <x v="8"/>
    <x v="0"/>
    <x v="0"/>
    <x v="0"/>
    <x v="10"/>
    <x v="1"/>
    <x v="0"/>
    <n v="0"/>
    <s v="Monday"/>
    <x v="0"/>
    <x v="0"/>
    <n v="0.14000000000000001"/>
    <x v="1"/>
    <n v="0.1061"/>
    <s v="Very Cold"/>
    <n v="0.43"/>
    <x v="2"/>
    <n v="0.3881"/>
    <x v="2"/>
    <x v="3"/>
    <n v="49"/>
    <n v="49"/>
    <s v="Low Demand"/>
  </r>
  <r>
    <n v="197"/>
    <x v="8"/>
    <x v="0"/>
    <x v="0"/>
    <x v="0"/>
    <x v="11"/>
    <x v="1"/>
    <x v="0"/>
    <n v="0"/>
    <s v="Monday"/>
    <x v="0"/>
    <x v="0"/>
    <n v="0.16"/>
    <x v="1"/>
    <n v="0.1212"/>
    <s v="Very Cold"/>
    <n v="0.4"/>
    <x v="2"/>
    <n v="0.52239999999999998"/>
    <x v="3"/>
    <x v="4"/>
    <n v="47"/>
    <n v="49"/>
    <s v="Low Demand"/>
  </r>
  <r>
    <n v="198"/>
    <x v="8"/>
    <x v="0"/>
    <x v="0"/>
    <x v="0"/>
    <x v="12"/>
    <x v="2"/>
    <x v="0"/>
    <n v="0"/>
    <s v="Monday"/>
    <x v="0"/>
    <x v="0"/>
    <n v="0.18"/>
    <x v="1"/>
    <n v="0.13639999999999999"/>
    <s v="Very Cold"/>
    <n v="0.37"/>
    <x v="2"/>
    <n v="0.44779999999999998"/>
    <x v="2"/>
    <x v="17"/>
    <n v="79"/>
    <n v="83"/>
    <s v="Medium Demand"/>
  </r>
  <r>
    <n v="199"/>
    <x v="8"/>
    <x v="0"/>
    <x v="0"/>
    <x v="0"/>
    <x v="13"/>
    <x v="2"/>
    <x v="0"/>
    <n v="0"/>
    <s v="Monday"/>
    <x v="0"/>
    <x v="0"/>
    <n v="0.2"/>
    <x v="1"/>
    <n v="0.16669999999999999"/>
    <s v="Cold"/>
    <n v="0.34"/>
    <x v="2"/>
    <n v="0.44779999999999998"/>
    <x v="2"/>
    <x v="15"/>
    <n v="69"/>
    <n v="75"/>
    <s v="Low Demand"/>
  </r>
  <r>
    <n v="200"/>
    <x v="8"/>
    <x v="0"/>
    <x v="0"/>
    <x v="0"/>
    <x v="14"/>
    <x v="2"/>
    <x v="0"/>
    <n v="0"/>
    <s v="Monday"/>
    <x v="0"/>
    <x v="0"/>
    <n v="0.22"/>
    <x v="0"/>
    <n v="0.18179999999999999"/>
    <s v="Cold"/>
    <n v="0.32"/>
    <x v="2"/>
    <n v="0.4627"/>
    <x v="3"/>
    <x v="1"/>
    <n v="64"/>
    <n v="72"/>
    <s v="Low Demand"/>
  </r>
  <r>
    <n v="201"/>
    <x v="8"/>
    <x v="0"/>
    <x v="0"/>
    <x v="0"/>
    <x v="15"/>
    <x v="2"/>
    <x v="0"/>
    <n v="0"/>
    <s v="Monday"/>
    <x v="0"/>
    <x v="0"/>
    <n v="0.22"/>
    <x v="0"/>
    <n v="0.19700000000000001"/>
    <s v="Cold"/>
    <n v="0.35"/>
    <x v="2"/>
    <n v="0.35820000000000002"/>
    <x v="2"/>
    <x v="2"/>
    <n v="77"/>
    <n v="82"/>
    <s v="Medium Demand"/>
  </r>
  <r>
    <n v="202"/>
    <x v="8"/>
    <x v="0"/>
    <x v="0"/>
    <x v="0"/>
    <x v="16"/>
    <x v="2"/>
    <x v="0"/>
    <n v="0"/>
    <s v="Monday"/>
    <x v="0"/>
    <x v="0"/>
    <n v="0.2"/>
    <x v="1"/>
    <n v="0.16669999999999999"/>
    <s v="Cold"/>
    <n v="0.34"/>
    <x v="2"/>
    <n v="0.44779999999999998"/>
    <x v="2"/>
    <x v="23"/>
    <n v="79"/>
    <n v="92"/>
    <s v="Medium Demand"/>
  </r>
  <r>
    <n v="203"/>
    <x v="8"/>
    <x v="0"/>
    <x v="0"/>
    <x v="0"/>
    <x v="17"/>
    <x v="2"/>
    <x v="0"/>
    <n v="0"/>
    <s v="Monday"/>
    <x v="0"/>
    <x v="0"/>
    <n v="0.18"/>
    <x v="1"/>
    <n v="0.1515"/>
    <s v="Cold"/>
    <n v="0.37"/>
    <x v="2"/>
    <n v="0.3881"/>
    <x v="2"/>
    <x v="0"/>
    <n v="59"/>
    <n v="62"/>
    <s v="Low Demand"/>
  </r>
  <r>
    <n v="204"/>
    <x v="8"/>
    <x v="0"/>
    <x v="0"/>
    <x v="0"/>
    <x v="18"/>
    <x v="3"/>
    <x v="0"/>
    <n v="0"/>
    <s v="Monday"/>
    <x v="0"/>
    <x v="0"/>
    <n v="0.16"/>
    <x v="1"/>
    <n v="0.13639999999999999"/>
    <s v="Very Cold"/>
    <n v="0.4"/>
    <x v="2"/>
    <n v="0.32840000000000003"/>
    <x v="2"/>
    <x v="17"/>
    <n v="44"/>
    <n v="48"/>
    <s v="Low Demand"/>
  </r>
  <r>
    <n v="205"/>
    <x v="8"/>
    <x v="0"/>
    <x v="0"/>
    <x v="0"/>
    <x v="19"/>
    <x v="3"/>
    <x v="0"/>
    <n v="0"/>
    <s v="Monday"/>
    <x v="0"/>
    <x v="0"/>
    <n v="0.16"/>
    <x v="1"/>
    <n v="0.13639999999999999"/>
    <s v="Very Cold"/>
    <n v="0.43"/>
    <x v="2"/>
    <n v="0.32840000000000003"/>
    <x v="2"/>
    <x v="5"/>
    <n v="40"/>
    <n v="41"/>
    <s v="Low Demand"/>
  </r>
  <r>
    <n v="206"/>
    <x v="8"/>
    <x v="0"/>
    <x v="0"/>
    <x v="0"/>
    <x v="20"/>
    <x v="3"/>
    <x v="0"/>
    <n v="0"/>
    <s v="Monday"/>
    <x v="0"/>
    <x v="0"/>
    <n v="0.14000000000000001"/>
    <x v="1"/>
    <n v="0.1212"/>
    <s v="Very Cold"/>
    <n v="0.46"/>
    <x v="2"/>
    <n v="0.25369999999999998"/>
    <x v="1"/>
    <x v="3"/>
    <n v="38"/>
    <n v="38"/>
    <s v="Low Demand"/>
  </r>
  <r>
    <n v="207"/>
    <x v="8"/>
    <x v="0"/>
    <x v="0"/>
    <x v="0"/>
    <x v="21"/>
    <x v="3"/>
    <x v="0"/>
    <n v="0"/>
    <s v="Monday"/>
    <x v="0"/>
    <x v="0"/>
    <n v="0.14000000000000001"/>
    <x v="1"/>
    <n v="0.1061"/>
    <s v="Very Cold"/>
    <n v="0.46"/>
    <x v="2"/>
    <n v="0.41789999999999999"/>
    <x v="2"/>
    <x v="5"/>
    <n v="19"/>
    <n v="20"/>
    <s v="Low Demand"/>
  </r>
  <r>
    <n v="208"/>
    <x v="8"/>
    <x v="0"/>
    <x v="0"/>
    <x v="0"/>
    <x v="22"/>
    <x v="3"/>
    <x v="0"/>
    <n v="0"/>
    <s v="Monday"/>
    <x v="0"/>
    <x v="0"/>
    <n v="0.14000000000000001"/>
    <x v="1"/>
    <n v="0.1212"/>
    <s v="Very Cold"/>
    <n v="0.46"/>
    <x v="2"/>
    <n v="0.29849999999999999"/>
    <x v="1"/>
    <x v="2"/>
    <n v="10"/>
    <n v="15"/>
    <s v="Low Demand"/>
  </r>
  <r>
    <n v="209"/>
    <x v="8"/>
    <x v="0"/>
    <x v="0"/>
    <x v="0"/>
    <x v="23"/>
    <x v="3"/>
    <x v="0"/>
    <n v="0"/>
    <s v="Monday"/>
    <x v="0"/>
    <x v="0"/>
    <n v="0.12"/>
    <x v="1"/>
    <n v="0.13639999999999999"/>
    <s v="Very Cold"/>
    <n v="0.5"/>
    <x v="2"/>
    <n v="0.19400000000000001"/>
    <x v="1"/>
    <x v="3"/>
    <n v="6"/>
    <n v="6"/>
    <s v="Low Demand"/>
  </r>
  <r>
    <n v="210"/>
    <x v="9"/>
    <x v="0"/>
    <x v="0"/>
    <x v="0"/>
    <x v="0"/>
    <x v="0"/>
    <x v="0"/>
    <n v="1"/>
    <s v="Tuesday"/>
    <x v="0"/>
    <x v="0"/>
    <n v="0.12"/>
    <x v="1"/>
    <n v="0.1212"/>
    <s v="Very Cold"/>
    <n v="0.5"/>
    <x v="2"/>
    <n v="0.28360000000000002"/>
    <x v="1"/>
    <x v="4"/>
    <n v="3"/>
    <n v="5"/>
    <s v="Low Demand"/>
  </r>
  <r>
    <n v="211"/>
    <x v="9"/>
    <x v="0"/>
    <x v="0"/>
    <x v="0"/>
    <x v="1"/>
    <x v="0"/>
    <x v="0"/>
    <n v="1"/>
    <s v="Tuesday"/>
    <x v="0"/>
    <x v="0"/>
    <n v="0.12"/>
    <x v="1"/>
    <n v="0.1212"/>
    <s v="Very Cold"/>
    <n v="0.5"/>
    <x v="2"/>
    <n v="0.28360000000000002"/>
    <x v="1"/>
    <x v="5"/>
    <n v="0"/>
    <n v="1"/>
    <s v="Low Demand"/>
  </r>
  <r>
    <n v="212"/>
    <x v="9"/>
    <x v="0"/>
    <x v="0"/>
    <x v="0"/>
    <x v="2"/>
    <x v="0"/>
    <x v="0"/>
    <n v="1"/>
    <s v="Tuesday"/>
    <x v="0"/>
    <x v="0"/>
    <n v="0.12"/>
    <x v="1"/>
    <n v="0.1212"/>
    <s v="Very Cold"/>
    <n v="0.5"/>
    <x v="2"/>
    <n v="0.22389999999999999"/>
    <x v="1"/>
    <x v="3"/>
    <n v="3"/>
    <n v="3"/>
    <s v="Low Demand"/>
  </r>
  <r>
    <n v="213"/>
    <x v="9"/>
    <x v="0"/>
    <x v="0"/>
    <x v="0"/>
    <x v="3"/>
    <x v="0"/>
    <x v="0"/>
    <n v="1"/>
    <s v="Tuesday"/>
    <x v="0"/>
    <x v="0"/>
    <n v="0.12"/>
    <x v="1"/>
    <n v="0.1212"/>
    <s v="Very Cold"/>
    <n v="0.5"/>
    <x v="2"/>
    <n v="0.22389999999999999"/>
    <x v="1"/>
    <x v="3"/>
    <n v="1"/>
    <n v="1"/>
    <s v="Low Demand"/>
  </r>
  <r>
    <n v="214"/>
    <x v="9"/>
    <x v="0"/>
    <x v="0"/>
    <x v="0"/>
    <x v="4"/>
    <x v="0"/>
    <x v="0"/>
    <n v="1"/>
    <s v="Tuesday"/>
    <x v="0"/>
    <x v="0"/>
    <n v="0.1"/>
    <x v="1"/>
    <n v="0.1212"/>
    <s v="Very Cold"/>
    <n v="0.54"/>
    <x v="1"/>
    <n v="0.1343"/>
    <x v="0"/>
    <x v="5"/>
    <n v="2"/>
    <n v="3"/>
    <s v="Low Demand"/>
  </r>
  <r>
    <n v="215"/>
    <x v="9"/>
    <x v="0"/>
    <x v="0"/>
    <x v="0"/>
    <x v="5"/>
    <x v="0"/>
    <x v="0"/>
    <n v="1"/>
    <s v="Tuesday"/>
    <x v="0"/>
    <x v="0"/>
    <n v="0.1"/>
    <x v="1"/>
    <n v="0.1061"/>
    <s v="Very Cold"/>
    <n v="0.54"/>
    <x v="1"/>
    <n v="0.25369999999999998"/>
    <x v="1"/>
    <x v="3"/>
    <n v="3"/>
    <n v="3"/>
    <s v="Low Demand"/>
  </r>
  <r>
    <n v="216"/>
    <x v="9"/>
    <x v="0"/>
    <x v="0"/>
    <x v="0"/>
    <x v="6"/>
    <x v="1"/>
    <x v="0"/>
    <n v="1"/>
    <s v="Tuesday"/>
    <x v="0"/>
    <x v="0"/>
    <n v="0.12"/>
    <x v="1"/>
    <n v="0.1212"/>
    <s v="Very Cold"/>
    <n v="0.5"/>
    <x v="2"/>
    <n v="0.28360000000000002"/>
    <x v="1"/>
    <x v="3"/>
    <n v="31"/>
    <n v="31"/>
    <s v="Low Demand"/>
  </r>
  <r>
    <n v="217"/>
    <x v="9"/>
    <x v="0"/>
    <x v="0"/>
    <x v="0"/>
    <x v="7"/>
    <x v="1"/>
    <x v="0"/>
    <n v="1"/>
    <s v="Tuesday"/>
    <x v="0"/>
    <x v="0"/>
    <n v="0.12"/>
    <x v="1"/>
    <n v="0.1212"/>
    <s v="Very Cold"/>
    <n v="0.5"/>
    <x v="2"/>
    <n v="0.22389999999999999"/>
    <x v="1"/>
    <x v="4"/>
    <n v="75"/>
    <n v="77"/>
    <s v="Medium Demand"/>
  </r>
  <r>
    <n v="218"/>
    <x v="9"/>
    <x v="0"/>
    <x v="0"/>
    <x v="0"/>
    <x v="8"/>
    <x v="1"/>
    <x v="0"/>
    <n v="1"/>
    <s v="Tuesday"/>
    <x v="1"/>
    <x v="1"/>
    <n v="0.12"/>
    <x v="1"/>
    <n v="0.1212"/>
    <s v="Very Cold"/>
    <n v="0.5"/>
    <x v="2"/>
    <n v="0.28360000000000002"/>
    <x v="1"/>
    <x v="17"/>
    <n v="184"/>
    <n v="188"/>
    <s v="High Demand"/>
  </r>
  <r>
    <n v="219"/>
    <x v="9"/>
    <x v="0"/>
    <x v="0"/>
    <x v="0"/>
    <x v="9"/>
    <x v="1"/>
    <x v="0"/>
    <n v="1"/>
    <s v="Tuesday"/>
    <x v="1"/>
    <x v="1"/>
    <n v="0.14000000000000001"/>
    <x v="1"/>
    <n v="0.1212"/>
    <s v="Very Cold"/>
    <n v="0.5"/>
    <x v="2"/>
    <n v="0.25369999999999998"/>
    <x v="1"/>
    <x v="4"/>
    <n v="92"/>
    <n v="94"/>
    <s v="Medium Demand"/>
  </r>
  <r>
    <n v="220"/>
    <x v="9"/>
    <x v="0"/>
    <x v="0"/>
    <x v="0"/>
    <x v="10"/>
    <x v="1"/>
    <x v="0"/>
    <n v="1"/>
    <s v="Tuesday"/>
    <x v="1"/>
    <x v="1"/>
    <n v="0.14000000000000001"/>
    <x v="1"/>
    <n v="0.1212"/>
    <s v="Very Cold"/>
    <n v="0.5"/>
    <x v="2"/>
    <n v="0.29849999999999999"/>
    <x v="1"/>
    <x v="3"/>
    <n v="31"/>
    <n v="31"/>
    <s v="Low Demand"/>
  </r>
  <r>
    <n v="221"/>
    <x v="9"/>
    <x v="0"/>
    <x v="0"/>
    <x v="0"/>
    <x v="11"/>
    <x v="1"/>
    <x v="0"/>
    <n v="1"/>
    <s v="Tuesday"/>
    <x v="1"/>
    <x v="1"/>
    <n v="0.16"/>
    <x v="1"/>
    <n v="0.13639999999999999"/>
    <s v="Very Cold"/>
    <n v="0.47"/>
    <x v="2"/>
    <n v="0.28360000000000002"/>
    <x v="1"/>
    <x v="4"/>
    <n v="28"/>
    <n v="30"/>
    <s v="Low Demand"/>
  </r>
  <r>
    <n v="222"/>
    <x v="9"/>
    <x v="0"/>
    <x v="0"/>
    <x v="0"/>
    <x v="12"/>
    <x v="2"/>
    <x v="0"/>
    <n v="1"/>
    <s v="Tuesday"/>
    <x v="1"/>
    <x v="1"/>
    <n v="0.2"/>
    <x v="1"/>
    <n v="0.18179999999999999"/>
    <s v="Cold"/>
    <n v="0.4"/>
    <x v="2"/>
    <n v="0.28360000000000002"/>
    <x v="1"/>
    <x v="2"/>
    <n v="47"/>
    <n v="52"/>
    <s v="Low Demand"/>
  </r>
  <r>
    <n v="223"/>
    <x v="9"/>
    <x v="0"/>
    <x v="0"/>
    <x v="0"/>
    <x v="13"/>
    <x v="2"/>
    <x v="0"/>
    <n v="1"/>
    <s v="Tuesday"/>
    <x v="1"/>
    <x v="1"/>
    <n v="0.2"/>
    <x v="1"/>
    <n v="0.18179999999999999"/>
    <s v="Cold"/>
    <n v="0.4"/>
    <x v="2"/>
    <n v="0.28360000000000002"/>
    <x v="1"/>
    <x v="17"/>
    <n v="50"/>
    <n v="54"/>
    <s v="Low Demand"/>
  </r>
  <r>
    <n v="224"/>
    <x v="9"/>
    <x v="0"/>
    <x v="0"/>
    <x v="0"/>
    <x v="14"/>
    <x v="2"/>
    <x v="0"/>
    <n v="1"/>
    <s v="Tuesday"/>
    <x v="1"/>
    <x v="1"/>
    <n v="0.2"/>
    <x v="1"/>
    <n v="0.19700000000000001"/>
    <s v="Cold"/>
    <n v="0.4"/>
    <x v="2"/>
    <n v="0.22389999999999999"/>
    <x v="1"/>
    <x v="3"/>
    <n v="47"/>
    <n v="47"/>
    <s v="Low Demand"/>
  </r>
  <r>
    <n v="225"/>
    <x v="9"/>
    <x v="0"/>
    <x v="0"/>
    <x v="0"/>
    <x v="15"/>
    <x v="2"/>
    <x v="0"/>
    <n v="1"/>
    <s v="Tuesday"/>
    <x v="1"/>
    <x v="1"/>
    <n v="0.2"/>
    <x v="1"/>
    <n v="0.19700000000000001"/>
    <s v="Cold"/>
    <n v="0.4"/>
    <x v="2"/>
    <n v="0.22389999999999999"/>
    <x v="1"/>
    <x v="4"/>
    <n v="43"/>
    <n v="45"/>
    <s v="Low Demand"/>
  </r>
  <r>
    <n v="226"/>
    <x v="9"/>
    <x v="0"/>
    <x v="0"/>
    <x v="0"/>
    <x v="16"/>
    <x v="2"/>
    <x v="0"/>
    <n v="1"/>
    <s v="Tuesday"/>
    <x v="0"/>
    <x v="0"/>
    <n v="0.2"/>
    <x v="1"/>
    <n v="0.21210000000000001"/>
    <s v="Cold"/>
    <n v="0.4"/>
    <x v="2"/>
    <n v="0.1343"/>
    <x v="0"/>
    <x v="17"/>
    <n v="70"/>
    <n v="74"/>
    <s v="Low Demand"/>
  </r>
  <r>
    <n v="227"/>
    <x v="9"/>
    <x v="0"/>
    <x v="0"/>
    <x v="0"/>
    <x v="17"/>
    <x v="2"/>
    <x v="0"/>
    <n v="1"/>
    <s v="Tuesday"/>
    <x v="0"/>
    <x v="0"/>
    <n v="0.2"/>
    <x v="1"/>
    <n v="0.2273"/>
    <s v="Cold"/>
    <n v="0.4"/>
    <x v="2"/>
    <n v="0.1045"/>
    <x v="0"/>
    <x v="17"/>
    <n v="174"/>
    <n v="178"/>
    <s v="High Demand"/>
  </r>
  <r>
    <n v="228"/>
    <x v="9"/>
    <x v="0"/>
    <x v="0"/>
    <x v="0"/>
    <x v="18"/>
    <x v="3"/>
    <x v="0"/>
    <n v="1"/>
    <s v="Tuesday"/>
    <x v="0"/>
    <x v="0"/>
    <n v="0.2"/>
    <x v="1"/>
    <n v="0.19700000000000001"/>
    <s v="Cold"/>
    <n v="0.4"/>
    <x v="2"/>
    <n v="0.22389999999999999"/>
    <x v="1"/>
    <x v="5"/>
    <n v="154"/>
    <n v="155"/>
    <s v="High Demand"/>
  </r>
  <r>
    <n v="229"/>
    <x v="9"/>
    <x v="0"/>
    <x v="0"/>
    <x v="0"/>
    <x v="19"/>
    <x v="3"/>
    <x v="0"/>
    <n v="1"/>
    <s v="Tuesday"/>
    <x v="0"/>
    <x v="0"/>
    <n v="0.16"/>
    <x v="1"/>
    <n v="0.16669999999999999"/>
    <s v="Cold"/>
    <n v="0.47"/>
    <x v="2"/>
    <n v="0.16420000000000001"/>
    <x v="1"/>
    <x v="0"/>
    <n v="92"/>
    <n v="95"/>
    <s v="Medium Demand"/>
  </r>
  <r>
    <n v="230"/>
    <x v="9"/>
    <x v="0"/>
    <x v="0"/>
    <x v="0"/>
    <x v="20"/>
    <x v="3"/>
    <x v="0"/>
    <n v="1"/>
    <s v="Tuesday"/>
    <x v="0"/>
    <x v="0"/>
    <n v="0.16"/>
    <x v="1"/>
    <n v="0.16669999999999999"/>
    <s v="Cold"/>
    <n v="0.5"/>
    <x v="2"/>
    <n v="0.16420000000000001"/>
    <x v="1"/>
    <x v="5"/>
    <n v="73"/>
    <n v="74"/>
    <s v="Low Demand"/>
  </r>
  <r>
    <n v="231"/>
    <x v="9"/>
    <x v="0"/>
    <x v="0"/>
    <x v="0"/>
    <x v="21"/>
    <x v="3"/>
    <x v="0"/>
    <n v="1"/>
    <s v="Tuesday"/>
    <x v="0"/>
    <x v="0"/>
    <n v="0.14000000000000001"/>
    <x v="1"/>
    <n v="0.13639999999999999"/>
    <s v="Very Cold"/>
    <n v="0.59"/>
    <x v="1"/>
    <n v="0.19400000000000001"/>
    <x v="1"/>
    <x v="5"/>
    <n v="37"/>
    <n v="38"/>
    <s v="Low Demand"/>
  </r>
  <r>
    <n v="232"/>
    <x v="9"/>
    <x v="0"/>
    <x v="0"/>
    <x v="0"/>
    <x v="22"/>
    <x v="3"/>
    <x v="0"/>
    <n v="1"/>
    <s v="Tuesday"/>
    <x v="0"/>
    <x v="0"/>
    <n v="0.14000000000000001"/>
    <x v="1"/>
    <n v="0.1515"/>
    <s v="Cold"/>
    <n v="0.59"/>
    <x v="1"/>
    <n v="0.16420000000000001"/>
    <x v="1"/>
    <x v="4"/>
    <n v="22"/>
    <n v="24"/>
    <s v="Low Demand"/>
  </r>
  <r>
    <n v="233"/>
    <x v="9"/>
    <x v="0"/>
    <x v="0"/>
    <x v="0"/>
    <x v="23"/>
    <x v="3"/>
    <x v="0"/>
    <n v="1"/>
    <s v="Tuesday"/>
    <x v="0"/>
    <x v="0"/>
    <n v="0.14000000000000001"/>
    <x v="1"/>
    <n v="0.1515"/>
    <s v="Cold"/>
    <n v="0.59"/>
    <x v="1"/>
    <n v="0.16420000000000001"/>
    <x v="1"/>
    <x v="3"/>
    <n v="18"/>
    <n v="18"/>
    <s v="Low Demand"/>
  </r>
  <r>
    <n v="234"/>
    <x v="10"/>
    <x v="0"/>
    <x v="0"/>
    <x v="0"/>
    <x v="0"/>
    <x v="0"/>
    <x v="0"/>
    <n v="2"/>
    <s v="Wednesday"/>
    <x v="0"/>
    <x v="0"/>
    <n v="0.14000000000000001"/>
    <x v="1"/>
    <n v="0.16669999999999999"/>
    <s v="Cold"/>
    <n v="0.59"/>
    <x v="1"/>
    <n v="0.1045"/>
    <x v="0"/>
    <x v="4"/>
    <n v="10"/>
    <n v="12"/>
    <s v="Low Demand"/>
  </r>
  <r>
    <n v="235"/>
    <x v="10"/>
    <x v="0"/>
    <x v="0"/>
    <x v="0"/>
    <x v="1"/>
    <x v="0"/>
    <x v="0"/>
    <n v="2"/>
    <s v="Wednesday"/>
    <x v="0"/>
    <x v="0"/>
    <n v="0.14000000000000001"/>
    <x v="1"/>
    <n v="0.1515"/>
    <s v="Cold"/>
    <n v="0.59"/>
    <x v="1"/>
    <n v="0.16420000000000001"/>
    <x v="1"/>
    <x v="3"/>
    <n v="3"/>
    <n v="3"/>
    <s v="Low Demand"/>
  </r>
  <r>
    <n v="236"/>
    <x v="10"/>
    <x v="0"/>
    <x v="0"/>
    <x v="0"/>
    <x v="2"/>
    <x v="0"/>
    <x v="0"/>
    <n v="2"/>
    <s v="Wednesday"/>
    <x v="1"/>
    <x v="1"/>
    <n v="0.16"/>
    <x v="1"/>
    <n v="0.1515"/>
    <s v="Cold"/>
    <n v="0.55000000000000004"/>
    <x v="1"/>
    <n v="0.19400000000000001"/>
    <x v="1"/>
    <x v="3"/>
    <n v="3"/>
    <n v="3"/>
    <s v="Low Demand"/>
  </r>
  <r>
    <n v="237"/>
    <x v="10"/>
    <x v="0"/>
    <x v="0"/>
    <x v="0"/>
    <x v="5"/>
    <x v="0"/>
    <x v="0"/>
    <n v="2"/>
    <s v="Wednesday"/>
    <x v="1"/>
    <x v="1"/>
    <n v="0.16"/>
    <x v="1"/>
    <n v="0.18179999999999999"/>
    <s v="Cold"/>
    <n v="0.55000000000000004"/>
    <x v="1"/>
    <n v="0.1343"/>
    <x v="0"/>
    <x v="3"/>
    <n v="6"/>
    <n v="6"/>
    <s v="Low Demand"/>
  </r>
  <r>
    <n v="238"/>
    <x v="10"/>
    <x v="0"/>
    <x v="0"/>
    <x v="0"/>
    <x v="6"/>
    <x v="1"/>
    <x v="0"/>
    <n v="2"/>
    <s v="Wednesday"/>
    <x v="1"/>
    <x v="1"/>
    <n v="0.16"/>
    <x v="1"/>
    <n v="0.18179999999999999"/>
    <s v="Cold"/>
    <n v="0.55000000000000004"/>
    <x v="1"/>
    <n v="0.1343"/>
    <x v="0"/>
    <x v="3"/>
    <n v="27"/>
    <n v="27"/>
    <s v="Low Demand"/>
  </r>
  <r>
    <n v="239"/>
    <x v="10"/>
    <x v="0"/>
    <x v="0"/>
    <x v="0"/>
    <x v="7"/>
    <x v="1"/>
    <x v="0"/>
    <n v="2"/>
    <s v="Wednesday"/>
    <x v="1"/>
    <x v="1"/>
    <n v="0.16"/>
    <x v="1"/>
    <n v="0.2273"/>
    <s v="Cold"/>
    <n v="0.55000000000000004"/>
    <x v="1"/>
    <n v="0"/>
    <x v="0"/>
    <x v="4"/>
    <n v="97"/>
    <n v="99"/>
    <s v="Medium Demand"/>
  </r>
  <r>
    <n v="240"/>
    <x v="10"/>
    <x v="0"/>
    <x v="0"/>
    <x v="0"/>
    <x v="8"/>
    <x v="1"/>
    <x v="0"/>
    <n v="2"/>
    <s v="Wednesday"/>
    <x v="1"/>
    <x v="1"/>
    <n v="0.18"/>
    <x v="1"/>
    <n v="0.21210000000000001"/>
    <s v="Cold"/>
    <n v="0.51"/>
    <x v="1"/>
    <n v="8.9599999999999999E-2"/>
    <x v="0"/>
    <x v="0"/>
    <n v="214"/>
    <n v="217"/>
    <s v="High Demand"/>
  </r>
  <r>
    <n v="241"/>
    <x v="10"/>
    <x v="0"/>
    <x v="0"/>
    <x v="0"/>
    <x v="9"/>
    <x v="1"/>
    <x v="0"/>
    <n v="2"/>
    <s v="Wednesday"/>
    <x v="1"/>
    <x v="1"/>
    <n v="0.18"/>
    <x v="1"/>
    <n v="0.19700000000000001"/>
    <s v="Cold"/>
    <n v="0.51"/>
    <x v="1"/>
    <n v="0.16420000000000001"/>
    <x v="1"/>
    <x v="0"/>
    <n v="127"/>
    <n v="130"/>
    <s v="Medium Demand"/>
  </r>
  <r>
    <n v="242"/>
    <x v="10"/>
    <x v="0"/>
    <x v="0"/>
    <x v="0"/>
    <x v="10"/>
    <x v="1"/>
    <x v="0"/>
    <n v="2"/>
    <s v="Wednesday"/>
    <x v="1"/>
    <x v="1"/>
    <n v="0.2"/>
    <x v="1"/>
    <n v="0.21210000000000001"/>
    <s v="Cold"/>
    <n v="0.51"/>
    <x v="1"/>
    <n v="0.16420000000000001"/>
    <x v="1"/>
    <x v="0"/>
    <n v="51"/>
    <n v="54"/>
    <s v="Low Demand"/>
  </r>
  <r>
    <n v="243"/>
    <x v="10"/>
    <x v="0"/>
    <x v="0"/>
    <x v="0"/>
    <x v="11"/>
    <x v="1"/>
    <x v="0"/>
    <n v="2"/>
    <s v="Wednesday"/>
    <x v="1"/>
    <x v="1"/>
    <n v="0.2"/>
    <x v="1"/>
    <n v="0.21210000000000001"/>
    <s v="Cold"/>
    <n v="0.47"/>
    <x v="2"/>
    <n v="0.1343"/>
    <x v="0"/>
    <x v="17"/>
    <n v="31"/>
    <n v="35"/>
    <s v="Low Demand"/>
  </r>
  <r>
    <n v="244"/>
    <x v="10"/>
    <x v="0"/>
    <x v="0"/>
    <x v="0"/>
    <x v="12"/>
    <x v="2"/>
    <x v="0"/>
    <n v="2"/>
    <s v="Wednesday"/>
    <x v="1"/>
    <x v="1"/>
    <n v="0.2"/>
    <x v="1"/>
    <n v="0.2273"/>
    <s v="Cold"/>
    <n v="0.51"/>
    <x v="1"/>
    <n v="0.1045"/>
    <x v="0"/>
    <x v="4"/>
    <n v="55"/>
    <n v="57"/>
    <s v="Low Demand"/>
  </r>
  <r>
    <n v="245"/>
    <x v="10"/>
    <x v="0"/>
    <x v="0"/>
    <x v="0"/>
    <x v="13"/>
    <x v="2"/>
    <x v="0"/>
    <n v="2"/>
    <s v="Wednesday"/>
    <x v="1"/>
    <x v="1"/>
    <n v="0.2"/>
    <x v="1"/>
    <n v="0.2273"/>
    <s v="Cold"/>
    <n v="0.59"/>
    <x v="1"/>
    <n v="8.9599999999999999E-2"/>
    <x v="0"/>
    <x v="15"/>
    <n v="46"/>
    <n v="52"/>
    <s v="Low Demand"/>
  </r>
  <r>
    <n v="246"/>
    <x v="10"/>
    <x v="0"/>
    <x v="0"/>
    <x v="0"/>
    <x v="14"/>
    <x v="2"/>
    <x v="0"/>
    <n v="2"/>
    <s v="Wednesday"/>
    <x v="1"/>
    <x v="1"/>
    <n v="0.2"/>
    <x v="1"/>
    <n v="0.2273"/>
    <s v="Cold"/>
    <n v="0.59"/>
    <x v="1"/>
    <n v="8.9599999999999999E-2"/>
    <x v="0"/>
    <x v="0"/>
    <n v="60"/>
    <n v="63"/>
    <s v="Low Demand"/>
  </r>
  <r>
    <n v="247"/>
    <x v="10"/>
    <x v="0"/>
    <x v="0"/>
    <x v="0"/>
    <x v="15"/>
    <x v="2"/>
    <x v="0"/>
    <n v="2"/>
    <s v="Wednesday"/>
    <x v="1"/>
    <x v="1"/>
    <n v="0.16"/>
    <x v="1"/>
    <n v="0.19700000000000001"/>
    <s v="Cold"/>
    <n v="0.8"/>
    <x v="0"/>
    <n v="8.9599999999999999E-2"/>
    <x v="0"/>
    <x v="4"/>
    <n v="45"/>
    <n v="47"/>
    <s v="Low Demand"/>
  </r>
  <r>
    <n v="248"/>
    <x v="10"/>
    <x v="0"/>
    <x v="0"/>
    <x v="0"/>
    <x v="16"/>
    <x v="2"/>
    <x v="0"/>
    <n v="2"/>
    <s v="Wednesday"/>
    <x v="1"/>
    <x v="1"/>
    <n v="0.16"/>
    <x v="1"/>
    <n v="0.1515"/>
    <s v="Cold"/>
    <n v="0.86"/>
    <x v="0"/>
    <n v="0.22389999999999999"/>
    <x v="1"/>
    <x v="17"/>
    <n v="72"/>
    <n v="76"/>
    <s v="Medium Demand"/>
  </r>
  <r>
    <n v="249"/>
    <x v="10"/>
    <x v="0"/>
    <x v="0"/>
    <x v="0"/>
    <x v="17"/>
    <x v="2"/>
    <x v="0"/>
    <n v="2"/>
    <s v="Wednesday"/>
    <x v="1"/>
    <x v="1"/>
    <n v="0.16"/>
    <x v="1"/>
    <n v="0.1515"/>
    <s v="Cold"/>
    <n v="0.86"/>
    <x v="0"/>
    <n v="0.22389999999999999"/>
    <x v="1"/>
    <x v="15"/>
    <n v="130"/>
    <n v="136"/>
    <s v="Medium Demand"/>
  </r>
  <r>
    <n v="250"/>
    <x v="10"/>
    <x v="0"/>
    <x v="0"/>
    <x v="0"/>
    <x v="18"/>
    <x v="3"/>
    <x v="0"/>
    <n v="2"/>
    <s v="Wednesday"/>
    <x v="2"/>
    <x v="2"/>
    <n v="0.16"/>
    <x v="1"/>
    <n v="0.18179999999999999"/>
    <s v="Cold"/>
    <n v="0.93"/>
    <x v="0"/>
    <n v="0.1045"/>
    <x v="0"/>
    <x v="5"/>
    <n v="94"/>
    <n v="95"/>
    <s v="Medium Demand"/>
  </r>
  <r>
    <n v="251"/>
    <x v="10"/>
    <x v="0"/>
    <x v="0"/>
    <x v="0"/>
    <x v="19"/>
    <x v="3"/>
    <x v="0"/>
    <n v="2"/>
    <s v="Wednesday"/>
    <x v="2"/>
    <x v="2"/>
    <n v="0.16"/>
    <x v="1"/>
    <n v="0.2273"/>
    <s v="Cold"/>
    <n v="0.93"/>
    <x v="0"/>
    <n v="0"/>
    <x v="0"/>
    <x v="3"/>
    <n v="51"/>
    <n v="51"/>
    <s v="Low Demand"/>
  </r>
  <r>
    <n v="252"/>
    <x v="10"/>
    <x v="0"/>
    <x v="0"/>
    <x v="0"/>
    <x v="20"/>
    <x v="3"/>
    <x v="0"/>
    <n v="2"/>
    <s v="Wednesday"/>
    <x v="2"/>
    <x v="2"/>
    <n v="0.16"/>
    <x v="1"/>
    <n v="0.1515"/>
    <s v="Cold"/>
    <n v="0.93"/>
    <x v="0"/>
    <n v="0.19400000000000001"/>
    <x v="1"/>
    <x v="3"/>
    <n v="32"/>
    <n v="32"/>
    <s v="Low Demand"/>
  </r>
  <r>
    <n v="253"/>
    <x v="10"/>
    <x v="0"/>
    <x v="0"/>
    <x v="0"/>
    <x v="21"/>
    <x v="3"/>
    <x v="0"/>
    <n v="2"/>
    <s v="Wednesday"/>
    <x v="2"/>
    <x v="2"/>
    <n v="0.16"/>
    <x v="1"/>
    <n v="0.19700000000000001"/>
    <s v="Cold"/>
    <n v="0.86"/>
    <x v="0"/>
    <n v="8.9599999999999999E-2"/>
    <x v="0"/>
    <x v="3"/>
    <n v="20"/>
    <n v="20"/>
    <s v="Low Demand"/>
  </r>
  <r>
    <n v="254"/>
    <x v="10"/>
    <x v="0"/>
    <x v="0"/>
    <x v="0"/>
    <x v="22"/>
    <x v="3"/>
    <x v="0"/>
    <n v="2"/>
    <s v="Wednesday"/>
    <x v="2"/>
    <x v="2"/>
    <n v="0.16"/>
    <x v="1"/>
    <n v="0.18179999999999999"/>
    <s v="Cold"/>
    <n v="0.93"/>
    <x v="0"/>
    <n v="0.1045"/>
    <x v="0"/>
    <x v="5"/>
    <n v="28"/>
    <n v="29"/>
    <s v="Low Demand"/>
  </r>
  <r>
    <n v="255"/>
    <x v="10"/>
    <x v="0"/>
    <x v="0"/>
    <x v="0"/>
    <x v="23"/>
    <x v="3"/>
    <x v="0"/>
    <n v="2"/>
    <s v="Wednesday"/>
    <x v="2"/>
    <x v="2"/>
    <n v="0.16"/>
    <x v="1"/>
    <n v="0.19700000000000001"/>
    <s v="Cold"/>
    <n v="0.93"/>
    <x v="0"/>
    <n v="8.9599999999999999E-2"/>
    <x v="0"/>
    <x v="5"/>
    <n v="18"/>
    <n v="19"/>
    <s v="Low Demand"/>
  </r>
  <r>
    <n v="256"/>
    <x v="11"/>
    <x v="0"/>
    <x v="0"/>
    <x v="0"/>
    <x v="0"/>
    <x v="0"/>
    <x v="0"/>
    <n v="3"/>
    <s v="Thursday"/>
    <x v="1"/>
    <x v="1"/>
    <n v="0.16"/>
    <x v="1"/>
    <n v="0.19700000000000001"/>
    <s v="Cold"/>
    <n v="0.86"/>
    <x v="0"/>
    <n v="8.9599999999999999E-2"/>
    <x v="0"/>
    <x v="3"/>
    <n v="7"/>
    <n v="7"/>
    <s v="Low Demand"/>
  </r>
  <r>
    <n v="257"/>
    <x v="11"/>
    <x v="0"/>
    <x v="0"/>
    <x v="0"/>
    <x v="1"/>
    <x v="0"/>
    <x v="0"/>
    <n v="3"/>
    <s v="Thursday"/>
    <x v="1"/>
    <x v="1"/>
    <n v="0.16"/>
    <x v="1"/>
    <n v="0.18179999999999999"/>
    <s v="Cold"/>
    <n v="0.86"/>
    <x v="0"/>
    <n v="0.1045"/>
    <x v="0"/>
    <x v="3"/>
    <n v="6"/>
    <n v="6"/>
    <s v="Low Demand"/>
  </r>
  <r>
    <n v="258"/>
    <x v="11"/>
    <x v="0"/>
    <x v="0"/>
    <x v="0"/>
    <x v="2"/>
    <x v="0"/>
    <x v="0"/>
    <n v="3"/>
    <s v="Thursday"/>
    <x v="0"/>
    <x v="0"/>
    <n v="0.14000000000000001"/>
    <x v="1"/>
    <n v="0.1515"/>
    <s v="Cold"/>
    <n v="0.86"/>
    <x v="0"/>
    <n v="0.1343"/>
    <x v="0"/>
    <x v="3"/>
    <n v="1"/>
    <n v="1"/>
    <s v="Low Demand"/>
  </r>
  <r>
    <n v="259"/>
    <x v="11"/>
    <x v="0"/>
    <x v="0"/>
    <x v="0"/>
    <x v="5"/>
    <x v="0"/>
    <x v="0"/>
    <n v="3"/>
    <s v="Thursday"/>
    <x v="0"/>
    <x v="0"/>
    <n v="0.14000000000000001"/>
    <x v="1"/>
    <n v="0.1515"/>
    <s v="Cold"/>
    <n v="0.86"/>
    <x v="0"/>
    <n v="0.16420000000000001"/>
    <x v="1"/>
    <x v="3"/>
    <n v="5"/>
    <n v="5"/>
    <s v="Low Demand"/>
  </r>
  <r>
    <n v="260"/>
    <x v="11"/>
    <x v="0"/>
    <x v="0"/>
    <x v="0"/>
    <x v="6"/>
    <x v="1"/>
    <x v="0"/>
    <n v="3"/>
    <s v="Thursday"/>
    <x v="0"/>
    <x v="0"/>
    <n v="0.12"/>
    <x v="1"/>
    <n v="0.1515"/>
    <s v="Cold"/>
    <n v="0.93"/>
    <x v="0"/>
    <n v="0.1343"/>
    <x v="0"/>
    <x v="3"/>
    <n v="16"/>
    <n v="16"/>
    <s v="Low Demand"/>
  </r>
  <r>
    <n v="261"/>
    <x v="11"/>
    <x v="0"/>
    <x v="0"/>
    <x v="0"/>
    <x v="7"/>
    <x v="1"/>
    <x v="0"/>
    <n v="3"/>
    <s v="Thursday"/>
    <x v="0"/>
    <x v="0"/>
    <n v="0.14000000000000001"/>
    <x v="1"/>
    <n v="0.1515"/>
    <s v="Cold"/>
    <n v="0.69"/>
    <x v="1"/>
    <n v="0.1343"/>
    <x v="0"/>
    <x v="3"/>
    <n v="54"/>
    <n v="54"/>
    <s v="Low Demand"/>
  </r>
  <r>
    <n v="262"/>
    <x v="11"/>
    <x v="0"/>
    <x v="0"/>
    <x v="0"/>
    <x v="8"/>
    <x v="1"/>
    <x v="0"/>
    <n v="3"/>
    <s v="Thursday"/>
    <x v="0"/>
    <x v="0"/>
    <n v="0.16"/>
    <x v="1"/>
    <n v="0.16669999999999999"/>
    <s v="Cold"/>
    <n v="0.59"/>
    <x v="1"/>
    <n v="0.16420000000000001"/>
    <x v="1"/>
    <x v="0"/>
    <n v="125"/>
    <n v="128"/>
    <s v="Medium Demand"/>
  </r>
  <r>
    <n v="263"/>
    <x v="11"/>
    <x v="0"/>
    <x v="0"/>
    <x v="0"/>
    <x v="9"/>
    <x v="1"/>
    <x v="0"/>
    <n v="3"/>
    <s v="Thursday"/>
    <x v="0"/>
    <x v="0"/>
    <n v="0.16"/>
    <x v="1"/>
    <n v="0.13639999999999999"/>
    <s v="Very Cold"/>
    <n v="0.59"/>
    <x v="1"/>
    <n v="0.32840000000000003"/>
    <x v="2"/>
    <x v="0"/>
    <n v="78"/>
    <n v="81"/>
    <s v="Medium Demand"/>
  </r>
  <r>
    <n v="264"/>
    <x v="11"/>
    <x v="0"/>
    <x v="0"/>
    <x v="0"/>
    <x v="10"/>
    <x v="1"/>
    <x v="0"/>
    <n v="3"/>
    <s v="Thursday"/>
    <x v="0"/>
    <x v="0"/>
    <n v="0.18"/>
    <x v="1"/>
    <n v="0.18179999999999999"/>
    <s v="Cold"/>
    <n v="0.55000000000000004"/>
    <x v="1"/>
    <n v="0.22389999999999999"/>
    <x v="1"/>
    <x v="3"/>
    <n v="39"/>
    <n v="39"/>
    <s v="Low Demand"/>
  </r>
  <r>
    <n v="265"/>
    <x v="11"/>
    <x v="0"/>
    <x v="0"/>
    <x v="0"/>
    <x v="11"/>
    <x v="1"/>
    <x v="0"/>
    <n v="3"/>
    <s v="Thursday"/>
    <x v="0"/>
    <x v="0"/>
    <n v="0.2"/>
    <x v="1"/>
    <n v="0.18179999999999999"/>
    <s v="Cold"/>
    <n v="0.51"/>
    <x v="1"/>
    <n v="0.3881"/>
    <x v="2"/>
    <x v="0"/>
    <n v="32"/>
    <n v="35"/>
    <s v="Low Demand"/>
  </r>
  <r>
    <n v="266"/>
    <x v="11"/>
    <x v="0"/>
    <x v="0"/>
    <x v="0"/>
    <x v="12"/>
    <x v="2"/>
    <x v="0"/>
    <n v="3"/>
    <s v="Thursday"/>
    <x v="0"/>
    <x v="0"/>
    <n v="0.2"/>
    <x v="1"/>
    <n v="0.1515"/>
    <s v="Cold"/>
    <n v="0.47"/>
    <x v="2"/>
    <n v="0.58209999999999995"/>
    <x v="3"/>
    <x v="0"/>
    <n v="52"/>
    <n v="55"/>
    <s v="Low Demand"/>
  </r>
  <r>
    <n v="267"/>
    <x v="11"/>
    <x v="0"/>
    <x v="0"/>
    <x v="0"/>
    <x v="13"/>
    <x v="2"/>
    <x v="0"/>
    <n v="3"/>
    <s v="Thursday"/>
    <x v="0"/>
    <x v="0"/>
    <n v="0.22"/>
    <x v="0"/>
    <n v="0.19700000000000001"/>
    <s v="Cold"/>
    <n v="0.44"/>
    <x v="2"/>
    <n v="0.35820000000000002"/>
    <x v="2"/>
    <x v="3"/>
    <n v="49"/>
    <n v="49"/>
    <s v="Low Demand"/>
  </r>
  <r>
    <n v="268"/>
    <x v="11"/>
    <x v="0"/>
    <x v="0"/>
    <x v="0"/>
    <x v="14"/>
    <x v="2"/>
    <x v="0"/>
    <n v="3"/>
    <s v="Thursday"/>
    <x v="0"/>
    <x v="0"/>
    <n v="0.2"/>
    <x v="1"/>
    <n v="0.18179999999999999"/>
    <s v="Cold"/>
    <n v="0.47"/>
    <x v="2"/>
    <n v="0.32840000000000003"/>
    <x v="2"/>
    <x v="3"/>
    <n v="44"/>
    <n v="44"/>
    <s v="Low Demand"/>
  </r>
  <r>
    <n v="269"/>
    <x v="11"/>
    <x v="0"/>
    <x v="0"/>
    <x v="0"/>
    <x v="15"/>
    <x v="2"/>
    <x v="0"/>
    <n v="3"/>
    <s v="Thursday"/>
    <x v="0"/>
    <x v="0"/>
    <n v="0.2"/>
    <x v="1"/>
    <n v="0.16669999999999999"/>
    <s v="Cold"/>
    <n v="0.47"/>
    <x v="2"/>
    <n v="0.41789999999999999"/>
    <x v="2"/>
    <x v="5"/>
    <n v="48"/>
    <n v="49"/>
    <s v="Low Demand"/>
  </r>
  <r>
    <n v="270"/>
    <x v="11"/>
    <x v="0"/>
    <x v="0"/>
    <x v="0"/>
    <x v="16"/>
    <x v="2"/>
    <x v="0"/>
    <n v="3"/>
    <s v="Thursday"/>
    <x v="0"/>
    <x v="0"/>
    <n v="0.22"/>
    <x v="0"/>
    <n v="0.19700000000000001"/>
    <s v="Cold"/>
    <n v="0.44"/>
    <x v="2"/>
    <n v="0.32840000000000003"/>
    <x v="2"/>
    <x v="2"/>
    <n v="63"/>
    <n v="68"/>
    <s v="Low Demand"/>
  </r>
  <r>
    <n v="271"/>
    <x v="11"/>
    <x v="0"/>
    <x v="0"/>
    <x v="0"/>
    <x v="17"/>
    <x v="2"/>
    <x v="0"/>
    <n v="3"/>
    <s v="Thursday"/>
    <x v="0"/>
    <x v="0"/>
    <n v="0.2"/>
    <x v="1"/>
    <n v="0.18179999999999999"/>
    <s v="Cold"/>
    <n v="0.47"/>
    <x v="2"/>
    <n v="0.35820000000000002"/>
    <x v="2"/>
    <x v="3"/>
    <n v="139"/>
    <n v="139"/>
    <s v="Medium Demand"/>
  </r>
  <r>
    <n v="272"/>
    <x v="11"/>
    <x v="0"/>
    <x v="0"/>
    <x v="0"/>
    <x v="18"/>
    <x v="3"/>
    <x v="0"/>
    <n v="3"/>
    <s v="Thursday"/>
    <x v="0"/>
    <x v="0"/>
    <n v="0.2"/>
    <x v="1"/>
    <n v="0.1515"/>
    <s v="Cold"/>
    <n v="0.47"/>
    <x v="2"/>
    <n v="0.52239999999999998"/>
    <x v="3"/>
    <x v="4"/>
    <n v="135"/>
    <n v="137"/>
    <s v="Medium Demand"/>
  </r>
  <r>
    <n v="273"/>
    <x v="11"/>
    <x v="0"/>
    <x v="0"/>
    <x v="0"/>
    <x v="19"/>
    <x v="3"/>
    <x v="0"/>
    <n v="3"/>
    <s v="Thursday"/>
    <x v="0"/>
    <x v="0"/>
    <n v="0.18"/>
    <x v="1"/>
    <n v="0.1515"/>
    <s v="Cold"/>
    <n v="0.47"/>
    <x v="2"/>
    <n v="0.41789999999999999"/>
    <x v="2"/>
    <x v="5"/>
    <n v="82"/>
    <n v="83"/>
    <s v="Medium Demand"/>
  </r>
  <r>
    <n v="274"/>
    <x v="11"/>
    <x v="0"/>
    <x v="0"/>
    <x v="0"/>
    <x v="20"/>
    <x v="3"/>
    <x v="0"/>
    <n v="3"/>
    <s v="Thursday"/>
    <x v="0"/>
    <x v="0"/>
    <n v="0.16"/>
    <x v="1"/>
    <n v="0.13639999999999999"/>
    <s v="Very Cold"/>
    <n v="0.5"/>
    <x v="2"/>
    <n v="0.32840000000000003"/>
    <x v="2"/>
    <x v="4"/>
    <n v="54"/>
    <n v="56"/>
    <s v="Low Demand"/>
  </r>
  <r>
    <n v="275"/>
    <x v="11"/>
    <x v="0"/>
    <x v="0"/>
    <x v="0"/>
    <x v="21"/>
    <x v="3"/>
    <x v="0"/>
    <n v="3"/>
    <s v="Thursday"/>
    <x v="0"/>
    <x v="0"/>
    <n v="0.16"/>
    <x v="1"/>
    <n v="0.13639999999999999"/>
    <s v="Very Cold"/>
    <n v="0.55000000000000004"/>
    <x v="1"/>
    <n v="0.32840000000000003"/>
    <x v="2"/>
    <x v="3"/>
    <n v="57"/>
    <n v="57"/>
    <s v="Low Demand"/>
  </r>
  <r>
    <n v="276"/>
    <x v="11"/>
    <x v="0"/>
    <x v="0"/>
    <x v="0"/>
    <x v="22"/>
    <x v="3"/>
    <x v="0"/>
    <n v="3"/>
    <s v="Thursday"/>
    <x v="0"/>
    <x v="0"/>
    <n v="0.16"/>
    <x v="1"/>
    <n v="0.1212"/>
    <s v="Very Cold"/>
    <n v="0.55000000000000004"/>
    <x v="1"/>
    <n v="0.44779999999999998"/>
    <x v="2"/>
    <x v="5"/>
    <n v="32"/>
    <n v="33"/>
    <s v="Low Demand"/>
  </r>
  <r>
    <n v="277"/>
    <x v="11"/>
    <x v="0"/>
    <x v="0"/>
    <x v="0"/>
    <x v="23"/>
    <x v="3"/>
    <x v="0"/>
    <n v="3"/>
    <s v="Thursday"/>
    <x v="0"/>
    <x v="0"/>
    <n v="0.14000000000000001"/>
    <x v="1"/>
    <n v="0.1061"/>
    <s v="Very Cold"/>
    <n v="0.59"/>
    <x v="1"/>
    <n v="0.41789999999999999"/>
    <x v="2"/>
    <x v="5"/>
    <n v="19"/>
    <n v="20"/>
    <s v="Low Demand"/>
  </r>
  <r>
    <n v="278"/>
    <x v="12"/>
    <x v="0"/>
    <x v="0"/>
    <x v="0"/>
    <x v="0"/>
    <x v="0"/>
    <x v="0"/>
    <n v="4"/>
    <s v="Friday"/>
    <x v="0"/>
    <x v="0"/>
    <n v="0.14000000000000001"/>
    <x v="1"/>
    <n v="0.1212"/>
    <s v="Very Cold"/>
    <n v="0.59"/>
    <x v="1"/>
    <n v="0.28360000000000002"/>
    <x v="1"/>
    <x v="5"/>
    <n v="6"/>
    <n v="7"/>
    <s v="Low Demand"/>
  </r>
  <r>
    <n v="279"/>
    <x v="12"/>
    <x v="0"/>
    <x v="0"/>
    <x v="0"/>
    <x v="1"/>
    <x v="0"/>
    <x v="0"/>
    <n v="4"/>
    <s v="Friday"/>
    <x v="0"/>
    <x v="0"/>
    <n v="0.14000000000000001"/>
    <x v="1"/>
    <n v="0.1212"/>
    <s v="Very Cold"/>
    <n v="0.5"/>
    <x v="2"/>
    <n v="0.28360000000000002"/>
    <x v="1"/>
    <x v="3"/>
    <n v="2"/>
    <n v="2"/>
    <s v="Low Demand"/>
  </r>
  <r>
    <n v="280"/>
    <x v="12"/>
    <x v="0"/>
    <x v="0"/>
    <x v="0"/>
    <x v="2"/>
    <x v="0"/>
    <x v="0"/>
    <n v="4"/>
    <s v="Friday"/>
    <x v="0"/>
    <x v="0"/>
    <n v="0.14000000000000001"/>
    <x v="1"/>
    <n v="0.1212"/>
    <s v="Very Cold"/>
    <n v="0.5"/>
    <x v="2"/>
    <n v="0.35820000000000002"/>
    <x v="2"/>
    <x v="3"/>
    <n v="2"/>
    <n v="2"/>
    <s v="Low Demand"/>
  </r>
  <r>
    <n v="281"/>
    <x v="12"/>
    <x v="0"/>
    <x v="0"/>
    <x v="0"/>
    <x v="3"/>
    <x v="0"/>
    <x v="0"/>
    <n v="4"/>
    <s v="Friday"/>
    <x v="0"/>
    <x v="0"/>
    <n v="0.14000000000000001"/>
    <x v="1"/>
    <n v="0.1212"/>
    <s v="Very Cold"/>
    <n v="0.5"/>
    <x v="2"/>
    <n v="0.32840000000000003"/>
    <x v="2"/>
    <x v="3"/>
    <n v="3"/>
    <n v="3"/>
    <s v="Low Demand"/>
  </r>
  <r>
    <n v="282"/>
    <x v="12"/>
    <x v="0"/>
    <x v="0"/>
    <x v="0"/>
    <x v="4"/>
    <x v="0"/>
    <x v="0"/>
    <n v="4"/>
    <s v="Friday"/>
    <x v="0"/>
    <x v="0"/>
    <n v="0.14000000000000001"/>
    <x v="1"/>
    <n v="0.1212"/>
    <s v="Very Cold"/>
    <n v="0.5"/>
    <x v="2"/>
    <n v="0.25369999999999998"/>
    <x v="1"/>
    <x v="3"/>
    <n v="4"/>
    <n v="4"/>
    <s v="Low Demand"/>
  </r>
  <r>
    <n v="283"/>
    <x v="12"/>
    <x v="0"/>
    <x v="0"/>
    <x v="0"/>
    <x v="5"/>
    <x v="0"/>
    <x v="0"/>
    <n v="4"/>
    <s v="Friday"/>
    <x v="0"/>
    <x v="0"/>
    <n v="0.14000000000000001"/>
    <x v="1"/>
    <n v="0.1212"/>
    <s v="Very Cold"/>
    <n v="0.5"/>
    <x v="2"/>
    <n v="0.29849999999999999"/>
    <x v="1"/>
    <x v="3"/>
    <n v="3"/>
    <n v="3"/>
    <s v="Low Demand"/>
  </r>
  <r>
    <n v="284"/>
    <x v="12"/>
    <x v="0"/>
    <x v="0"/>
    <x v="0"/>
    <x v="6"/>
    <x v="1"/>
    <x v="0"/>
    <n v="4"/>
    <s v="Friday"/>
    <x v="0"/>
    <x v="0"/>
    <n v="0.12"/>
    <x v="1"/>
    <n v="0.1515"/>
    <s v="Cold"/>
    <n v="0.54"/>
    <x v="1"/>
    <n v="0.1343"/>
    <x v="0"/>
    <x v="3"/>
    <n v="28"/>
    <n v="28"/>
    <s v="Low Demand"/>
  </r>
  <r>
    <n v="285"/>
    <x v="12"/>
    <x v="0"/>
    <x v="0"/>
    <x v="0"/>
    <x v="7"/>
    <x v="1"/>
    <x v="0"/>
    <n v="4"/>
    <s v="Friday"/>
    <x v="0"/>
    <x v="0"/>
    <n v="0.12"/>
    <x v="1"/>
    <n v="0.1515"/>
    <s v="Cold"/>
    <n v="0.54"/>
    <x v="1"/>
    <n v="0.1343"/>
    <x v="0"/>
    <x v="3"/>
    <n v="72"/>
    <n v="72"/>
    <s v="Low Demand"/>
  </r>
  <r>
    <n v="286"/>
    <x v="12"/>
    <x v="0"/>
    <x v="0"/>
    <x v="0"/>
    <x v="8"/>
    <x v="1"/>
    <x v="0"/>
    <n v="4"/>
    <s v="Friday"/>
    <x v="0"/>
    <x v="0"/>
    <n v="0.14000000000000001"/>
    <x v="1"/>
    <n v="0.13639999999999999"/>
    <s v="Very Cold"/>
    <n v="0.5"/>
    <x v="2"/>
    <n v="0.19400000000000001"/>
    <x v="1"/>
    <x v="2"/>
    <n v="197"/>
    <n v="202"/>
    <s v="High Demand"/>
  </r>
  <r>
    <n v="287"/>
    <x v="12"/>
    <x v="0"/>
    <x v="0"/>
    <x v="0"/>
    <x v="9"/>
    <x v="1"/>
    <x v="0"/>
    <n v="4"/>
    <s v="Friday"/>
    <x v="0"/>
    <x v="0"/>
    <n v="0.14000000000000001"/>
    <x v="1"/>
    <n v="0.1212"/>
    <s v="Very Cold"/>
    <n v="0.5"/>
    <x v="2"/>
    <n v="0.32840000000000003"/>
    <x v="2"/>
    <x v="4"/>
    <n v="137"/>
    <n v="139"/>
    <s v="Medium Demand"/>
  </r>
  <r>
    <n v="288"/>
    <x v="12"/>
    <x v="0"/>
    <x v="0"/>
    <x v="0"/>
    <x v="10"/>
    <x v="1"/>
    <x v="0"/>
    <n v="4"/>
    <s v="Friday"/>
    <x v="1"/>
    <x v="1"/>
    <n v="0.16"/>
    <x v="1"/>
    <n v="0.13639999999999999"/>
    <s v="Very Cold"/>
    <n v="0.5"/>
    <x v="2"/>
    <n v="0.35820000000000002"/>
    <x v="2"/>
    <x v="4"/>
    <n v="36"/>
    <n v="38"/>
    <s v="Low Demand"/>
  </r>
  <r>
    <n v="289"/>
    <x v="12"/>
    <x v="0"/>
    <x v="0"/>
    <x v="0"/>
    <x v="11"/>
    <x v="1"/>
    <x v="0"/>
    <n v="4"/>
    <s v="Friday"/>
    <x v="1"/>
    <x v="1"/>
    <n v="0.2"/>
    <x v="1"/>
    <n v="0.16669999999999999"/>
    <s v="Cold"/>
    <n v="0.44"/>
    <x v="2"/>
    <n v="0.44779999999999998"/>
    <x v="2"/>
    <x v="17"/>
    <n v="33"/>
    <n v="37"/>
    <s v="Low Demand"/>
  </r>
  <r>
    <n v="290"/>
    <x v="12"/>
    <x v="0"/>
    <x v="0"/>
    <x v="0"/>
    <x v="12"/>
    <x v="2"/>
    <x v="0"/>
    <n v="4"/>
    <s v="Friday"/>
    <x v="0"/>
    <x v="0"/>
    <n v="0.2"/>
    <x v="1"/>
    <n v="0.16669999999999999"/>
    <s v="Cold"/>
    <n v="0.44"/>
    <x v="2"/>
    <n v="0.41789999999999999"/>
    <x v="2"/>
    <x v="0"/>
    <n v="49"/>
    <n v="52"/>
    <s v="Low Demand"/>
  </r>
  <r>
    <n v="291"/>
    <x v="12"/>
    <x v="0"/>
    <x v="0"/>
    <x v="0"/>
    <x v="13"/>
    <x v="2"/>
    <x v="0"/>
    <n v="4"/>
    <s v="Friday"/>
    <x v="0"/>
    <x v="0"/>
    <n v="0.22"/>
    <x v="0"/>
    <n v="0.19700000000000001"/>
    <s v="Cold"/>
    <n v="0.41"/>
    <x v="2"/>
    <n v="0.44779999999999998"/>
    <x v="2"/>
    <x v="4"/>
    <n v="81"/>
    <n v="83"/>
    <s v="Medium Demand"/>
  </r>
  <r>
    <n v="292"/>
    <x v="12"/>
    <x v="0"/>
    <x v="0"/>
    <x v="0"/>
    <x v="14"/>
    <x v="2"/>
    <x v="0"/>
    <n v="4"/>
    <s v="Friday"/>
    <x v="0"/>
    <x v="0"/>
    <n v="0.22"/>
    <x v="0"/>
    <n v="0.19700000000000001"/>
    <s v="Cold"/>
    <n v="0.41"/>
    <x v="2"/>
    <n v="0.3881"/>
    <x v="2"/>
    <x v="0"/>
    <n v="39"/>
    <n v="42"/>
    <s v="Low Demand"/>
  </r>
  <r>
    <n v="293"/>
    <x v="12"/>
    <x v="0"/>
    <x v="0"/>
    <x v="0"/>
    <x v="15"/>
    <x v="2"/>
    <x v="0"/>
    <n v="4"/>
    <s v="Friday"/>
    <x v="0"/>
    <x v="0"/>
    <n v="0.24"/>
    <x v="0"/>
    <n v="0.21210000000000001"/>
    <s v="Cold"/>
    <n v="0.38"/>
    <x v="2"/>
    <n v="0.29849999999999999"/>
    <x v="1"/>
    <x v="2"/>
    <n v="55"/>
    <n v="60"/>
    <s v="Low Demand"/>
  </r>
  <r>
    <n v="294"/>
    <x v="12"/>
    <x v="0"/>
    <x v="0"/>
    <x v="0"/>
    <x v="16"/>
    <x v="2"/>
    <x v="0"/>
    <n v="4"/>
    <s v="Friday"/>
    <x v="0"/>
    <x v="0"/>
    <n v="0.24"/>
    <x v="0"/>
    <n v="0.21210000000000001"/>
    <s v="Cold"/>
    <n v="0.38"/>
    <x v="2"/>
    <n v="0.35820000000000002"/>
    <x v="2"/>
    <x v="4"/>
    <n v="76"/>
    <n v="78"/>
    <s v="Medium Demand"/>
  </r>
  <r>
    <n v="295"/>
    <x v="12"/>
    <x v="0"/>
    <x v="0"/>
    <x v="0"/>
    <x v="17"/>
    <x v="2"/>
    <x v="0"/>
    <n v="4"/>
    <s v="Friday"/>
    <x v="0"/>
    <x v="0"/>
    <n v="0.2"/>
    <x v="1"/>
    <n v="0.18179999999999999"/>
    <s v="Cold"/>
    <n v="0.4"/>
    <x v="2"/>
    <n v="0.28360000000000002"/>
    <x v="1"/>
    <x v="17"/>
    <n v="158"/>
    <n v="162"/>
    <s v="High Demand"/>
  </r>
  <r>
    <n v="296"/>
    <x v="12"/>
    <x v="0"/>
    <x v="0"/>
    <x v="0"/>
    <x v="18"/>
    <x v="3"/>
    <x v="0"/>
    <n v="4"/>
    <s v="Friday"/>
    <x v="0"/>
    <x v="0"/>
    <n v="0.2"/>
    <x v="1"/>
    <n v="0.18179999999999999"/>
    <s v="Cold"/>
    <n v="0.4"/>
    <x v="2"/>
    <n v="0.32840000000000003"/>
    <x v="2"/>
    <x v="0"/>
    <n v="141"/>
    <n v="144"/>
    <s v="Medium Demand"/>
  </r>
  <r>
    <n v="297"/>
    <x v="12"/>
    <x v="0"/>
    <x v="0"/>
    <x v="0"/>
    <x v="19"/>
    <x v="3"/>
    <x v="0"/>
    <n v="4"/>
    <s v="Friday"/>
    <x v="0"/>
    <x v="0"/>
    <n v="0.16"/>
    <x v="1"/>
    <n v="0.1515"/>
    <s v="Cold"/>
    <n v="0.47"/>
    <x v="2"/>
    <n v="0.25369999999999998"/>
    <x v="1"/>
    <x v="5"/>
    <n v="98"/>
    <n v="99"/>
    <s v="Medium Demand"/>
  </r>
  <r>
    <n v="298"/>
    <x v="12"/>
    <x v="0"/>
    <x v="0"/>
    <x v="0"/>
    <x v="20"/>
    <x v="3"/>
    <x v="0"/>
    <n v="4"/>
    <s v="Friday"/>
    <x v="0"/>
    <x v="0"/>
    <n v="0.16"/>
    <x v="1"/>
    <n v="0.1515"/>
    <s v="Cold"/>
    <n v="0.47"/>
    <x v="2"/>
    <n v="0.22389999999999999"/>
    <x v="1"/>
    <x v="3"/>
    <n v="64"/>
    <n v="64"/>
    <s v="Low Demand"/>
  </r>
  <r>
    <n v="299"/>
    <x v="12"/>
    <x v="0"/>
    <x v="0"/>
    <x v="0"/>
    <x v="21"/>
    <x v="3"/>
    <x v="0"/>
    <n v="4"/>
    <s v="Friday"/>
    <x v="0"/>
    <x v="0"/>
    <n v="0.14000000000000001"/>
    <x v="1"/>
    <n v="0.1212"/>
    <s v="Very Cold"/>
    <n v="0.46"/>
    <x v="2"/>
    <n v="0.29849999999999999"/>
    <x v="1"/>
    <x v="3"/>
    <n v="40"/>
    <n v="40"/>
    <s v="Low Demand"/>
  </r>
  <r>
    <n v="300"/>
    <x v="12"/>
    <x v="0"/>
    <x v="0"/>
    <x v="0"/>
    <x v="22"/>
    <x v="3"/>
    <x v="0"/>
    <n v="4"/>
    <s v="Friday"/>
    <x v="0"/>
    <x v="0"/>
    <n v="0.14000000000000001"/>
    <x v="1"/>
    <n v="0.1212"/>
    <s v="Very Cold"/>
    <n v="0.46"/>
    <x v="2"/>
    <n v="0.32840000000000003"/>
    <x v="2"/>
    <x v="3"/>
    <n v="30"/>
    <n v="30"/>
    <s v="Low Demand"/>
  </r>
  <r>
    <n v="301"/>
    <x v="12"/>
    <x v="0"/>
    <x v="0"/>
    <x v="0"/>
    <x v="23"/>
    <x v="3"/>
    <x v="0"/>
    <n v="4"/>
    <s v="Friday"/>
    <x v="0"/>
    <x v="0"/>
    <n v="0.12"/>
    <x v="1"/>
    <n v="0.13639999999999999"/>
    <s v="Very Cold"/>
    <n v="0.5"/>
    <x v="2"/>
    <n v="0.19400000000000001"/>
    <x v="1"/>
    <x v="5"/>
    <n v="14"/>
    <n v="15"/>
    <s v="Low Demand"/>
  </r>
  <r>
    <n v="302"/>
    <x v="13"/>
    <x v="0"/>
    <x v="0"/>
    <x v="0"/>
    <x v="0"/>
    <x v="0"/>
    <x v="0"/>
    <n v="5"/>
    <s v="Saturday"/>
    <x v="0"/>
    <x v="0"/>
    <n v="0.12"/>
    <x v="1"/>
    <n v="0.13639999999999999"/>
    <s v="Very Cold"/>
    <n v="0.5"/>
    <x v="2"/>
    <n v="0.19400000000000001"/>
    <x v="1"/>
    <x v="3"/>
    <n v="14"/>
    <n v="14"/>
    <s v="Low Demand"/>
  </r>
  <r>
    <n v="303"/>
    <x v="13"/>
    <x v="0"/>
    <x v="0"/>
    <x v="0"/>
    <x v="1"/>
    <x v="0"/>
    <x v="0"/>
    <n v="5"/>
    <s v="Saturday"/>
    <x v="0"/>
    <x v="0"/>
    <n v="0.1"/>
    <x v="1"/>
    <n v="0.1212"/>
    <s v="Very Cold"/>
    <n v="0.54"/>
    <x v="1"/>
    <n v="0.16420000000000001"/>
    <x v="1"/>
    <x v="3"/>
    <n v="5"/>
    <n v="5"/>
    <s v="Low Demand"/>
  </r>
  <r>
    <n v="304"/>
    <x v="13"/>
    <x v="0"/>
    <x v="0"/>
    <x v="0"/>
    <x v="2"/>
    <x v="0"/>
    <x v="0"/>
    <n v="5"/>
    <s v="Saturday"/>
    <x v="0"/>
    <x v="0"/>
    <n v="0.1"/>
    <x v="1"/>
    <n v="0.1212"/>
    <s v="Very Cold"/>
    <n v="0.54"/>
    <x v="1"/>
    <n v="0.1343"/>
    <x v="0"/>
    <x v="3"/>
    <n v="1"/>
    <n v="1"/>
    <s v="Low Demand"/>
  </r>
  <r>
    <n v="305"/>
    <x v="13"/>
    <x v="0"/>
    <x v="0"/>
    <x v="0"/>
    <x v="3"/>
    <x v="0"/>
    <x v="0"/>
    <n v="5"/>
    <s v="Saturday"/>
    <x v="0"/>
    <x v="0"/>
    <n v="0.1"/>
    <x v="1"/>
    <n v="0.13639999999999999"/>
    <s v="Very Cold"/>
    <n v="0.54"/>
    <x v="1"/>
    <n v="0.1045"/>
    <x v="0"/>
    <x v="3"/>
    <n v="1"/>
    <n v="1"/>
    <s v="Low Demand"/>
  </r>
  <r>
    <n v="306"/>
    <x v="13"/>
    <x v="0"/>
    <x v="0"/>
    <x v="0"/>
    <x v="5"/>
    <x v="0"/>
    <x v="0"/>
    <n v="5"/>
    <s v="Saturday"/>
    <x v="0"/>
    <x v="0"/>
    <n v="0.1"/>
    <x v="1"/>
    <n v="0.13639999999999999"/>
    <s v="Very Cold"/>
    <n v="0.54"/>
    <x v="1"/>
    <n v="8.9599999999999999E-2"/>
    <x v="0"/>
    <x v="3"/>
    <n v="8"/>
    <n v="8"/>
    <s v="Low Demand"/>
  </r>
  <r>
    <n v="307"/>
    <x v="13"/>
    <x v="0"/>
    <x v="0"/>
    <x v="0"/>
    <x v="6"/>
    <x v="1"/>
    <x v="0"/>
    <n v="5"/>
    <s v="Saturday"/>
    <x v="0"/>
    <x v="0"/>
    <n v="0.1"/>
    <x v="1"/>
    <n v="0.18179999999999999"/>
    <s v="Cold"/>
    <n v="0.54"/>
    <x v="1"/>
    <n v="0"/>
    <x v="0"/>
    <x v="3"/>
    <n v="17"/>
    <n v="17"/>
    <s v="Low Demand"/>
  </r>
  <r>
    <n v="308"/>
    <x v="13"/>
    <x v="0"/>
    <x v="0"/>
    <x v="0"/>
    <x v="7"/>
    <x v="1"/>
    <x v="0"/>
    <n v="5"/>
    <s v="Saturday"/>
    <x v="0"/>
    <x v="0"/>
    <n v="0.1"/>
    <x v="1"/>
    <n v="0.1212"/>
    <s v="Very Cold"/>
    <n v="0.74"/>
    <x v="1"/>
    <n v="0.16420000000000001"/>
    <x v="1"/>
    <x v="3"/>
    <n v="70"/>
    <n v="70"/>
    <s v="Low Demand"/>
  </r>
  <r>
    <n v="309"/>
    <x v="13"/>
    <x v="0"/>
    <x v="0"/>
    <x v="0"/>
    <x v="8"/>
    <x v="1"/>
    <x v="0"/>
    <n v="5"/>
    <s v="Saturday"/>
    <x v="0"/>
    <x v="0"/>
    <n v="0.12"/>
    <x v="1"/>
    <n v="0.16669999999999999"/>
    <s v="Cold"/>
    <n v="0.68"/>
    <x v="1"/>
    <n v="0"/>
    <x v="0"/>
    <x v="4"/>
    <n v="156"/>
    <n v="158"/>
    <s v="High Demand"/>
  </r>
  <r>
    <n v="310"/>
    <x v="13"/>
    <x v="0"/>
    <x v="0"/>
    <x v="0"/>
    <x v="9"/>
    <x v="1"/>
    <x v="0"/>
    <n v="5"/>
    <s v="Saturday"/>
    <x v="0"/>
    <x v="0"/>
    <n v="0.14000000000000001"/>
    <x v="1"/>
    <n v="0.1515"/>
    <s v="Cold"/>
    <n v="0.69"/>
    <x v="1"/>
    <n v="0.1343"/>
    <x v="0"/>
    <x v="3"/>
    <n v="117"/>
    <n v="117"/>
    <s v="Medium Demand"/>
  </r>
  <r>
    <n v="311"/>
    <x v="13"/>
    <x v="0"/>
    <x v="0"/>
    <x v="0"/>
    <x v="10"/>
    <x v="1"/>
    <x v="0"/>
    <n v="5"/>
    <s v="Saturday"/>
    <x v="0"/>
    <x v="0"/>
    <n v="0.18"/>
    <x v="1"/>
    <n v="0.18179999999999999"/>
    <s v="Cold"/>
    <n v="0.55000000000000004"/>
    <x v="1"/>
    <n v="0.19400000000000001"/>
    <x v="1"/>
    <x v="17"/>
    <n v="40"/>
    <n v="44"/>
    <s v="Low Demand"/>
  </r>
  <r>
    <n v="312"/>
    <x v="13"/>
    <x v="0"/>
    <x v="0"/>
    <x v="0"/>
    <x v="11"/>
    <x v="1"/>
    <x v="0"/>
    <n v="5"/>
    <s v="Saturday"/>
    <x v="0"/>
    <x v="0"/>
    <n v="0.18"/>
    <x v="1"/>
    <n v="0.16669999999999999"/>
    <s v="Cold"/>
    <n v="0.51"/>
    <x v="1"/>
    <n v="0.28360000000000002"/>
    <x v="1"/>
    <x v="15"/>
    <n v="47"/>
    <n v="53"/>
    <s v="Low Demand"/>
  </r>
  <r>
    <n v="313"/>
    <x v="13"/>
    <x v="0"/>
    <x v="0"/>
    <x v="0"/>
    <x v="12"/>
    <x v="2"/>
    <x v="0"/>
    <n v="5"/>
    <s v="Saturday"/>
    <x v="0"/>
    <x v="0"/>
    <n v="0.2"/>
    <x v="1"/>
    <n v="0.19700000000000001"/>
    <s v="Cold"/>
    <n v="0.44"/>
    <x v="2"/>
    <n v="0.25369999999999998"/>
    <x v="1"/>
    <x v="4"/>
    <n v="59"/>
    <n v="61"/>
    <s v="Low Demand"/>
  </r>
  <r>
    <n v="314"/>
    <x v="13"/>
    <x v="0"/>
    <x v="0"/>
    <x v="0"/>
    <x v="13"/>
    <x v="2"/>
    <x v="0"/>
    <n v="5"/>
    <s v="Saturday"/>
    <x v="0"/>
    <x v="0"/>
    <n v="0.22"/>
    <x v="0"/>
    <n v="0.19700000000000001"/>
    <s v="Cold"/>
    <n v="0.37"/>
    <x v="2"/>
    <n v="0.3881"/>
    <x v="2"/>
    <x v="17"/>
    <n v="73"/>
    <n v="77"/>
    <s v="Medium Demand"/>
  </r>
  <r>
    <n v="315"/>
    <x v="13"/>
    <x v="0"/>
    <x v="0"/>
    <x v="0"/>
    <x v="14"/>
    <x v="2"/>
    <x v="0"/>
    <n v="5"/>
    <s v="Saturday"/>
    <x v="0"/>
    <x v="0"/>
    <n v="0.22"/>
    <x v="0"/>
    <n v="0.21210000000000001"/>
    <s v="Cold"/>
    <n v="0.41"/>
    <x v="2"/>
    <n v="0.28360000000000002"/>
    <x v="1"/>
    <x v="2"/>
    <n v="59"/>
    <n v="64"/>
    <s v="Low Demand"/>
  </r>
  <r>
    <n v="316"/>
    <x v="13"/>
    <x v="0"/>
    <x v="0"/>
    <x v="0"/>
    <x v="15"/>
    <x v="2"/>
    <x v="0"/>
    <n v="5"/>
    <s v="Saturday"/>
    <x v="0"/>
    <x v="0"/>
    <n v="0.24"/>
    <x v="0"/>
    <n v="0.2424"/>
    <s v="Cold"/>
    <n v="0.38"/>
    <x v="2"/>
    <n v="0.16420000000000001"/>
    <x v="1"/>
    <x v="14"/>
    <n v="59"/>
    <n v="68"/>
    <s v="Low Demand"/>
  </r>
  <r>
    <n v="317"/>
    <x v="13"/>
    <x v="0"/>
    <x v="0"/>
    <x v="0"/>
    <x v="16"/>
    <x v="2"/>
    <x v="0"/>
    <n v="5"/>
    <s v="Saturday"/>
    <x v="0"/>
    <x v="0"/>
    <n v="0.22"/>
    <x v="0"/>
    <n v="0.2424"/>
    <s v="Cold"/>
    <n v="0.41"/>
    <x v="2"/>
    <n v="0.1045"/>
    <x v="0"/>
    <x v="0"/>
    <n v="87"/>
    <n v="90"/>
    <s v="Medium Demand"/>
  </r>
  <r>
    <n v="318"/>
    <x v="13"/>
    <x v="0"/>
    <x v="0"/>
    <x v="0"/>
    <x v="17"/>
    <x v="2"/>
    <x v="0"/>
    <n v="5"/>
    <s v="Saturday"/>
    <x v="0"/>
    <x v="0"/>
    <n v="0.22"/>
    <x v="0"/>
    <n v="0.2273"/>
    <s v="Cold"/>
    <n v="0.41"/>
    <x v="2"/>
    <n v="0.16420000000000001"/>
    <x v="1"/>
    <x v="17"/>
    <n v="155"/>
    <n v="159"/>
    <s v="High Demand"/>
  </r>
  <r>
    <n v="319"/>
    <x v="13"/>
    <x v="0"/>
    <x v="0"/>
    <x v="0"/>
    <x v="18"/>
    <x v="3"/>
    <x v="0"/>
    <n v="5"/>
    <s v="Saturday"/>
    <x v="0"/>
    <x v="0"/>
    <n v="0.2"/>
    <x v="1"/>
    <n v="0.2576"/>
    <s v="Cold"/>
    <n v="0.47"/>
    <x v="2"/>
    <n v="0"/>
    <x v="0"/>
    <x v="2"/>
    <n v="134"/>
    <n v="139"/>
    <s v="Medium Demand"/>
  </r>
  <r>
    <n v="320"/>
    <x v="13"/>
    <x v="0"/>
    <x v="0"/>
    <x v="0"/>
    <x v="19"/>
    <x v="3"/>
    <x v="0"/>
    <n v="5"/>
    <s v="Saturday"/>
    <x v="0"/>
    <x v="0"/>
    <n v="0.16"/>
    <x v="1"/>
    <n v="0.19700000000000001"/>
    <s v="Cold"/>
    <n v="0.59"/>
    <x v="1"/>
    <n v="8.9599999999999999E-2"/>
    <x v="0"/>
    <x v="0"/>
    <n v="89"/>
    <n v="92"/>
    <s v="Medium Demand"/>
  </r>
  <r>
    <n v="321"/>
    <x v="13"/>
    <x v="0"/>
    <x v="0"/>
    <x v="0"/>
    <x v="20"/>
    <x v="3"/>
    <x v="0"/>
    <n v="5"/>
    <s v="Saturday"/>
    <x v="0"/>
    <x v="0"/>
    <n v="0.18"/>
    <x v="1"/>
    <n v="0.2424"/>
    <s v="Cold"/>
    <n v="0.59"/>
    <x v="1"/>
    <n v="0"/>
    <x v="0"/>
    <x v="3"/>
    <n v="68"/>
    <n v="68"/>
    <s v="Low Demand"/>
  </r>
  <r>
    <n v="322"/>
    <x v="13"/>
    <x v="0"/>
    <x v="0"/>
    <x v="0"/>
    <x v="21"/>
    <x v="3"/>
    <x v="0"/>
    <n v="5"/>
    <s v="Saturday"/>
    <x v="0"/>
    <x v="0"/>
    <n v="0.16"/>
    <x v="1"/>
    <n v="0.2273"/>
    <s v="Cold"/>
    <n v="0.69"/>
    <x v="1"/>
    <n v="0"/>
    <x v="0"/>
    <x v="17"/>
    <n v="48"/>
    <n v="52"/>
    <s v="Low Demand"/>
  </r>
  <r>
    <n v="323"/>
    <x v="13"/>
    <x v="0"/>
    <x v="0"/>
    <x v="0"/>
    <x v="22"/>
    <x v="3"/>
    <x v="0"/>
    <n v="5"/>
    <s v="Saturday"/>
    <x v="1"/>
    <x v="1"/>
    <n v="0.16"/>
    <x v="1"/>
    <n v="0.2273"/>
    <s v="Cold"/>
    <n v="0.69"/>
    <x v="1"/>
    <n v="0"/>
    <x v="0"/>
    <x v="4"/>
    <n v="34"/>
    <n v="36"/>
    <s v="Low Demand"/>
  </r>
  <r>
    <n v="324"/>
    <x v="13"/>
    <x v="0"/>
    <x v="0"/>
    <x v="0"/>
    <x v="23"/>
    <x v="3"/>
    <x v="0"/>
    <n v="5"/>
    <s v="Saturday"/>
    <x v="1"/>
    <x v="1"/>
    <n v="0.18"/>
    <x v="1"/>
    <n v="0.2424"/>
    <s v="Cold"/>
    <n v="0.55000000000000004"/>
    <x v="1"/>
    <n v="0"/>
    <x v="0"/>
    <x v="5"/>
    <n v="26"/>
    <n v="27"/>
    <s v="Low Demand"/>
  </r>
  <r>
    <n v="325"/>
    <x v="14"/>
    <x v="0"/>
    <x v="0"/>
    <x v="0"/>
    <x v="0"/>
    <x v="0"/>
    <x v="0"/>
    <n v="6"/>
    <s v="Sunday"/>
    <x v="0"/>
    <x v="0"/>
    <n v="0.18"/>
    <x v="1"/>
    <n v="0.2424"/>
    <s v="Cold"/>
    <n v="0.55000000000000004"/>
    <x v="1"/>
    <n v="0"/>
    <x v="0"/>
    <x v="0"/>
    <n v="25"/>
    <n v="28"/>
    <s v="Low Demand"/>
  </r>
  <r>
    <n v="326"/>
    <x v="14"/>
    <x v="0"/>
    <x v="0"/>
    <x v="0"/>
    <x v="1"/>
    <x v="0"/>
    <x v="0"/>
    <n v="6"/>
    <s v="Sunday"/>
    <x v="1"/>
    <x v="1"/>
    <n v="0.16"/>
    <x v="1"/>
    <n v="0.19700000000000001"/>
    <s v="Cold"/>
    <n v="0.59"/>
    <x v="1"/>
    <n v="8.9599999999999999E-2"/>
    <x v="0"/>
    <x v="4"/>
    <n v="18"/>
    <n v="20"/>
    <s v="Low Demand"/>
  </r>
  <r>
    <n v="327"/>
    <x v="14"/>
    <x v="0"/>
    <x v="0"/>
    <x v="0"/>
    <x v="2"/>
    <x v="0"/>
    <x v="0"/>
    <n v="6"/>
    <s v="Sunday"/>
    <x v="1"/>
    <x v="1"/>
    <n v="0.16"/>
    <x v="1"/>
    <n v="0.19700000000000001"/>
    <s v="Cold"/>
    <n v="0.59"/>
    <x v="1"/>
    <n v="8.9599999999999999E-2"/>
    <x v="0"/>
    <x v="3"/>
    <n v="12"/>
    <n v="12"/>
    <s v="Low Demand"/>
  </r>
  <r>
    <n v="328"/>
    <x v="14"/>
    <x v="0"/>
    <x v="0"/>
    <x v="0"/>
    <x v="3"/>
    <x v="0"/>
    <x v="0"/>
    <n v="6"/>
    <s v="Sunday"/>
    <x v="1"/>
    <x v="1"/>
    <n v="0.16"/>
    <x v="1"/>
    <n v="0.2273"/>
    <s v="Cold"/>
    <n v="0.59"/>
    <x v="1"/>
    <n v="0"/>
    <x v="0"/>
    <x v="5"/>
    <n v="7"/>
    <n v="8"/>
    <s v="Low Demand"/>
  </r>
  <r>
    <n v="329"/>
    <x v="14"/>
    <x v="0"/>
    <x v="0"/>
    <x v="0"/>
    <x v="4"/>
    <x v="0"/>
    <x v="0"/>
    <n v="6"/>
    <s v="Sunday"/>
    <x v="1"/>
    <x v="1"/>
    <n v="0.16"/>
    <x v="1"/>
    <n v="0.2273"/>
    <s v="Cold"/>
    <n v="0.59"/>
    <x v="1"/>
    <n v="0"/>
    <x v="0"/>
    <x v="3"/>
    <n v="5"/>
    <n v="5"/>
    <s v="Low Demand"/>
  </r>
  <r>
    <n v="330"/>
    <x v="14"/>
    <x v="0"/>
    <x v="0"/>
    <x v="0"/>
    <x v="5"/>
    <x v="0"/>
    <x v="0"/>
    <n v="6"/>
    <s v="Sunday"/>
    <x v="0"/>
    <x v="0"/>
    <n v="0.16"/>
    <x v="1"/>
    <n v="0.2273"/>
    <s v="Cold"/>
    <n v="0.59"/>
    <x v="1"/>
    <n v="0"/>
    <x v="0"/>
    <x v="3"/>
    <n v="1"/>
    <n v="1"/>
    <s v="Low Demand"/>
  </r>
  <r>
    <n v="331"/>
    <x v="14"/>
    <x v="0"/>
    <x v="0"/>
    <x v="0"/>
    <x v="6"/>
    <x v="1"/>
    <x v="0"/>
    <n v="6"/>
    <s v="Sunday"/>
    <x v="0"/>
    <x v="0"/>
    <n v="0.14000000000000001"/>
    <x v="1"/>
    <n v="0.16669999999999999"/>
    <s v="Cold"/>
    <n v="0.63"/>
    <x v="1"/>
    <n v="0.1045"/>
    <x v="0"/>
    <x v="5"/>
    <n v="2"/>
    <n v="3"/>
    <s v="Low Demand"/>
  </r>
  <r>
    <n v="332"/>
    <x v="14"/>
    <x v="0"/>
    <x v="0"/>
    <x v="0"/>
    <x v="7"/>
    <x v="1"/>
    <x v="0"/>
    <n v="6"/>
    <s v="Sunday"/>
    <x v="0"/>
    <x v="0"/>
    <n v="0.14000000000000001"/>
    <x v="1"/>
    <n v="0.21210000000000001"/>
    <s v="Cold"/>
    <n v="0.63"/>
    <x v="1"/>
    <n v="0"/>
    <x v="0"/>
    <x v="5"/>
    <n v="9"/>
    <n v="10"/>
    <s v="Low Demand"/>
  </r>
  <r>
    <n v="333"/>
    <x v="14"/>
    <x v="0"/>
    <x v="0"/>
    <x v="0"/>
    <x v="8"/>
    <x v="1"/>
    <x v="0"/>
    <n v="6"/>
    <s v="Sunday"/>
    <x v="0"/>
    <x v="0"/>
    <n v="0.14000000000000001"/>
    <x v="1"/>
    <n v="0.1515"/>
    <s v="Cold"/>
    <n v="0.63"/>
    <x v="1"/>
    <n v="0.1343"/>
    <x v="0"/>
    <x v="5"/>
    <n v="22"/>
    <n v="23"/>
    <s v="Low Demand"/>
  </r>
  <r>
    <n v="334"/>
    <x v="14"/>
    <x v="0"/>
    <x v="0"/>
    <x v="0"/>
    <x v="9"/>
    <x v="1"/>
    <x v="0"/>
    <n v="6"/>
    <s v="Sunday"/>
    <x v="0"/>
    <x v="0"/>
    <n v="0.16"/>
    <x v="1"/>
    <n v="0.18179999999999999"/>
    <s v="Cold"/>
    <n v="0.64"/>
    <x v="1"/>
    <n v="0.1343"/>
    <x v="0"/>
    <x v="4"/>
    <n v="31"/>
    <n v="33"/>
    <s v="Low Demand"/>
  </r>
  <r>
    <n v="335"/>
    <x v="14"/>
    <x v="0"/>
    <x v="0"/>
    <x v="0"/>
    <x v="10"/>
    <x v="1"/>
    <x v="0"/>
    <n v="6"/>
    <s v="Sunday"/>
    <x v="0"/>
    <x v="0"/>
    <n v="0.18"/>
    <x v="1"/>
    <n v="0.19700000000000001"/>
    <s v="Cold"/>
    <n v="0.59"/>
    <x v="1"/>
    <n v="0.16420000000000001"/>
    <x v="1"/>
    <x v="4"/>
    <n v="57"/>
    <n v="59"/>
    <s v="Low Demand"/>
  </r>
  <r>
    <n v="336"/>
    <x v="14"/>
    <x v="0"/>
    <x v="0"/>
    <x v="0"/>
    <x v="11"/>
    <x v="1"/>
    <x v="0"/>
    <n v="6"/>
    <s v="Sunday"/>
    <x v="0"/>
    <x v="0"/>
    <n v="0.2"/>
    <x v="1"/>
    <n v="0.19700000000000001"/>
    <s v="Cold"/>
    <n v="0.55000000000000004"/>
    <x v="1"/>
    <n v="0.22389999999999999"/>
    <x v="1"/>
    <x v="25"/>
    <n v="54"/>
    <n v="72"/>
    <s v="Low Demand"/>
  </r>
  <r>
    <n v="337"/>
    <x v="14"/>
    <x v="0"/>
    <x v="0"/>
    <x v="0"/>
    <x v="12"/>
    <x v="2"/>
    <x v="0"/>
    <n v="6"/>
    <s v="Sunday"/>
    <x v="0"/>
    <x v="0"/>
    <n v="0.24"/>
    <x v="0"/>
    <n v="0.2273"/>
    <s v="Cold"/>
    <n v="0.48"/>
    <x v="2"/>
    <n v="0.22389999999999999"/>
    <x v="1"/>
    <x v="13"/>
    <n v="74"/>
    <n v="89"/>
    <s v="Medium Demand"/>
  </r>
  <r>
    <n v="338"/>
    <x v="14"/>
    <x v="0"/>
    <x v="0"/>
    <x v="0"/>
    <x v="13"/>
    <x v="2"/>
    <x v="0"/>
    <n v="6"/>
    <s v="Sunday"/>
    <x v="0"/>
    <x v="0"/>
    <n v="0.28000000000000003"/>
    <x v="0"/>
    <n v="0.2576"/>
    <s v="Cold"/>
    <n v="0.38"/>
    <x v="2"/>
    <n v="0.29849999999999999"/>
    <x v="1"/>
    <x v="27"/>
    <n v="80"/>
    <n v="101"/>
    <s v="Medium Demand"/>
  </r>
  <r>
    <n v="339"/>
    <x v="14"/>
    <x v="0"/>
    <x v="0"/>
    <x v="0"/>
    <x v="14"/>
    <x v="2"/>
    <x v="0"/>
    <n v="6"/>
    <s v="Sunday"/>
    <x v="0"/>
    <x v="0"/>
    <n v="0.3"/>
    <x v="0"/>
    <n v="0.28789999999999999"/>
    <s v="Cold"/>
    <n v="0.39"/>
    <x v="2"/>
    <n v="0.28360000000000002"/>
    <x v="1"/>
    <x v="7"/>
    <n v="92"/>
    <n v="118"/>
    <s v="Medium Demand"/>
  </r>
  <r>
    <n v="340"/>
    <x v="14"/>
    <x v="0"/>
    <x v="0"/>
    <x v="0"/>
    <x v="15"/>
    <x v="2"/>
    <x v="0"/>
    <n v="6"/>
    <s v="Sunday"/>
    <x v="1"/>
    <x v="1"/>
    <n v="0.32"/>
    <x v="0"/>
    <n v="0.31819999999999998"/>
    <s v="Pleasant"/>
    <n v="0.36"/>
    <x v="2"/>
    <n v="0.19400000000000001"/>
    <x v="1"/>
    <x v="27"/>
    <n v="108"/>
    <n v="129"/>
    <s v="Medium Demand"/>
  </r>
  <r>
    <n v="341"/>
    <x v="14"/>
    <x v="0"/>
    <x v="0"/>
    <x v="0"/>
    <x v="16"/>
    <x v="2"/>
    <x v="0"/>
    <n v="6"/>
    <s v="Sunday"/>
    <x v="1"/>
    <x v="1"/>
    <n v="0.34"/>
    <x v="0"/>
    <n v="0.33329999999999999"/>
    <s v="Pleasant"/>
    <n v="0.34"/>
    <x v="2"/>
    <n v="0.19400000000000001"/>
    <x v="1"/>
    <x v="28"/>
    <n v="95"/>
    <n v="128"/>
    <s v="Medium Demand"/>
  </r>
  <r>
    <n v="342"/>
    <x v="14"/>
    <x v="0"/>
    <x v="0"/>
    <x v="0"/>
    <x v="17"/>
    <x v="2"/>
    <x v="0"/>
    <n v="6"/>
    <s v="Sunday"/>
    <x v="1"/>
    <x v="1"/>
    <n v="0.32"/>
    <x v="0"/>
    <n v="0.30299999999999999"/>
    <s v="Pleasant"/>
    <n v="0.36"/>
    <x v="2"/>
    <n v="0.28360000000000002"/>
    <x v="1"/>
    <x v="8"/>
    <n v="54"/>
    <n v="83"/>
    <s v="Medium Demand"/>
  </r>
  <r>
    <n v="343"/>
    <x v="14"/>
    <x v="0"/>
    <x v="0"/>
    <x v="0"/>
    <x v="18"/>
    <x v="3"/>
    <x v="0"/>
    <n v="6"/>
    <s v="Sunday"/>
    <x v="1"/>
    <x v="1"/>
    <n v="0.3"/>
    <x v="0"/>
    <n v="0.28789999999999999"/>
    <s v="Cold"/>
    <n v="0.45"/>
    <x v="2"/>
    <n v="0.25369999999999998"/>
    <x v="1"/>
    <x v="13"/>
    <n v="69"/>
    <n v="84"/>
    <s v="Medium Demand"/>
  </r>
  <r>
    <n v="344"/>
    <x v="14"/>
    <x v="0"/>
    <x v="0"/>
    <x v="0"/>
    <x v="19"/>
    <x v="3"/>
    <x v="0"/>
    <n v="6"/>
    <s v="Sunday"/>
    <x v="1"/>
    <x v="1"/>
    <n v="0.32"/>
    <x v="0"/>
    <n v="0.30299999999999999"/>
    <s v="Pleasant"/>
    <n v="0.39"/>
    <x v="2"/>
    <n v="0.25369999999999998"/>
    <x v="1"/>
    <x v="24"/>
    <n v="60"/>
    <n v="74"/>
    <s v="Low Demand"/>
  </r>
  <r>
    <n v="345"/>
    <x v="14"/>
    <x v="0"/>
    <x v="0"/>
    <x v="0"/>
    <x v="20"/>
    <x v="3"/>
    <x v="0"/>
    <n v="6"/>
    <s v="Sunday"/>
    <x v="1"/>
    <x v="1"/>
    <n v="0.32"/>
    <x v="0"/>
    <n v="0.30299999999999999"/>
    <s v="Pleasant"/>
    <n v="0.39"/>
    <x v="2"/>
    <n v="0.25369999999999998"/>
    <x v="1"/>
    <x v="15"/>
    <n v="35"/>
    <n v="41"/>
    <s v="Low Demand"/>
  </r>
  <r>
    <n v="346"/>
    <x v="14"/>
    <x v="0"/>
    <x v="0"/>
    <x v="0"/>
    <x v="21"/>
    <x v="3"/>
    <x v="0"/>
    <n v="6"/>
    <s v="Sunday"/>
    <x v="1"/>
    <x v="1"/>
    <n v="0.32"/>
    <x v="0"/>
    <n v="0.30299999999999999"/>
    <s v="Pleasant"/>
    <n v="0.39"/>
    <x v="2"/>
    <n v="0.22389999999999999"/>
    <x v="1"/>
    <x v="15"/>
    <n v="51"/>
    <n v="57"/>
    <s v="Low Demand"/>
  </r>
  <r>
    <n v="347"/>
    <x v="14"/>
    <x v="0"/>
    <x v="0"/>
    <x v="0"/>
    <x v="22"/>
    <x v="3"/>
    <x v="0"/>
    <n v="6"/>
    <s v="Sunday"/>
    <x v="1"/>
    <x v="1"/>
    <n v="0.3"/>
    <x v="0"/>
    <n v="0.31819999999999998"/>
    <s v="Pleasant"/>
    <n v="0.42"/>
    <x v="2"/>
    <n v="0.1045"/>
    <x v="0"/>
    <x v="3"/>
    <n v="26"/>
    <n v="26"/>
    <s v="Low Demand"/>
  </r>
  <r>
    <n v="348"/>
    <x v="14"/>
    <x v="0"/>
    <x v="0"/>
    <x v="0"/>
    <x v="23"/>
    <x v="3"/>
    <x v="0"/>
    <n v="6"/>
    <s v="Sunday"/>
    <x v="0"/>
    <x v="0"/>
    <n v="0.3"/>
    <x v="0"/>
    <n v="0.28789999999999999"/>
    <s v="Cold"/>
    <n v="0.45"/>
    <x v="2"/>
    <n v="0.28360000000000002"/>
    <x v="1"/>
    <x v="2"/>
    <n v="39"/>
    <n v="44"/>
    <s v="Low Demand"/>
  </r>
  <r>
    <n v="349"/>
    <x v="15"/>
    <x v="0"/>
    <x v="0"/>
    <x v="0"/>
    <x v="0"/>
    <x v="0"/>
    <x v="0"/>
    <n v="0"/>
    <s v="Monday"/>
    <x v="0"/>
    <x v="0"/>
    <n v="0.26"/>
    <x v="0"/>
    <n v="0.30299999999999999"/>
    <s v="Pleasant"/>
    <n v="0.56000000000000005"/>
    <x v="1"/>
    <n v="0"/>
    <x v="0"/>
    <x v="15"/>
    <n v="33"/>
    <n v="39"/>
    <s v="Low Demand"/>
  </r>
  <r>
    <n v="350"/>
    <x v="15"/>
    <x v="0"/>
    <x v="0"/>
    <x v="0"/>
    <x v="1"/>
    <x v="0"/>
    <x v="0"/>
    <n v="0"/>
    <s v="Monday"/>
    <x v="0"/>
    <x v="0"/>
    <n v="0.26"/>
    <x v="0"/>
    <n v="0.2727"/>
    <s v="Cold"/>
    <n v="0.56000000000000005"/>
    <x v="1"/>
    <n v="0.1343"/>
    <x v="0"/>
    <x v="17"/>
    <n v="19"/>
    <n v="23"/>
    <s v="Low Demand"/>
  </r>
  <r>
    <n v="351"/>
    <x v="15"/>
    <x v="0"/>
    <x v="0"/>
    <x v="0"/>
    <x v="2"/>
    <x v="0"/>
    <x v="0"/>
    <n v="0"/>
    <s v="Monday"/>
    <x v="0"/>
    <x v="0"/>
    <n v="0.26"/>
    <x v="0"/>
    <n v="0.28789999999999999"/>
    <s v="Cold"/>
    <n v="0.56000000000000005"/>
    <x v="1"/>
    <n v="8.9599999999999999E-2"/>
    <x v="0"/>
    <x v="0"/>
    <n v="13"/>
    <n v="16"/>
    <s v="Low Demand"/>
  </r>
  <r>
    <n v="352"/>
    <x v="15"/>
    <x v="0"/>
    <x v="0"/>
    <x v="0"/>
    <x v="3"/>
    <x v="0"/>
    <x v="0"/>
    <n v="0"/>
    <s v="Monday"/>
    <x v="0"/>
    <x v="0"/>
    <n v="0.22"/>
    <x v="0"/>
    <n v="0.2727"/>
    <s v="Cold"/>
    <n v="0.69"/>
    <x v="1"/>
    <n v="0"/>
    <x v="0"/>
    <x v="14"/>
    <n v="6"/>
    <n v="15"/>
    <s v="Low Demand"/>
  </r>
  <r>
    <n v="353"/>
    <x v="15"/>
    <x v="0"/>
    <x v="0"/>
    <x v="0"/>
    <x v="4"/>
    <x v="0"/>
    <x v="0"/>
    <n v="0"/>
    <s v="Monday"/>
    <x v="0"/>
    <x v="0"/>
    <n v="0.26"/>
    <x v="0"/>
    <n v="0.2576"/>
    <s v="Cold"/>
    <n v="0.56000000000000005"/>
    <x v="1"/>
    <n v="0.16420000000000001"/>
    <x v="1"/>
    <x v="3"/>
    <n v="1"/>
    <n v="1"/>
    <s v="Low Demand"/>
  </r>
  <r>
    <n v="354"/>
    <x v="15"/>
    <x v="0"/>
    <x v="0"/>
    <x v="0"/>
    <x v="5"/>
    <x v="0"/>
    <x v="0"/>
    <n v="0"/>
    <s v="Monday"/>
    <x v="1"/>
    <x v="1"/>
    <n v="0.26"/>
    <x v="0"/>
    <n v="0.2576"/>
    <s v="Cold"/>
    <n v="0.56000000000000005"/>
    <x v="1"/>
    <n v="0.16420000000000001"/>
    <x v="1"/>
    <x v="5"/>
    <n v="1"/>
    <n v="2"/>
    <s v="Low Demand"/>
  </r>
  <r>
    <n v="355"/>
    <x v="15"/>
    <x v="0"/>
    <x v="0"/>
    <x v="0"/>
    <x v="6"/>
    <x v="1"/>
    <x v="0"/>
    <n v="0"/>
    <s v="Monday"/>
    <x v="1"/>
    <x v="1"/>
    <n v="0.26"/>
    <x v="0"/>
    <n v="0.2576"/>
    <s v="Cold"/>
    <n v="0.56000000000000005"/>
    <x v="1"/>
    <n v="0.16420000000000001"/>
    <x v="1"/>
    <x v="3"/>
    <n v="1"/>
    <n v="1"/>
    <s v="Low Demand"/>
  </r>
  <r>
    <n v="356"/>
    <x v="15"/>
    <x v="0"/>
    <x v="0"/>
    <x v="0"/>
    <x v="7"/>
    <x v="1"/>
    <x v="0"/>
    <n v="0"/>
    <s v="Monday"/>
    <x v="1"/>
    <x v="1"/>
    <n v="0.24"/>
    <x v="0"/>
    <n v="0.21210000000000001"/>
    <s v="Cold"/>
    <n v="0.56000000000000005"/>
    <x v="1"/>
    <n v="0.29849999999999999"/>
    <x v="1"/>
    <x v="3"/>
    <n v="3"/>
    <n v="3"/>
    <s v="Low Demand"/>
  </r>
  <r>
    <n v="357"/>
    <x v="15"/>
    <x v="0"/>
    <x v="0"/>
    <x v="0"/>
    <x v="8"/>
    <x v="1"/>
    <x v="0"/>
    <n v="0"/>
    <s v="Monday"/>
    <x v="0"/>
    <x v="0"/>
    <n v="0.22"/>
    <x v="0"/>
    <n v="0.21210000000000001"/>
    <s v="Cold"/>
    <n v="0.55000000000000004"/>
    <x v="1"/>
    <n v="0.28360000000000002"/>
    <x v="1"/>
    <x v="3"/>
    <n v="18"/>
    <n v="18"/>
    <s v="Low Demand"/>
  </r>
  <r>
    <n v="358"/>
    <x v="15"/>
    <x v="0"/>
    <x v="0"/>
    <x v="0"/>
    <x v="9"/>
    <x v="1"/>
    <x v="0"/>
    <n v="0"/>
    <s v="Monday"/>
    <x v="0"/>
    <x v="0"/>
    <n v="0.22"/>
    <x v="0"/>
    <n v="0.21210000000000001"/>
    <s v="Cold"/>
    <n v="0.51"/>
    <x v="1"/>
    <n v="0.25369999999999998"/>
    <x v="1"/>
    <x v="0"/>
    <n v="29"/>
    <n v="32"/>
    <s v="Low Demand"/>
  </r>
  <r>
    <n v="359"/>
    <x v="15"/>
    <x v="0"/>
    <x v="0"/>
    <x v="0"/>
    <x v="10"/>
    <x v="1"/>
    <x v="0"/>
    <n v="0"/>
    <s v="Monday"/>
    <x v="0"/>
    <x v="0"/>
    <n v="0.22"/>
    <x v="0"/>
    <n v="0.21210000000000001"/>
    <s v="Cold"/>
    <n v="0.51"/>
    <x v="1"/>
    <n v="0.28360000000000002"/>
    <x v="1"/>
    <x v="1"/>
    <n v="71"/>
    <n v="79"/>
    <s v="Medium Demand"/>
  </r>
  <r>
    <n v="360"/>
    <x v="15"/>
    <x v="0"/>
    <x v="0"/>
    <x v="0"/>
    <x v="11"/>
    <x v="1"/>
    <x v="0"/>
    <n v="0"/>
    <s v="Monday"/>
    <x v="0"/>
    <x v="0"/>
    <n v="0.24"/>
    <x v="0"/>
    <n v="0.2273"/>
    <s v="Cold"/>
    <n v="0.44"/>
    <x v="2"/>
    <n v="0.25369999999999998"/>
    <x v="1"/>
    <x v="29"/>
    <n v="70"/>
    <n v="93"/>
    <s v="Medium Demand"/>
  </r>
  <r>
    <n v="361"/>
    <x v="15"/>
    <x v="0"/>
    <x v="0"/>
    <x v="0"/>
    <x v="12"/>
    <x v="2"/>
    <x v="0"/>
    <n v="0"/>
    <s v="Monday"/>
    <x v="0"/>
    <x v="0"/>
    <n v="0.24"/>
    <x v="0"/>
    <n v="0.21210000000000001"/>
    <s v="Cold"/>
    <n v="0.41"/>
    <x v="2"/>
    <n v="0.28360000000000002"/>
    <x v="1"/>
    <x v="8"/>
    <n v="75"/>
    <n v="104"/>
    <s v="Medium Demand"/>
  </r>
  <r>
    <n v="362"/>
    <x v="15"/>
    <x v="0"/>
    <x v="0"/>
    <x v="0"/>
    <x v="13"/>
    <x v="2"/>
    <x v="0"/>
    <n v="0"/>
    <s v="Monday"/>
    <x v="0"/>
    <x v="0"/>
    <n v="0.26"/>
    <x v="0"/>
    <n v="0.2273"/>
    <s v="Cold"/>
    <n v="0.35"/>
    <x v="2"/>
    <n v="0.29849999999999999"/>
    <x v="1"/>
    <x v="29"/>
    <n v="95"/>
    <n v="118"/>
    <s v="Medium Demand"/>
  </r>
  <r>
    <n v="363"/>
    <x v="15"/>
    <x v="0"/>
    <x v="0"/>
    <x v="0"/>
    <x v="14"/>
    <x v="2"/>
    <x v="0"/>
    <n v="0"/>
    <s v="Monday"/>
    <x v="0"/>
    <x v="0"/>
    <n v="0.28000000000000003"/>
    <x v="0"/>
    <n v="0.2727"/>
    <s v="Cold"/>
    <n v="0.36"/>
    <x v="2"/>
    <n v="0.25369999999999998"/>
    <x v="1"/>
    <x v="30"/>
    <n v="69"/>
    <n v="91"/>
    <s v="Medium Demand"/>
  </r>
  <r>
    <n v="364"/>
    <x v="15"/>
    <x v="0"/>
    <x v="0"/>
    <x v="0"/>
    <x v="15"/>
    <x v="2"/>
    <x v="0"/>
    <n v="0"/>
    <s v="Monday"/>
    <x v="0"/>
    <x v="0"/>
    <n v="0.26"/>
    <x v="0"/>
    <n v="0.2424"/>
    <s v="Cold"/>
    <n v="0.38"/>
    <x v="2"/>
    <n v="0.25369999999999998"/>
    <x v="1"/>
    <x v="10"/>
    <n v="78"/>
    <n v="113"/>
    <s v="Medium Demand"/>
  </r>
  <r>
    <n v="365"/>
    <x v="15"/>
    <x v="0"/>
    <x v="0"/>
    <x v="0"/>
    <x v="16"/>
    <x v="2"/>
    <x v="0"/>
    <n v="0"/>
    <s v="Monday"/>
    <x v="0"/>
    <x v="0"/>
    <n v="0.24"/>
    <x v="0"/>
    <n v="0.2273"/>
    <s v="Cold"/>
    <n v="0.38"/>
    <x v="2"/>
    <n v="0.22389999999999999"/>
    <x v="1"/>
    <x v="30"/>
    <n v="77"/>
    <n v="99"/>
    <s v="Medium Demand"/>
  </r>
  <r>
    <n v="366"/>
    <x v="15"/>
    <x v="0"/>
    <x v="0"/>
    <x v="0"/>
    <x v="17"/>
    <x v="2"/>
    <x v="0"/>
    <n v="0"/>
    <s v="Monday"/>
    <x v="0"/>
    <x v="0"/>
    <n v="0.22"/>
    <x v="0"/>
    <n v="0.21210000000000001"/>
    <s v="Cold"/>
    <n v="0.37"/>
    <x v="2"/>
    <n v="0.25369999999999998"/>
    <x v="1"/>
    <x v="29"/>
    <n v="82"/>
    <n v="105"/>
    <s v="Medium Demand"/>
  </r>
  <r>
    <n v="367"/>
    <x v="15"/>
    <x v="0"/>
    <x v="0"/>
    <x v="0"/>
    <x v="18"/>
    <x v="3"/>
    <x v="0"/>
    <n v="0"/>
    <s v="Monday"/>
    <x v="0"/>
    <x v="0"/>
    <n v="0.2"/>
    <x v="1"/>
    <n v="0.21210000000000001"/>
    <s v="Cold"/>
    <n v="0.4"/>
    <x v="2"/>
    <n v="0.16420000000000001"/>
    <x v="1"/>
    <x v="16"/>
    <n v="56"/>
    <n v="67"/>
    <s v="Low Demand"/>
  </r>
  <r>
    <n v="368"/>
    <x v="15"/>
    <x v="0"/>
    <x v="0"/>
    <x v="0"/>
    <x v="19"/>
    <x v="3"/>
    <x v="0"/>
    <n v="0"/>
    <s v="Monday"/>
    <x v="0"/>
    <x v="0"/>
    <n v="0.18"/>
    <x v="1"/>
    <n v="0.19700000000000001"/>
    <s v="Cold"/>
    <n v="0.47"/>
    <x v="2"/>
    <n v="0.1343"/>
    <x v="0"/>
    <x v="24"/>
    <n v="47"/>
    <n v="61"/>
    <s v="Low Demand"/>
  </r>
  <r>
    <n v="369"/>
    <x v="15"/>
    <x v="0"/>
    <x v="0"/>
    <x v="0"/>
    <x v="20"/>
    <x v="3"/>
    <x v="0"/>
    <n v="0"/>
    <s v="Monday"/>
    <x v="0"/>
    <x v="0"/>
    <n v="0.18"/>
    <x v="1"/>
    <n v="0.19700000000000001"/>
    <s v="Cold"/>
    <n v="0.47"/>
    <x v="2"/>
    <n v="0.16420000000000001"/>
    <x v="1"/>
    <x v="18"/>
    <n v="50"/>
    <n v="57"/>
    <s v="Low Demand"/>
  </r>
  <r>
    <n v="370"/>
    <x v="15"/>
    <x v="0"/>
    <x v="0"/>
    <x v="0"/>
    <x v="21"/>
    <x v="3"/>
    <x v="0"/>
    <n v="0"/>
    <s v="Monday"/>
    <x v="0"/>
    <x v="0"/>
    <n v="0.18"/>
    <x v="1"/>
    <n v="0.19700000000000001"/>
    <s v="Cold"/>
    <n v="0.51"/>
    <x v="1"/>
    <n v="0.16420000000000001"/>
    <x v="1"/>
    <x v="15"/>
    <n v="22"/>
    <n v="28"/>
    <s v="Low Demand"/>
  </r>
  <r>
    <n v="371"/>
    <x v="15"/>
    <x v="0"/>
    <x v="0"/>
    <x v="0"/>
    <x v="22"/>
    <x v="3"/>
    <x v="0"/>
    <n v="0"/>
    <s v="Monday"/>
    <x v="1"/>
    <x v="1"/>
    <n v="0.2"/>
    <x v="1"/>
    <n v="0.21210000000000001"/>
    <s v="Cold"/>
    <n v="0.49"/>
    <x v="2"/>
    <n v="0.1343"/>
    <x v="0"/>
    <x v="4"/>
    <n v="19"/>
    <n v="21"/>
    <s v="Low Demand"/>
  </r>
  <r>
    <n v="372"/>
    <x v="15"/>
    <x v="0"/>
    <x v="0"/>
    <x v="0"/>
    <x v="23"/>
    <x v="3"/>
    <x v="0"/>
    <n v="0"/>
    <s v="Monday"/>
    <x v="1"/>
    <x v="1"/>
    <n v="0.2"/>
    <x v="1"/>
    <n v="0.2273"/>
    <s v="Cold"/>
    <n v="0.4"/>
    <x v="2"/>
    <n v="0.1045"/>
    <x v="0"/>
    <x v="3"/>
    <n v="18"/>
    <n v="18"/>
    <s v="Low Demand"/>
  </r>
  <r>
    <n v="373"/>
    <x v="16"/>
    <x v="0"/>
    <x v="0"/>
    <x v="0"/>
    <x v="0"/>
    <x v="0"/>
    <x v="1"/>
    <n v="1"/>
    <s v="Tuesday"/>
    <x v="1"/>
    <x v="1"/>
    <n v="0.2"/>
    <x v="1"/>
    <n v="0.19700000000000001"/>
    <s v="Cold"/>
    <n v="0.47"/>
    <x v="2"/>
    <n v="0.22389999999999999"/>
    <x v="1"/>
    <x v="5"/>
    <n v="16"/>
    <n v="17"/>
    <s v="Low Demand"/>
  </r>
  <r>
    <n v="374"/>
    <x v="16"/>
    <x v="0"/>
    <x v="0"/>
    <x v="0"/>
    <x v="1"/>
    <x v="0"/>
    <x v="1"/>
    <n v="1"/>
    <s v="Tuesday"/>
    <x v="1"/>
    <x v="1"/>
    <n v="0.2"/>
    <x v="1"/>
    <n v="0.19700000000000001"/>
    <s v="Cold"/>
    <n v="0.44"/>
    <x v="2"/>
    <n v="0.19400000000000001"/>
    <x v="1"/>
    <x v="5"/>
    <n v="15"/>
    <n v="16"/>
    <s v="Low Demand"/>
  </r>
  <r>
    <n v="375"/>
    <x v="16"/>
    <x v="0"/>
    <x v="0"/>
    <x v="0"/>
    <x v="2"/>
    <x v="0"/>
    <x v="1"/>
    <n v="1"/>
    <s v="Tuesday"/>
    <x v="1"/>
    <x v="1"/>
    <n v="0.18"/>
    <x v="1"/>
    <n v="0.16669999999999999"/>
    <s v="Cold"/>
    <n v="0.43"/>
    <x v="2"/>
    <n v="0.25369999999999998"/>
    <x v="1"/>
    <x v="3"/>
    <n v="8"/>
    <n v="8"/>
    <s v="Low Demand"/>
  </r>
  <r>
    <n v="376"/>
    <x v="16"/>
    <x v="0"/>
    <x v="0"/>
    <x v="0"/>
    <x v="3"/>
    <x v="0"/>
    <x v="1"/>
    <n v="1"/>
    <s v="Tuesday"/>
    <x v="1"/>
    <x v="1"/>
    <n v="0.18"/>
    <x v="1"/>
    <n v="0.18179999999999999"/>
    <s v="Cold"/>
    <n v="0.43"/>
    <x v="2"/>
    <n v="0.19400000000000001"/>
    <x v="1"/>
    <x v="3"/>
    <n v="2"/>
    <n v="2"/>
    <s v="Low Demand"/>
  </r>
  <r>
    <n v="377"/>
    <x v="16"/>
    <x v="0"/>
    <x v="0"/>
    <x v="0"/>
    <x v="4"/>
    <x v="0"/>
    <x v="1"/>
    <n v="1"/>
    <s v="Tuesday"/>
    <x v="1"/>
    <x v="1"/>
    <n v="0.18"/>
    <x v="1"/>
    <n v="0.19700000000000001"/>
    <s v="Cold"/>
    <n v="0.43"/>
    <x v="2"/>
    <n v="0.1343"/>
    <x v="0"/>
    <x v="5"/>
    <n v="2"/>
    <n v="3"/>
    <s v="Low Demand"/>
  </r>
  <r>
    <n v="378"/>
    <x v="16"/>
    <x v="0"/>
    <x v="0"/>
    <x v="0"/>
    <x v="5"/>
    <x v="0"/>
    <x v="1"/>
    <n v="1"/>
    <s v="Tuesday"/>
    <x v="1"/>
    <x v="1"/>
    <n v="0.18"/>
    <x v="1"/>
    <n v="0.19700000000000001"/>
    <s v="Cold"/>
    <n v="0.43"/>
    <x v="2"/>
    <n v="0.16420000000000001"/>
    <x v="1"/>
    <x v="3"/>
    <n v="1"/>
    <n v="1"/>
    <s v="Low Demand"/>
  </r>
  <r>
    <n v="379"/>
    <x v="16"/>
    <x v="0"/>
    <x v="0"/>
    <x v="0"/>
    <x v="6"/>
    <x v="1"/>
    <x v="1"/>
    <n v="1"/>
    <s v="Tuesday"/>
    <x v="1"/>
    <x v="1"/>
    <n v="0.18"/>
    <x v="1"/>
    <n v="0.18179999999999999"/>
    <s v="Cold"/>
    <n v="0.43"/>
    <x v="2"/>
    <n v="0.19400000000000001"/>
    <x v="1"/>
    <x v="3"/>
    <n v="5"/>
    <n v="5"/>
    <s v="Low Demand"/>
  </r>
  <r>
    <n v="380"/>
    <x v="16"/>
    <x v="0"/>
    <x v="0"/>
    <x v="0"/>
    <x v="7"/>
    <x v="1"/>
    <x v="1"/>
    <n v="1"/>
    <s v="Tuesday"/>
    <x v="1"/>
    <x v="1"/>
    <n v="0.16"/>
    <x v="1"/>
    <n v="0.18179999999999999"/>
    <s v="Cold"/>
    <n v="0.5"/>
    <x v="2"/>
    <n v="0.1343"/>
    <x v="0"/>
    <x v="17"/>
    <n v="9"/>
    <n v="13"/>
    <s v="Low Demand"/>
  </r>
  <r>
    <n v="381"/>
    <x v="16"/>
    <x v="0"/>
    <x v="0"/>
    <x v="0"/>
    <x v="8"/>
    <x v="1"/>
    <x v="1"/>
    <n v="1"/>
    <s v="Tuesday"/>
    <x v="1"/>
    <x v="1"/>
    <n v="0.16"/>
    <x v="1"/>
    <n v="0.1515"/>
    <s v="Cold"/>
    <n v="0.47"/>
    <x v="2"/>
    <n v="0.22389999999999999"/>
    <x v="1"/>
    <x v="0"/>
    <n v="30"/>
    <n v="33"/>
    <s v="Low Demand"/>
  </r>
  <r>
    <n v="382"/>
    <x v="16"/>
    <x v="0"/>
    <x v="0"/>
    <x v="0"/>
    <x v="9"/>
    <x v="1"/>
    <x v="1"/>
    <n v="1"/>
    <s v="Tuesday"/>
    <x v="1"/>
    <x v="1"/>
    <n v="0.16"/>
    <x v="1"/>
    <n v="0.1515"/>
    <s v="Cold"/>
    <n v="0.47"/>
    <x v="2"/>
    <n v="0.22389999999999999"/>
    <x v="1"/>
    <x v="1"/>
    <n v="39"/>
    <n v="47"/>
    <s v="Low Demand"/>
  </r>
  <r>
    <n v="383"/>
    <x v="16"/>
    <x v="0"/>
    <x v="0"/>
    <x v="0"/>
    <x v="10"/>
    <x v="1"/>
    <x v="1"/>
    <n v="1"/>
    <s v="Tuesday"/>
    <x v="1"/>
    <x v="1"/>
    <n v="0.16"/>
    <x v="1"/>
    <n v="0.1515"/>
    <s v="Cold"/>
    <n v="0.5"/>
    <x v="2"/>
    <n v="0.25369999999999998"/>
    <x v="1"/>
    <x v="18"/>
    <n v="50"/>
    <n v="57"/>
    <s v="Low Demand"/>
  </r>
  <r>
    <n v="384"/>
    <x v="16"/>
    <x v="0"/>
    <x v="0"/>
    <x v="0"/>
    <x v="11"/>
    <x v="1"/>
    <x v="1"/>
    <n v="1"/>
    <s v="Tuesday"/>
    <x v="1"/>
    <x v="1"/>
    <n v="0.16"/>
    <x v="1"/>
    <n v="0.1515"/>
    <s v="Cold"/>
    <n v="0.55000000000000004"/>
    <x v="1"/>
    <n v="0.19400000000000001"/>
    <x v="1"/>
    <x v="14"/>
    <n v="55"/>
    <n v="64"/>
    <s v="Low Demand"/>
  </r>
  <r>
    <n v="385"/>
    <x v="16"/>
    <x v="0"/>
    <x v="0"/>
    <x v="0"/>
    <x v="12"/>
    <x v="2"/>
    <x v="1"/>
    <n v="1"/>
    <s v="Tuesday"/>
    <x v="1"/>
    <x v="1"/>
    <n v="0.18"/>
    <x v="1"/>
    <n v="0.19700000000000001"/>
    <s v="Cold"/>
    <n v="0.47"/>
    <x v="2"/>
    <n v="0.1343"/>
    <x v="0"/>
    <x v="22"/>
    <n v="70"/>
    <n v="80"/>
    <s v="Medium Demand"/>
  </r>
  <r>
    <n v="386"/>
    <x v="16"/>
    <x v="0"/>
    <x v="0"/>
    <x v="0"/>
    <x v="13"/>
    <x v="2"/>
    <x v="1"/>
    <n v="1"/>
    <s v="Tuesday"/>
    <x v="1"/>
    <x v="1"/>
    <n v="0.18"/>
    <x v="1"/>
    <n v="0.19700000000000001"/>
    <s v="Cold"/>
    <n v="0.47"/>
    <x v="2"/>
    <n v="0.1343"/>
    <x v="0"/>
    <x v="23"/>
    <n v="80"/>
    <n v="93"/>
    <s v="Medium Demand"/>
  </r>
  <r>
    <n v="387"/>
    <x v="16"/>
    <x v="0"/>
    <x v="0"/>
    <x v="0"/>
    <x v="14"/>
    <x v="2"/>
    <x v="1"/>
    <n v="1"/>
    <s v="Tuesday"/>
    <x v="1"/>
    <x v="1"/>
    <n v="0.18"/>
    <x v="1"/>
    <n v="0.21210000000000001"/>
    <s v="Cold"/>
    <n v="0.43"/>
    <x v="2"/>
    <n v="0.1045"/>
    <x v="0"/>
    <x v="6"/>
    <n v="74"/>
    <n v="86"/>
    <s v="Medium Demand"/>
  </r>
  <r>
    <n v="388"/>
    <x v="16"/>
    <x v="0"/>
    <x v="0"/>
    <x v="0"/>
    <x v="15"/>
    <x v="2"/>
    <x v="1"/>
    <n v="1"/>
    <s v="Tuesday"/>
    <x v="1"/>
    <x v="1"/>
    <n v="0.2"/>
    <x v="1"/>
    <n v="0.21210000000000001"/>
    <s v="Cold"/>
    <n v="0.47"/>
    <x v="2"/>
    <n v="0.16420000000000001"/>
    <x v="1"/>
    <x v="27"/>
    <n v="72"/>
    <n v="93"/>
    <s v="Medium Demand"/>
  </r>
  <r>
    <n v="389"/>
    <x v="16"/>
    <x v="0"/>
    <x v="0"/>
    <x v="0"/>
    <x v="16"/>
    <x v="2"/>
    <x v="1"/>
    <n v="1"/>
    <s v="Tuesday"/>
    <x v="1"/>
    <x v="1"/>
    <n v="0.2"/>
    <x v="1"/>
    <n v="0.21210000000000001"/>
    <s v="Cold"/>
    <n v="0.47"/>
    <x v="2"/>
    <n v="0.16420000000000001"/>
    <x v="1"/>
    <x v="15"/>
    <n v="76"/>
    <n v="82"/>
    <s v="Medium Demand"/>
  </r>
  <r>
    <n v="390"/>
    <x v="16"/>
    <x v="0"/>
    <x v="0"/>
    <x v="0"/>
    <x v="17"/>
    <x v="2"/>
    <x v="1"/>
    <n v="1"/>
    <s v="Tuesday"/>
    <x v="0"/>
    <x v="0"/>
    <n v="0.2"/>
    <x v="1"/>
    <n v="0.19700000000000001"/>
    <s v="Cold"/>
    <n v="0.51"/>
    <x v="1"/>
    <n v="0.19400000000000001"/>
    <x v="1"/>
    <x v="17"/>
    <n v="67"/>
    <n v="71"/>
    <s v="Low Demand"/>
  </r>
  <r>
    <n v="391"/>
    <x v="16"/>
    <x v="0"/>
    <x v="0"/>
    <x v="0"/>
    <x v="18"/>
    <x v="3"/>
    <x v="1"/>
    <n v="1"/>
    <s v="Tuesday"/>
    <x v="1"/>
    <x v="1"/>
    <n v="0.18"/>
    <x v="1"/>
    <n v="0.16669999999999999"/>
    <s v="Cold"/>
    <n v="0.55000000000000004"/>
    <x v="1"/>
    <n v="0.25369999999999998"/>
    <x v="1"/>
    <x v="18"/>
    <n v="85"/>
    <n v="92"/>
    <s v="Medium Demand"/>
  </r>
  <r>
    <n v="392"/>
    <x v="16"/>
    <x v="0"/>
    <x v="0"/>
    <x v="0"/>
    <x v="19"/>
    <x v="3"/>
    <x v="1"/>
    <n v="1"/>
    <s v="Tuesday"/>
    <x v="2"/>
    <x v="2"/>
    <n v="0.18"/>
    <x v="1"/>
    <n v="0.18179999999999999"/>
    <s v="Cold"/>
    <n v="0.59"/>
    <x v="1"/>
    <n v="0.19400000000000001"/>
    <x v="1"/>
    <x v="4"/>
    <n v="58"/>
    <n v="60"/>
    <s v="Low Demand"/>
  </r>
  <r>
    <n v="393"/>
    <x v="16"/>
    <x v="0"/>
    <x v="0"/>
    <x v="0"/>
    <x v="20"/>
    <x v="3"/>
    <x v="1"/>
    <n v="1"/>
    <s v="Tuesday"/>
    <x v="2"/>
    <x v="2"/>
    <n v="0.16"/>
    <x v="1"/>
    <n v="0.1515"/>
    <s v="Cold"/>
    <n v="0.8"/>
    <x v="0"/>
    <n v="0.19400000000000001"/>
    <x v="1"/>
    <x v="17"/>
    <n v="29"/>
    <n v="33"/>
    <s v="Low Demand"/>
  </r>
  <r>
    <n v="394"/>
    <x v="16"/>
    <x v="0"/>
    <x v="0"/>
    <x v="0"/>
    <x v="21"/>
    <x v="3"/>
    <x v="1"/>
    <n v="1"/>
    <s v="Tuesday"/>
    <x v="2"/>
    <x v="2"/>
    <n v="0.16"/>
    <x v="1"/>
    <n v="0.1515"/>
    <s v="Cold"/>
    <n v="0.8"/>
    <x v="0"/>
    <n v="0.19400000000000001"/>
    <x v="1"/>
    <x v="0"/>
    <n v="24"/>
    <n v="27"/>
    <s v="Low Demand"/>
  </r>
  <r>
    <n v="395"/>
    <x v="16"/>
    <x v="0"/>
    <x v="0"/>
    <x v="0"/>
    <x v="22"/>
    <x v="3"/>
    <x v="1"/>
    <n v="1"/>
    <s v="Tuesday"/>
    <x v="2"/>
    <x v="2"/>
    <n v="0.14000000000000001"/>
    <x v="1"/>
    <n v="0.1212"/>
    <s v="Very Cold"/>
    <n v="0.93"/>
    <x v="0"/>
    <n v="0.25369999999999998"/>
    <x v="1"/>
    <x v="3"/>
    <n v="13"/>
    <n v="13"/>
    <s v="Low Demand"/>
  </r>
  <r>
    <n v="396"/>
    <x v="16"/>
    <x v="0"/>
    <x v="0"/>
    <x v="0"/>
    <x v="23"/>
    <x v="3"/>
    <x v="1"/>
    <n v="1"/>
    <s v="Tuesday"/>
    <x v="2"/>
    <x v="2"/>
    <n v="0.16"/>
    <x v="1"/>
    <n v="0.13639999999999999"/>
    <s v="Very Cold"/>
    <n v="0.86"/>
    <x v="0"/>
    <n v="0.28360000000000002"/>
    <x v="1"/>
    <x v="5"/>
    <n v="3"/>
    <n v="4"/>
    <s v="Low Demand"/>
  </r>
  <r>
    <n v="397"/>
    <x v="17"/>
    <x v="0"/>
    <x v="0"/>
    <x v="0"/>
    <x v="12"/>
    <x v="2"/>
    <x v="0"/>
    <n v="2"/>
    <s v="Wednesday"/>
    <x v="1"/>
    <x v="1"/>
    <n v="0.2"/>
    <x v="1"/>
    <n v="0.18179999999999999"/>
    <s v="Cold"/>
    <n v="0.86"/>
    <x v="0"/>
    <n v="0.32840000000000003"/>
    <x v="2"/>
    <x v="3"/>
    <n v="3"/>
    <n v="3"/>
    <s v="Low Demand"/>
  </r>
  <r>
    <n v="398"/>
    <x v="17"/>
    <x v="0"/>
    <x v="0"/>
    <x v="0"/>
    <x v="13"/>
    <x v="2"/>
    <x v="0"/>
    <n v="2"/>
    <s v="Wednesday"/>
    <x v="1"/>
    <x v="1"/>
    <n v="0.2"/>
    <x v="1"/>
    <n v="0.19700000000000001"/>
    <s v="Cold"/>
    <n v="0.86"/>
    <x v="0"/>
    <n v="0.22389999999999999"/>
    <x v="1"/>
    <x v="3"/>
    <n v="22"/>
    <n v="22"/>
    <s v="Low Demand"/>
  </r>
  <r>
    <n v="399"/>
    <x v="17"/>
    <x v="0"/>
    <x v="0"/>
    <x v="0"/>
    <x v="14"/>
    <x v="2"/>
    <x v="0"/>
    <n v="2"/>
    <s v="Wednesday"/>
    <x v="1"/>
    <x v="1"/>
    <n v="0.22"/>
    <x v="0"/>
    <n v="0.2273"/>
    <s v="Cold"/>
    <n v="0.8"/>
    <x v="0"/>
    <n v="0.16420000000000001"/>
    <x v="1"/>
    <x v="4"/>
    <n v="26"/>
    <n v="28"/>
    <s v="Low Demand"/>
  </r>
  <r>
    <n v="400"/>
    <x v="17"/>
    <x v="0"/>
    <x v="0"/>
    <x v="0"/>
    <x v="15"/>
    <x v="2"/>
    <x v="0"/>
    <n v="2"/>
    <s v="Wednesday"/>
    <x v="1"/>
    <x v="1"/>
    <n v="0.22"/>
    <x v="0"/>
    <n v="0.2273"/>
    <s v="Cold"/>
    <n v="0.87"/>
    <x v="0"/>
    <n v="0.16420000000000001"/>
    <x v="1"/>
    <x v="0"/>
    <n v="32"/>
    <n v="35"/>
    <s v="Low Demand"/>
  </r>
  <r>
    <n v="401"/>
    <x v="17"/>
    <x v="0"/>
    <x v="0"/>
    <x v="0"/>
    <x v="16"/>
    <x v="2"/>
    <x v="0"/>
    <n v="2"/>
    <s v="Wednesday"/>
    <x v="1"/>
    <x v="1"/>
    <n v="0.22"/>
    <x v="0"/>
    <n v="0.2273"/>
    <s v="Cold"/>
    <n v="0.87"/>
    <x v="0"/>
    <n v="0.19400000000000001"/>
    <x v="1"/>
    <x v="3"/>
    <n v="61"/>
    <n v="61"/>
    <s v="Low Demand"/>
  </r>
  <r>
    <n v="402"/>
    <x v="17"/>
    <x v="0"/>
    <x v="0"/>
    <x v="0"/>
    <x v="17"/>
    <x v="2"/>
    <x v="0"/>
    <n v="2"/>
    <s v="Wednesday"/>
    <x v="1"/>
    <x v="1"/>
    <n v="0.22"/>
    <x v="0"/>
    <n v="0.2273"/>
    <s v="Cold"/>
    <n v="0.82"/>
    <x v="0"/>
    <n v="0.19400000000000001"/>
    <x v="1"/>
    <x v="5"/>
    <n v="124"/>
    <n v="125"/>
    <s v="Medium Demand"/>
  </r>
  <r>
    <n v="403"/>
    <x v="17"/>
    <x v="0"/>
    <x v="0"/>
    <x v="0"/>
    <x v="18"/>
    <x v="3"/>
    <x v="0"/>
    <n v="2"/>
    <s v="Wednesday"/>
    <x v="1"/>
    <x v="1"/>
    <n v="0.22"/>
    <x v="0"/>
    <n v="0.2273"/>
    <s v="Cold"/>
    <n v="0.8"/>
    <x v="0"/>
    <n v="0.16420000000000001"/>
    <x v="1"/>
    <x v="5"/>
    <n v="132"/>
    <n v="133"/>
    <s v="Medium Demand"/>
  </r>
  <r>
    <n v="404"/>
    <x v="17"/>
    <x v="0"/>
    <x v="0"/>
    <x v="0"/>
    <x v="19"/>
    <x v="3"/>
    <x v="0"/>
    <n v="2"/>
    <s v="Wednesday"/>
    <x v="1"/>
    <x v="1"/>
    <n v="0.22"/>
    <x v="0"/>
    <n v="0.2273"/>
    <s v="Cold"/>
    <n v="0.8"/>
    <x v="0"/>
    <n v="0.1343"/>
    <x v="0"/>
    <x v="5"/>
    <n v="98"/>
    <n v="99"/>
    <s v="Medium Demand"/>
  </r>
  <r>
    <n v="405"/>
    <x v="17"/>
    <x v="0"/>
    <x v="0"/>
    <x v="0"/>
    <x v="20"/>
    <x v="3"/>
    <x v="0"/>
    <n v="2"/>
    <s v="Wednesday"/>
    <x v="1"/>
    <x v="1"/>
    <n v="0.22"/>
    <x v="0"/>
    <n v="0.2727"/>
    <s v="Cold"/>
    <n v="0.87"/>
    <x v="0"/>
    <n v="0"/>
    <x v="0"/>
    <x v="3"/>
    <n v="83"/>
    <n v="83"/>
    <s v="Medium Demand"/>
  </r>
  <r>
    <n v="406"/>
    <x v="17"/>
    <x v="0"/>
    <x v="0"/>
    <x v="0"/>
    <x v="21"/>
    <x v="3"/>
    <x v="0"/>
    <n v="2"/>
    <s v="Wednesday"/>
    <x v="1"/>
    <x v="1"/>
    <n v="0.22"/>
    <x v="0"/>
    <n v="0.2424"/>
    <s v="Cold"/>
    <n v="0.93"/>
    <x v="0"/>
    <n v="0.1045"/>
    <x v="0"/>
    <x v="3"/>
    <n v="41"/>
    <n v="41"/>
    <s v="Low Demand"/>
  </r>
  <r>
    <n v="407"/>
    <x v="17"/>
    <x v="0"/>
    <x v="0"/>
    <x v="0"/>
    <x v="22"/>
    <x v="3"/>
    <x v="0"/>
    <n v="2"/>
    <s v="Wednesday"/>
    <x v="1"/>
    <x v="1"/>
    <n v="0.22"/>
    <x v="0"/>
    <n v="0.2576"/>
    <s v="Cold"/>
    <n v="0.93"/>
    <x v="0"/>
    <n v="8.9599999999999999E-2"/>
    <x v="0"/>
    <x v="3"/>
    <n v="33"/>
    <n v="33"/>
    <s v="Low Demand"/>
  </r>
  <r>
    <n v="408"/>
    <x v="17"/>
    <x v="0"/>
    <x v="0"/>
    <x v="0"/>
    <x v="23"/>
    <x v="3"/>
    <x v="0"/>
    <n v="2"/>
    <s v="Wednesday"/>
    <x v="1"/>
    <x v="1"/>
    <n v="0.22"/>
    <x v="0"/>
    <n v="0.2727"/>
    <s v="Cold"/>
    <n v="0.93"/>
    <x v="0"/>
    <n v="0"/>
    <x v="0"/>
    <x v="5"/>
    <n v="19"/>
    <n v="20"/>
    <s v="Low Demand"/>
  </r>
  <r>
    <n v="409"/>
    <x v="18"/>
    <x v="0"/>
    <x v="0"/>
    <x v="0"/>
    <x v="0"/>
    <x v="0"/>
    <x v="0"/>
    <n v="3"/>
    <s v="Thursday"/>
    <x v="1"/>
    <x v="1"/>
    <n v="0.22"/>
    <x v="0"/>
    <n v="0.2727"/>
    <s v="Cold"/>
    <n v="0.93"/>
    <x v="0"/>
    <n v="0"/>
    <x v="0"/>
    <x v="3"/>
    <n v="3"/>
    <n v="3"/>
    <s v="Low Demand"/>
  </r>
  <r>
    <n v="410"/>
    <x v="18"/>
    <x v="0"/>
    <x v="0"/>
    <x v="0"/>
    <x v="1"/>
    <x v="0"/>
    <x v="0"/>
    <n v="3"/>
    <s v="Thursday"/>
    <x v="2"/>
    <x v="2"/>
    <n v="0.22"/>
    <x v="0"/>
    <n v="0.2273"/>
    <s v="Cold"/>
    <n v="0.93"/>
    <x v="0"/>
    <n v="0.1343"/>
    <x v="0"/>
    <x v="5"/>
    <n v="6"/>
    <n v="7"/>
    <s v="Low Demand"/>
  </r>
  <r>
    <n v="411"/>
    <x v="18"/>
    <x v="0"/>
    <x v="0"/>
    <x v="0"/>
    <x v="2"/>
    <x v="0"/>
    <x v="0"/>
    <n v="3"/>
    <s v="Thursday"/>
    <x v="2"/>
    <x v="2"/>
    <n v="0.22"/>
    <x v="0"/>
    <n v="0.2273"/>
    <s v="Cold"/>
    <n v="0.93"/>
    <x v="0"/>
    <n v="0.1343"/>
    <x v="0"/>
    <x v="3"/>
    <n v="3"/>
    <n v="3"/>
    <s v="Low Demand"/>
  </r>
  <r>
    <n v="412"/>
    <x v="18"/>
    <x v="0"/>
    <x v="0"/>
    <x v="0"/>
    <x v="4"/>
    <x v="0"/>
    <x v="0"/>
    <n v="3"/>
    <s v="Thursday"/>
    <x v="2"/>
    <x v="2"/>
    <n v="0.22"/>
    <x v="0"/>
    <n v="0.2273"/>
    <s v="Cold"/>
    <n v="0.93"/>
    <x v="0"/>
    <n v="0.1343"/>
    <x v="0"/>
    <x v="5"/>
    <n v="1"/>
    <n v="2"/>
    <s v="Low Demand"/>
  </r>
  <r>
    <n v="413"/>
    <x v="18"/>
    <x v="0"/>
    <x v="0"/>
    <x v="0"/>
    <x v="5"/>
    <x v="0"/>
    <x v="0"/>
    <n v="3"/>
    <s v="Thursday"/>
    <x v="1"/>
    <x v="1"/>
    <n v="0.22"/>
    <x v="0"/>
    <n v="0.2576"/>
    <s v="Cold"/>
    <n v="0.93"/>
    <x v="0"/>
    <n v="8.9599999999999999E-2"/>
    <x v="0"/>
    <x v="3"/>
    <n v="7"/>
    <n v="7"/>
    <s v="Low Demand"/>
  </r>
  <r>
    <n v="414"/>
    <x v="18"/>
    <x v="0"/>
    <x v="0"/>
    <x v="0"/>
    <x v="6"/>
    <x v="1"/>
    <x v="0"/>
    <n v="3"/>
    <s v="Thursday"/>
    <x v="1"/>
    <x v="1"/>
    <n v="0.22"/>
    <x v="0"/>
    <n v="0.2576"/>
    <s v="Cold"/>
    <n v="0.93"/>
    <x v="0"/>
    <n v="8.9599999999999999E-2"/>
    <x v="0"/>
    <x v="3"/>
    <n v="32"/>
    <n v="32"/>
    <s v="Low Demand"/>
  </r>
  <r>
    <n v="415"/>
    <x v="18"/>
    <x v="0"/>
    <x v="0"/>
    <x v="0"/>
    <x v="7"/>
    <x v="1"/>
    <x v="0"/>
    <n v="3"/>
    <s v="Thursday"/>
    <x v="1"/>
    <x v="1"/>
    <n v="0.24"/>
    <x v="0"/>
    <n v="0.2576"/>
    <s v="Cold"/>
    <n v="0.92"/>
    <x v="0"/>
    <n v="0.1045"/>
    <x v="0"/>
    <x v="5"/>
    <n v="89"/>
    <n v="90"/>
    <s v="Medium Demand"/>
  </r>
  <r>
    <n v="416"/>
    <x v="18"/>
    <x v="0"/>
    <x v="0"/>
    <x v="0"/>
    <x v="8"/>
    <x v="1"/>
    <x v="0"/>
    <n v="3"/>
    <s v="Thursday"/>
    <x v="1"/>
    <x v="1"/>
    <n v="0.24"/>
    <x v="0"/>
    <n v="0.2576"/>
    <s v="Cold"/>
    <n v="0.93"/>
    <x v="0"/>
    <n v="0.1045"/>
    <x v="0"/>
    <x v="5"/>
    <n v="196"/>
    <n v="197"/>
    <s v="High Demand"/>
  </r>
  <r>
    <n v="417"/>
    <x v="18"/>
    <x v="0"/>
    <x v="0"/>
    <x v="0"/>
    <x v="9"/>
    <x v="1"/>
    <x v="0"/>
    <n v="3"/>
    <s v="Thursday"/>
    <x v="1"/>
    <x v="1"/>
    <n v="0.24"/>
    <x v="0"/>
    <n v="0.2576"/>
    <s v="Cold"/>
    <n v="0.93"/>
    <x v="0"/>
    <n v="0.1045"/>
    <x v="0"/>
    <x v="4"/>
    <n v="107"/>
    <n v="109"/>
    <s v="Medium Demand"/>
  </r>
  <r>
    <n v="418"/>
    <x v="18"/>
    <x v="0"/>
    <x v="0"/>
    <x v="0"/>
    <x v="10"/>
    <x v="1"/>
    <x v="0"/>
    <n v="3"/>
    <s v="Thursday"/>
    <x v="1"/>
    <x v="1"/>
    <n v="0.26"/>
    <x v="0"/>
    <n v="0.2727"/>
    <s v="Cold"/>
    <n v="0.93"/>
    <x v="0"/>
    <n v="0.1343"/>
    <x v="0"/>
    <x v="5"/>
    <n v="46"/>
    <n v="47"/>
    <s v="Low Demand"/>
  </r>
  <r>
    <n v="419"/>
    <x v="18"/>
    <x v="0"/>
    <x v="0"/>
    <x v="0"/>
    <x v="11"/>
    <x v="1"/>
    <x v="0"/>
    <n v="3"/>
    <s v="Thursday"/>
    <x v="1"/>
    <x v="1"/>
    <n v="0.28000000000000003"/>
    <x v="0"/>
    <n v="0.30299999999999999"/>
    <s v="Pleasant"/>
    <n v="0.87"/>
    <x v="0"/>
    <n v="8.9599999999999999E-2"/>
    <x v="0"/>
    <x v="2"/>
    <n v="47"/>
    <n v="52"/>
    <s v="Low Demand"/>
  </r>
  <r>
    <n v="420"/>
    <x v="18"/>
    <x v="0"/>
    <x v="0"/>
    <x v="0"/>
    <x v="12"/>
    <x v="2"/>
    <x v="0"/>
    <n v="3"/>
    <s v="Thursday"/>
    <x v="1"/>
    <x v="1"/>
    <n v="0.3"/>
    <x v="0"/>
    <n v="0.31819999999999998"/>
    <s v="Pleasant"/>
    <n v="0.81"/>
    <x v="0"/>
    <n v="8.9599999999999999E-2"/>
    <x v="0"/>
    <x v="2"/>
    <n v="65"/>
    <n v="70"/>
    <s v="Low Demand"/>
  </r>
  <r>
    <n v="421"/>
    <x v="18"/>
    <x v="0"/>
    <x v="0"/>
    <x v="0"/>
    <x v="13"/>
    <x v="2"/>
    <x v="0"/>
    <n v="3"/>
    <s v="Thursday"/>
    <x v="0"/>
    <x v="0"/>
    <n v="0.4"/>
    <x v="0"/>
    <n v="0.40910000000000002"/>
    <s v="Pleasant"/>
    <n v="0.62"/>
    <x v="1"/>
    <n v="0.28360000000000002"/>
    <x v="1"/>
    <x v="16"/>
    <n v="67"/>
    <n v="78"/>
    <s v="Medium Demand"/>
  </r>
  <r>
    <n v="422"/>
    <x v="18"/>
    <x v="0"/>
    <x v="0"/>
    <x v="0"/>
    <x v="14"/>
    <x v="2"/>
    <x v="0"/>
    <n v="3"/>
    <s v="Thursday"/>
    <x v="0"/>
    <x v="0"/>
    <n v="0.4"/>
    <x v="0"/>
    <n v="0.40910000000000002"/>
    <s v="Pleasant"/>
    <n v="0.57999999999999996"/>
    <x v="1"/>
    <n v="0.25369999999999998"/>
    <x v="1"/>
    <x v="18"/>
    <n v="68"/>
    <n v="75"/>
    <s v="Low Demand"/>
  </r>
  <r>
    <n v="423"/>
    <x v="18"/>
    <x v="0"/>
    <x v="0"/>
    <x v="0"/>
    <x v="15"/>
    <x v="2"/>
    <x v="0"/>
    <n v="3"/>
    <s v="Thursday"/>
    <x v="0"/>
    <x v="0"/>
    <n v="0.4"/>
    <x v="0"/>
    <n v="0.40910000000000002"/>
    <s v="Pleasant"/>
    <n v="0.54"/>
    <x v="1"/>
    <n v="0.28360000000000002"/>
    <x v="1"/>
    <x v="17"/>
    <n v="78"/>
    <n v="82"/>
    <s v="Medium Demand"/>
  </r>
  <r>
    <n v="424"/>
    <x v="18"/>
    <x v="0"/>
    <x v="0"/>
    <x v="0"/>
    <x v="16"/>
    <x v="2"/>
    <x v="0"/>
    <n v="3"/>
    <s v="Thursday"/>
    <x v="0"/>
    <x v="0"/>
    <n v="0.38"/>
    <x v="0"/>
    <n v="0.39389999999999997"/>
    <s v="Pleasant"/>
    <n v="0.57999999999999996"/>
    <x v="1"/>
    <n v="0.3881"/>
    <x v="2"/>
    <x v="22"/>
    <n v="94"/>
    <n v="104"/>
    <s v="Medium Demand"/>
  </r>
  <r>
    <n v="425"/>
    <x v="18"/>
    <x v="0"/>
    <x v="0"/>
    <x v="0"/>
    <x v="17"/>
    <x v="2"/>
    <x v="0"/>
    <n v="3"/>
    <s v="Thursday"/>
    <x v="0"/>
    <x v="0"/>
    <n v="0.36"/>
    <x v="0"/>
    <n v="0.33329999999999999"/>
    <s v="Pleasant"/>
    <n v="0.56999999999999995"/>
    <x v="1"/>
    <n v="0.32840000000000003"/>
    <x v="2"/>
    <x v="18"/>
    <n v="190"/>
    <n v="197"/>
    <s v="High Demand"/>
  </r>
  <r>
    <n v="426"/>
    <x v="18"/>
    <x v="0"/>
    <x v="0"/>
    <x v="0"/>
    <x v="18"/>
    <x v="3"/>
    <x v="0"/>
    <n v="3"/>
    <s v="Thursday"/>
    <x v="0"/>
    <x v="0"/>
    <n v="0.34"/>
    <x v="0"/>
    <n v="0.31819999999999998"/>
    <s v="Pleasant"/>
    <n v="0.61"/>
    <x v="1"/>
    <n v="0.28360000000000002"/>
    <x v="1"/>
    <x v="2"/>
    <n v="156"/>
    <n v="161"/>
    <s v="High Demand"/>
  </r>
  <r>
    <n v="427"/>
    <x v="18"/>
    <x v="0"/>
    <x v="0"/>
    <x v="0"/>
    <x v="19"/>
    <x v="3"/>
    <x v="0"/>
    <n v="3"/>
    <s v="Thursday"/>
    <x v="0"/>
    <x v="0"/>
    <n v="0.32"/>
    <x v="0"/>
    <n v="0.28789999999999999"/>
    <s v="Cold"/>
    <n v="0.56999999999999995"/>
    <x v="1"/>
    <n v="0.41789999999999999"/>
    <x v="2"/>
    <x v="17"/>
    <n v="108"/>
    <n v="112"/>
    <s v="Medium Demand"/>
  </r>
  <r>
    <n v="428"/>
    <x v="18"/>
    <x v="0"/>
    <x v="0"/>
    <x v="0"/>
    <x v="20"/>
    <x v="3"/>
    <x v="0"/>
    <n v="3"/>
    <s v="Thursday"/>
    <x v="0"/>
    <x v="0"/>
    <n v="0.32"/>
    <x v="0"/>
    <n v="0.30299999999999999"/>
    <s v="Pleasant"/>
    <n v="0.49"/>
    <x v="2"/>
    <n v="0.29849999999999999"/>
    <x v="1"/>
    <x v="4"/>
    <n v="74"/>
    <n v="76"/>
    <s v="Medium Demand"/>
  </r>
  <r>
    <n v="429"/>
    <x v="18"/>
    <x v="0"/>
    <x v="0"/>
    <x v="0"/>
    <x v="21"/>
    <x v="3"/>
    <x v="0"/>
    <n v="3"/>
    <s v="Thursday"/>
    <x v="0"/>
    <x v="0"/>
    <n v="0.32"/>
    <x v="0"/>
    <n v="0.28789999999999999"/>
    <s v="Cold"/>
    <n v="0.49"/>
    <x v="2"/>
    <n v="0.41789999999999999"/>
    <x v="2"/>
    <x v="17"/>
    <n v="55"/>
    <n v="59"/>
    <s v="Low Demand"/>
  </r>
  <r>
    <n v="430"/>
    <x v="18"/>
    <x v="0"/>
    <x v="0"/>
    <x v="0"/>
    <x v="22"/>
    <x v="3"/>
    <x v="0"/>
    <n v="3"/>
    <s v="Thursday"/>
    <x v="0"/>
    <x v="0"/>
    <n v="0.3"/>
    <x v="0"/>
    <n v="0.30299999999999999"/>
    <s v="Pleasant"/>
    <n v="0.52"/>
    <x v="1"/>
    <n v="0.16420000000000001"/>
    <x v="1"/>
    <x v="15"/>
    <n v="53"/>
    <n v="59"/>
    <s v="Low Demand"/>
  </r>
  <r>
    <n v="431"/>
    <x v="18"/>
    <x v="0"/>
    <x v="0"/>
    <x v="0"/>
    <x v="23"/>
    <x v="3"/>
    <x v="0"/>
    <n v="3"/>
    <s v="Thursday"/>
    <x v="0"/>
    <x v="0"/>
    <n v="0.3"/>
    <x v="0"/>
    <n v="0.2727"/>
    <s v="Cold"/>
    <n v="0.52"/>
    <x v="1"/>
    <n v="0.4627"/>
    <x v="3"/>
    <x v="5"/>
    <n v="27"/>
    <n v="28"/>
    <s v="Low Demand"/>
  </r>
  <r>
    <n v="432"/>
    <x v="19"/>
    <x v="0"/>
    <x v="0"/>
    <x v="0"/>
    <x v="0"/>
    <x v="0"/>
    <x v="0"/>
    <n v="4"/>
    <s v="Friday"/>
    <x v="0"/>
    <x v="0"/>
    <n v="0.26"/>
    <x v="0"/>
    <n v="0.2273"/>
    <s v="Cold"/>
    <n v="0.56000000000000005"/>
    <x v="1"/>
    <n v="0.3881"/>
    <x v="2"/>
    <x v="2"/>
    <n v="8"/>
    <n v="13"/>
    <s v="Low Demand"/>
  </r>
  <r>
    <n v="433"/>
    <x v="19"/>
    <x v="0"/>
    <x v="0"/>
    <x v="0"/>
    <x v="1"/>
    <x v="0"/>
    <x v="0"/>
    <n v="4"/>
    <s v="Friday"/>
    <x v="0"/>
    <x v="0"/>
    <n v="0.26"/>
    <x v="0"/>
    <n v="0.2727"/>
    <s v="Cold"/>
    <n v="0.56000000000000005"/>
    <x v="1"/>
    <n v="0"/>
    <x v="0"/>
    <x v="4"/>
    <n v="3"/>
    <n v="5"/>
    <s v="Low Demand"/>
  </r>
  <r>
    <n v="434"/>
    <x v="19"/>
    <x v="0"/>
    <x v="0"/>
    <x v="0"/>
    <x v="2"/>
    <x v="0"/>
    <x v="0"/>
    <n v="4"/>
    <s v="Friday"/>
    <x v="0"/>
    <x v="0"/>
    <n v="0.26"/>
    <x v="0"/>
    <n v="0.2727"/>
    <s v="Cold"/>
    <n v="0.56000000000000005"/>
    <x v="1"/>
    <n v="0"/>
    <x v="0"/>
    <x v="3"/>
    <n v="2"/>
    <n v="2"/>
    <s v="Low Demand"/>
  </r>
  <r>
    <n v="435"/>
    <x v="19"/>
    <x v="0"/>
    <x v="0"/>
    <x v="0"/>
    <x v="3"/>
    <x v="0"/>
    <x v="0"/>
    <n v="4"/>
    <s v="Friday"/>
    <x v="0"/>
    <x v="0"/>
    <n v="0.26"/>
    <x v="0"/>
    <n v="0.2576"/>
    <s v="Cold"/>
    <n v="0.56000000000000005"/>
    <x v="1"/>
    <n v="0.16420000000000001"/>
    <x v="1"/>
    <x v="3"/>
    <n v="1"/>
    <n v="1"/>
    <s v="Low Demand"/>
  </r>
  <r>
    <n v="436"/>
    <x v="19"/>
    <x v="0"/>
    <x v="0"/>
    <x v="0"/>
    <x v="4"/>
    <x v="0"/>
    <x v="0"/>
    <n v="4"/>
    <s v="Friday"/>
    <x v="0"/>
    <x v="0"/>
    <n v="0.26"/>
    <x v="0"/>
    <n v="0.2576"/>
    <s v="Cold"/>
    <n v="0.56000000000000005"/>
    <x v="1"/>
    <n v="0.16420000000000001"/>
    <x v="1"/>
    <x v="3"/>
    <n v="1"/>
    <n v="1"/>
    <s v="Low Demand"/>
  </r>
  <r>
    <n v="437"/>
    <x v="19"/>
    <x v="0"/>
    <x v="0"/>
    <x v="0"/>
    <x v="5"/>
    <x v="0"/>
    <x v="0"/>
    <n v="4"/>
    <s v="Friday"/>
    <x v="0"/>
    <x v="0"/>
    <n v="0.24"/>
    <x v="0"/>
    <n v="0.2273"/>
    <s v="Cold"/>
    <n v="0.6"/>
    <x v="1"/>
    <n v="0.22389999999999999"/>
    <x v="1"/>
    <x v="3"/>
    <n v="6"/>
    <n v="6"/>
    <s v="Low Demand"/>
  </r>
  <r>
    <n v="438"/>
    <x v="19"/>
    <x v="0"/>
    <x v="0"/>
    <x v="0"/>
    <x v="6"/>
    <x v="1"/>
    <x v="0"/>
    <n v="4"/>
    <s v="Friday"/>
    <x v="0"/>
    <x v="0"/>
    <n v="0.22"/>
    <x v="0"/>
    <n v="0.21210000000000001"/>
    <s v="Cold"/>
    <n v="0.6"/>
    <x v="1"/>
    <n v="0.22389999999999999"/>
    <x v="1"/>
    <x v="3"/>
    <n v="35"/>
    <n v="35"/>
    <s v="Low Demand"/>
  </r>
  <r>
    <n v="439"/>
    <x v="19"/>
    <x v="0"/>
    <x v="0"/>
    <x v="0"/>
    <x v="7"/>
    <x v="1"/>
    <x v="0"/>
    <n v="4"/>
    <s v="Friday"/>
    <x v="0"/>
    <x v="0"/>
    <n v="0.22"/>
    <x v="0"/>
    <n v="0.21210000000000001"/>
    <s v="Cold"/>
    <n v="0.55000000000000004"/>
    <x v="1"/>
    <n v="0.22389999999999999"/>
    <x v="1"/>
    <x v="5"/>
    <n v="100"/>
    <n v="101"/>
    <s v="Medium Demand"/>
  </r>
  <r>
    <n v="440"/>
    <x v="19"/>
    <x v="0"/>
    <x v="0"/>
    <x v="0"/>
    <x v="8"/>
    <x v="1"/>
    <x v="0"/>
    <n v="4"/>
    <s v="Friday"/>
    <x v="0"/>
    <x v="0"/>
    <n v="0.22"/>
    <x v="0"/>
    <n v="0.21210000000000001"/>
    <s v="Cold"/>
    <n v="0.55000000000000004"/>
    <x v="1"/>
    <n v="0.28360000000000002"/>
    <x v="1"/>
    <x v="4"/>
    <n v="247"/>
    <n v="249"/>
    <s v="Very High Demand"/>
  </r>
  <r>
    <n v="441"/>
    <x v="19"/>
    <x v="0"/>
    <x v="0"/>
    <x v="0"/>
    <x v="9"/>
    <x v="1"/>
    <x v="0"/>
    <n v="4"/>
    <s v="Friday"/>
    <x v="1"/>
    <x v="1"/>
    <n v="0.24"/>
    <x v="0"/>
    <n v="0.2273"/>
    <s v="Cold"/>
    <n v="0.52"/>
    <x v="1"/>
    <n v="0.22389999999999999"/>
    <x v="1"/>
    <x v="0"/>
    <n v="140"/>
    <n v="143"/>
    <s v="Medium Demand"/>
  </r>
  <r>
    <n v="442"/>
    <x v="19"/>
    <x v="0"/>
    <x v="0"/>
    <x v="0"/>
    <x v="10"/>
    <x v="1"/>
    <x v="0"/>
    <n v="4"/>
    <s v="Friday"/>
    <x v="0"/>
    <x v="0"/>
    <n v="0.26"/>
    <x v="0"/>
    <n v="0.2273"/>
    <s v="Cold"/>
    <n v="0.48"/>
    <x v="2"/>
    <n v="0.29849999999999999"/>
    <x v="1"/>
    <x v="5"/>
    <n v="56"/>
    <n v="57"/>
    <s v="Low Demand"/>
  </r>
  <r>
    <n v="443"/>
    <x v="19"/>
    <x v="0"/>
    <x v="0"/>
    <x v="0"/>
    <x v="11"/>
    <x v="1"/>
    <x v="0"/>
    <n v="4"/>
    <s v="Friday"/>
    <x v="1"/>
    <x v="1"/>
    <n v="0.28000000000000003"/>
    <x v="0"/>
    <n v="0.2727"/>
    <s v="Cold"/>
    <n v="0.45"/>
    <x v="2"/>
    <n v="0.16420000000000001"/>
    <x v="1"/>
    <x v="2"/>
    <n v="63"/>
    <n v="68"/>
    <s v="Low Demand"/>
  </r>
  <r>
    <n v="444"/>
    <x v="19"/>
    <x v="0"/>
    <x v="0"/>
    <x v="0"/>
    <x v="12"/>
    <x v="2"/>
    <x v="0"/>
    <n v="4"/>
    <s v="Friday"/>
    <x v="1"/>
    <x v="1"/>
    <n v="0.3"/>
    <x v="0"/>
    <n v="0.33329999999999999"/>
    <s v="Pleasant"/>
    <n v="0.42"/>
    <x v="2"/>
    <n v="0"/>
    <x v="0"/>
    <x v="18"/>
    <n v="77"/>
    <n v="84"/>
    <s v="Medium Demand"/>
  </r>
  <r>
    <n v="445"/>
    <x v="19"/>
    <x v="0"/>
    <x v="0"/>
    <x v="0"/>
    <x v="13"/>
    <x v="2"/>
    <x v="0"/>
    <n v="4"/>
    <s v="Friday"/>
    <x v="1"/>
    <x v="1"/>
    <n v="0.28000000000000003"/>
    <x v="0"/>
    <n v="0.28789999999999999"/>
    <s v="Cold"/>
    <n v="0.45"/>
    <x v="2"/>
    <n v="0.1045"/>
    <x v="0"/>
    <x v="6"/>
    <n v="86"/>
    <n v="98"/>
    <s v="Medium Demand"/>
  </r>
  <r>
    <n v="446"/>
    <x v="19"/>
    <x v="0"/>
    <x v="0"/>
    <x v="0"/>
    <x v="14"/>
    <x v="2"/>
    <x v="0"/>
    <n v="4"/>
    <s v="Friday"/>
    <x v="1"/>
    <x v="1"/>
    <n v="0.3"/>
    <x v="0"/>
    <n v="0.30299999999999999"/>
    <s v="Pleasant"/>
    <n v="0.45"/>
    <x v="2"/>
    <n v="0.1343"/>
    <x v="0"/>
    <x v="15"/>
    <n v="75"/>
    <n v="81"/>
    <s v="Medium Demand"/>
  </r>
  <r>
    <n v="447"/>
    <x v="19"/>
    <x v="0"/>
    <x v="0"/>
    <x v="0"/>
    <x v="15"/>
    <x v="2"/>
    <x v="0"/>
    <n v="4"/>
    <s v="Friday"/>
    <x v="1"/>
    <x v="1"/>
    <n v="0.32"/>
    <x v="0"/>
    <n v="0.31819999999999998"/>
    <s v="Pleasant"/>
    <n v="0.45"/>
    <x v="2"/>
    <n v="0.19400000000000001"/>
    <x v="1"/>
    <x v="1"/>
    <n v="62"/>
    <n v="70"/>
    <s v="Low Demand"/>
  </r>
  <r>
    <n v="448"/>
    <x v="19"/>
    <x v="0"/>
    <x v="0"/>
    <x v="0"/>
    <x v="16"/>
    <x v="2"/>
    <x v="0"/>
    <n v="4"/>
    <s v="Friday"/>
    <x v="1"/>
    <x v="1"/>
    <n v="0.3"/>
    <x v="0"/>
    <n v="0.30299999999999999"/>
    <s v="Pleasant"/>
    <n v="0.49"/>
    <x v="2"/>
    <n v="0.1343"/>
    <x v="0"/>
    <x v="1"/>
    <n v="83"/>
    <n v="91"/>
    <s v="Medium Demand"/>
  </r>
  <r>
    <n v="449"/>
    <x v="19"/>
    <x v="0"/>
    <x v="0"/>
    <x v="0"/>
    <x v="17"/>
    <x v="2"/>
    <x v="0"/>
    <n v="4"/>
    <s v="Friday"/>
    <x v="1"/>
    <x v="1"/>
    <n v="0.3"/>
    <x v="0"/>
    <n v="0.31819999999999998"/>
    <s v="Pleasant"/>
    <n v="0.49"/>
    <x v="2"/>
    <n v="0.1045"/>
    <x v="0"/>
    <x v="1"/>
    <n v="207"/>
    <n v="215"/>
    <s v="High Demand"/>
  </r>
  <r>
    <n v="450"/>
    <x v="19"/>
    <x v="0"/>
    <x v="0"/>
    <x v="0"/>
    <x v="18"/>
    <x v="3"/>
    <x v="0"/>
    <n v="4"/>
    <s v="Friday"/>
    <x v="1"/>
    <x v="1"/>
    <n v="0.26"/>
    <x v="0"/>
    <n v="0.2576"/>
    <s v="Cold"/>
    <n v="0.56000000000000005"/>
    <x v="1"/>
    <n v="0.19400000000000001"/>
    <x v="1"/>
    <x v="5"/>
    <n v="184"/>
    <n v="185"/>
    <s v="High Demand"/>
  </r>
  <r>
    <n v="451"/>
    <x v="19"/>
    <x v="0"/>
    <x v="0"/>
    <x v="0"/>
    <x v="19"/>
    <x v="3"/>
    <x v="0"/>
    <n v="4"/>
    <s v="Friday"/>
    <x v="0"/>
    <x v="0"/>
    <n v="0.26"/>
    <x v="0"/>
    <n v="0.2273"/>
    <s v="Cold"/>
    <n v="0.56000000000000005"/>
    <x v="1"/>
    <n v="0.32840000000000003"/>
    <x v="2"/>
    <x v="15"/>
    <n v="146"/>
    <n v="152"/>
    <s v="High Demand"/>
  </r>
  <r>
    <n v="452"/>
    <x v="19"/>
    <x v="0"/>
    <x v="0"/>
    <x v="0"/>
    <x v="20"/>
    <x v="3"/>
    <x v="0"/>
    <n v="4"/>
    <s v="Friday"/>
    <x v="1"/>
    <x v="1"/>
    <n v="0.26"/>
    <x v="0"/>
    <n v="0.2424"/>
    <s v="Cold"/>
    <n v="0.6"/>
    <x v="1"/>
    <n v="0.28360000000000002"/>
    <x v="1"/>
    <x v="4"/>
    <n v="124"/>
    <n v="126"/>
    <s v="Medium Demand"/>
  </r>
  <r>
    <n v="453"/>
    <x v="19"/>
    <x v="0"/>
    <x v="0"/>
    <x v="0"/>
    <x v="21"/>
    <x v="3"/>
    <x v="0"/>
    <n v="4"/>
    <s v="Friday"/>
    <x v="1"/>
    <x v="1"/>
    <n v="0.24"/>
    <x v="0"/>
    <n v="0.2273"/>
    <s v="Cold"/>
    <n v="0.6"/>
    <x v="1"/>
    <n v="0.25369999999999998"/>
    <x v="1"/>
    <x v="0"/>
    <n v="54"/>
    <n v="57"/>
    <s v="Low Demand"/>
  </r>
  <r>
    <n v="454"/>
    <x v="19"/>
    <x v="0"/>
    <x v="0"/>
    <x v="0"/>
    <x v="22"/>
    <x v="3"/>
    <x v="0"/>
    <n v="4"/>
    <s v="Friday"/>
    <x v="1"/>
    <x v="1"/>
    <n v="0.24"/>
    <x v="0"/>
    <n v="0.21210000000000001"/>
    <s v="Cold"/>
    <n v="0.65"/>
    <x v="1"/>
    <n v="0.28360000000000002"/>
    <x v="1"/>
    <x v="3"/>
    <n v="56"/>
    <n v="56"/>
    <s v="Low Demand"/>
  </r>
  <r>
    <n v="455"/>
    <x v="19"/>
    <x v="0"/>
    <x v="0"/>
    <x v="0"/>
    <x v="23"/>
    <x v="3"/>
    <x v="0"/>
    <n v="4"/>
    <s v="Friday"/>
    <x v="1"/>
    <x v="1"/>
    <n v="0.24"/>
    <x v="0"/>
    <n v="0.21210000000000001"/>
    <s v="Cold"/>
    <n v="0.65"/>
    <x v="1"/>
    <n v="0.32840000000000003"/>
    <x v="2"/>
    <x v="0"/>
    <n v="28"/>
    <n v="31"/>
    <s v="Low Demand"/>
  </r>
  <r>
    <n v="456"/>
    <x v="20"/>
    <x v="0"/>
    <x v="0"/>
    <x v="0"/>
    <x v="0"/>
    <x v="0"/>
    <x v="0"/>
    <n v="5"/>
    <s v="Saturday"/>
    <x v="1"/>
    <x v="1"/>
    <n v="0.24"/>
    <x v="0"/>
    <n v="0.2273"/>
    <s v="Cold"/>
    <n v="0.7"/>
    <x v="1"/>
    <n v="0.25369999999999998"/>
    <x v="1"/>
    <x v="5"/>
    <n v="20"/>
    <n v="21"/>
    <s v="Low Demand"/>
  </r>
  <r>
    <n v="457"/>
    <x v="20"/>
    <x v="0"/>
    <x v="0"/>
    <x v="0"/>
    <x v="1"/>
    <x v="0"/>
    <x v="0"/>
    <n v="5"/>
    <s v="Saturday"/>
    <x v="1"/>
    <x v="1"/>
    <n v="0.24"/>
    <x v="0"/>
    <n v="0.2273"/>
    <s v="Cold"/>
    <n v="0.7"/>
    <x v="1"/>
    <n v="0.25369999999999998"/>
    <x v="1"/>
    <x v="3"/>
    <n v="6"/>
    <n v="6"/>
    <s v="Low Demand"/>
  </r>
  <r>
    <n v="458"/>
    <x v="20"/>
    <x v="0"/>
    <x v="0"/>
    <x v="0"/>
    <x v="2"/>
    <x v="0"/>
    <x v="0"/>
    <n v="5"/>
    <s v="Saturday"/>
    <x v="2"/>
    <x v="2"/>
    <n v="0.24"/>
    <x v="0"/>
    <n v="0.2424"/>
    <s v="Cold"/>
    <n v="0.75"/>
    <x v="1"/>
    <n v="0.16420000000000001"/>
    <x v="1"/>
    <x v="3"/>
    <n v="2"/>
    <n v="2"/>
    <s v="Low Demand"/>
  </r>
  <r>
    <n v="459"/>
    <x v="20"/>
    <x v="0"/>
    <x v="0"/>
    <x v="0"/>
    <x v="3"/>
    <x v="0"/>
    <x v="0"/>
    <n v="5"/>
    <s v="Saturday"/>
    <x v="2"/>
    <x v="2"/>
    <n v="0.22"/>
    <x v="0"/>
    <n v="0.21210000000000001"/>
    <s v="Cold"/>
    <n v="0.8"/>
    <x v="0"/>
    <n v="0.29849999999999999"/>
    <x v="1"/>
    <x v="3"/>
    <n v="1"/>
    <n v="1"/>
    <s v="Low Demand"/>
  </r>
  <r>
    <n v="460"/>
    <x v="20"/>
    <x v="0"/>
    <x v="0"/>
    <x v="0"/>
    <x v="4"/>
    <x v="0"/>
    <x v="0"/>
    <n v="5"/>
    <s v="Saturday"/>
    <x v="1"/>
    <x v="1"/>
    <n v="0.22"/>
    <x v="0"/>
    <n v="0.2576"/>
    <s v="Cold"/>
    <n v="0.87"/>
    <x v="0"/>
    <n v="8.9599999999999999E-2"/>
    <x v="0"/>
    <x v="3"/>
    <n v="1"/>
    <n v="1"/>
    <s v="Low Demand"/>
  </r>
  <r>
    <n v="461"/>
    <x v="20"/>
    <x v="0"/>
    <x v="0"/>
    <x v="0"/>
    <x v="5"/>
    <x v="0"/>
    <x v="0"/>
    <n v="5"/>
    <s v="Saturday"/>
    <x v="0"/>
    <x v="0"/>
    <n v="0.24"/>
    <x v="0"/>
    <n v="0.19700000000000001"/>
    <s v="Cold"/>
    <n v="0.6"/>
    <x v="1"/>
    <n v="0.41789999999999999"/>
    <x v="2"/>
    <x v="5"/>
    <n v="4"/>
    <n v="5"/>
    <s v="Low Demand"/>
  </r>
  <r>
    <n v="462"/>
    <x v="20"/>
    <x v="0"/>
    <x v="0"/>
    <x v="0"/>
    <x v="6"/>
    <x v="1"/>
    <x v="0"/>
    <n v="5"/>
    <s v="Saturday"/>
    <x v="0"/>
    <x v="0"/>
    <n v="0.22"/>
    <x v="0"/>
    <n v="0.21210000000000001"/>
    <s v="Cold"/>
    <n v="0.55000000000000004"/>
    <x v="1"/>
    <n v="0.25369999999999998"/>
    <x v="1"/>
    <x v="3"/>
    <n v="27"/>
    <n v="27"/>
    <s v="Low Demand"/>
  </r>
  <r>
    <n v="463"/>
    <x v="20"/>
    <x v="0"/>
    <x v="0"/>
    <x v="0"/>
    <x v="7"/>
    <x v="1"/>
    <x v="0"/>
    <n v="5"/>
    <s v="Saturday"/>
    <x v="0"/>
    <x v="0"/>
    <n v="0.2"/>
    <x v="1"/>
    <n v="0.18179999999999999"/>
    <s v="Cold"/>
    <n v="0.51"/>
    <x v="1"/>
    <n v="0.28360000000000002"/>
    <x v="1"/>
    <x v="4"/>
    <n v="66"/>
    <n v="68"/>
    <s v="Low Demand"/>
  </r>
  <r>
    <n v="464"/>
    <x v="20"/>
    <x v="0"/>
    <x v="0"/>
    <x v="0"/>
    <x v="8"/>
    <x v="1"/>
    <x v="0"/>
    <n v="5"/>
    <s v="Saturday"/>
    <x v="0"/>
    <x v="0"/>
    <n v="0.2"/>
    <x v="1"/>
    <n v="0.18179999999999999"/>
    <s v="Cold"/>
    <n v="0.47"/>
    <x v="2"/>
    <n v="0.32840000000000003"/>
    <x v="2"/>
    <x v="18"/>
    <n v="210"/>
    <n v="217"/>
    <s v="High Demand"/>
  </r>
  <r>
    <n v="465"/>
    <x v="20"/>
    <x v="0"/>
    <x v="0"/>
    <x v="0"/>
    <x v="9"/>
    <x v="1"/>
    <x v="0"/>
    <n v="5"/>
    <s v="Saturday"/>
    <x v="0"/>
    <x v="0"/>
    <n v="0.2"/>
    <x v="1"/>
    <n v="0.18179999999999999"/>
    <s v="Cold"/>
    <n v="0.51"/>
    <x v="1"/>
    <n v="0.35820000000000002"/>
    <x v="2"/>
    <x v="18"/>
    <n v="159"/>
    <n v="166"/>
    <s v="High Demand"/>
  </r>
  <r>
    <n v="466"/>
    <x v="20"/>
    <x v="0"/>
    <x v="0"/>
    <x v="0"/>
    <x v="10"/>
    <x v="1"/>
    <x v="0"/>
    <n v="5"/>
    <s v="Saturday"/>
    <x v="0"/>
    <x v="0"/>
    <n v="0.2"/>
    <x v="1"/>
    <n v="0.16669999999999999"/>
    <s v="Cold"/>
    <n v="0.47"/>
    <x v="2"/>
    <n v="0.4627"/>
    <x v="3"/>
    <x v="15"/>
    <n v="57"/>
    <n v="63"/>
    <s v="Low Demand"/>
  </r>
  <r>
    <n v="467"/>
    <x v="20"/>
    <x v="0"/>
    <x v="0"/>
    <x v="0"/>
    <x v="11"/>
    <x v="1"/>
    <x v="0"/>
    <n v="5"/>
    <s v="Saturday"/>
    <x v="0"/>
    <x v="0"/>
    <n v="0.22"/>
    <x v="0"/>
    <n v="0.18179999999999999"/>
    <s v="Cold"/>
    <n v="0.41"/>
    <x v="2"/>
    <n v="0.4627"/>
    <x v="3"/>
    <x v="15"/>
    <n v="53"/>
    <n v="59"/>
    <s v="Low Demand"/>
  </r>
  <r>
    <n v="468"/>
    <x v="20"/>
    <x v="0"/>
    <x v="0"/>
    <x v="0"/>
    <x v="12"/>
    <x v="2"/>
    <x v="0"/>
    <n v="5"/>
    <s v="Saturday"/>
    <x v="0"/>
    <x v="0"/>
    <n v="0.22"/>
    <x v="0"/>
    <n v="0.18179999999999999"/>
    <s v="Cold"/>
    <n v="0.27"/>
    <x v="2"/>
    <n v="0.58209999999999995"/>
    <x v="3"/>
    <x v="16"/>
    <n v="67"/>
    <n v="78"/>
    <s v="Medium Demand"/>
  </r>
  <r>
    <n v="469"/>
    <x v="20"/>
    <x v="0"/>
    <x v="0"/>
    <x v="0"/>
    <x v="13"/>
    <x v="2"/>
    <x v="0"/>
    <n v="5"/>
    <s v="Saturday"/>
    <x v="0"/>
    <x v="0"/>
    <n v="0.2"/>
    <x v="1"/>
    <n v="0.1515"/>
    <s v="Cold"/>
    <n v="0.21"/>
    <x v="3"/>
    <n v="0.58209999999999995"/>
    <x v="3"/>
    <x v="1"/>
    <n v="65"/>
    <n v="73"/>
    <s v="Low Demand"/>
  </r>
  <r>
    <n v="470"/>
    <x v="20"/>
    <x v="0"/>
    <x v="0"/>
    <x v="0"/>
    <x v="14"/>
    <x v="2"/>
    <x v="0"/>
    <n v="5"/>
    <s v="Saturday"/>
    <x v="0"/>
    <x v="0"/>
    <n v="0.2"/>
    <x v="1"/>
    <n v="0.1515"/>
    <s v="Cold"/>
    <n v="0.25"/>
    <x v="3"/>
    <n v="0.52239999999999998"/>
    <x v="3"/>
    <x v="15"/>
    <n v="56"/>
    <n v="62"/>
    <s v="Low Demand"/>
  </r>
  <r>
    <n v="471"/>
    <x v="20"/>
    <x v="0"/>
    <x v="0"/>
    <x v="0"/>
    <x v="15"/>
    <x v="2"/>
    <x v="0"/>
    <n v="5"/>
    <s v="Saturday"/>
    <x v="0"/>
    <x v="0"/>
    <n v="0.16"/>
    <x v="1"/>
    <n v="0.1212"/>
    <s v="Very Cold"/>
    <n v="0.26"/>
    <x v="2"/>
    <n v="0.44779999999999998"/>
    <x v="2"/>
    <x v="17"/>
    <n v="61"/>
    <n v="65"/>
    <s v="Low Demand"/>
  </r>
  <r>
    <n v="472"/>
    <x v="20"/>
    <x v="0"/>
    <x v="0"/>
    <x v="0"/>
    <x v="16"/>
    <x v="2"/>
    <x v="0"/>
    <n v="5"/>
    <s v="Saturday"/>
    <x v="0"/>
    <x v="0"/>
    <n v="0.16"/>
    <x v="1"/>
    <n v="0.13639999999999999"/>
    <s v="Very Cold"/>
    <n v="0.26"/>
    <x v="2"/>
    <n v="0.35820000000000002"/>
    <x v="2"/>
    <x v="3"/>
    <n v="97"/>
    <n v="97"/>
    <s v="Medium Demand"/>
  </r>
  <r>
    <n v="473"/>
    <x v="20"/>
    <x v="0"/>
    <x v="0"/>
    <x v="0"/>
    <x v="17"/>
    <x v="2"/>
    <x v="0"/>
    <n v="5"/>
    <s v="Saturday"/>
    <x v="0"/>
    <x v="0"/>
    <n v="0.14000000000000001"/>
    <x v="1"/>
    <n v="0.1212"/>
    <s v="Very Cold"/>
    <n v="0.28000000000000003"/>
    <x v="2"/>
    <n v="0.35820000000000002"/>
    <x v="2"/>
    <x v="22"/>
    <n v="151"/>
    <n v="161"/>
    <s v="High Demand"/>
  </r>
  <r>
    <n v="474"/>
    <x v="20"/>
    <x v="0"/>
    <x v="0"/>
    <x v="0"/>
    <x v="18"/>
    <x v="3"/>
    <x v="0"/>
    <n v="5"/>
    <s v="Saturday"/>
    <x v="0"/>
    <x v="0"/>
    <n v="0.12"/>
    <x v="1"/>
    <n v="0.1212"/>
    <s v="Very Cold"/>
    <n v="0.3"/>
    <x v="2"/>
    <n v="0.25369999999999998"/>
    <x v="1"/>
    <x v="5"/>
    <n v="119"/>
    <n v="120"/>
    <s v="Medium Demand"/>
  </r>
  <r>
    <n v="475"/>
    <x v="20"/>
    <x v="0"/>
    <x v="0"/>
    <x v="0"/>
    <x v="19"/>
    <x v="3"/>
    <x v="0"/>
    <n v="5"/>
    <s v="Saturday"/>
    <x v="0"/>
    <x v="0"/>
    <n v="0.12"/>
    <x v="1"/>
    <n v="0.1061"/>
    <s v="Very Cold"/>
    <n v="0.3"/>
    <x v="2"/>
    <n v="0.32840000000000003"/>
    <x v="2"/>
    <x v="0"/>
    <n v="93"/>
    <n v="96"/>
    <s v="Medium Demand"/>
  </r>
  <r>
    <n v="476"/>
    <x v="20"/>
    <x v="0"/>
    <x v="0"/>
    <x v="0"/>
    <x v="20"/>
    <x v="3"/>
    <x v="0"/>
    <n v="5"/>
    <s v="Saturday"/>
    <x v="0"/>
    <x v="0"/>
    <n v="0.1"/>
    <x v="1"/>
    <n v="7.5800000000000006E-2"/>
    <s v="Very Cold"/>
    <n v="0.33"/>
    <x v="2"/>
    <n v="0.41789999999999999"/>
    <x v="2"/>
    <x v="5"/>
    <n v="52"/>
    <n v="53"/>
    <s v="Low Demand"/>
  </r>
  <r>
    <n v="477"/>
    <x v="20"/>
    <x v="0"/>
    <x v="0"/>
    <x v="0"/>
    <x v="21"/>
    <x v="3"/>
    <x v="0"/>
    <n v="5"/>
    <s v="Saturday"/>
    <x v="0"/>
    <x v="0"/>
    <n v="0.08"/>
    <x v="1"/>
    <n v="7.5800000000000006E-2"/>
    <s v="Very Cold"/>
    <n v="0.38"/>
    <x v="2"/>
    <n v="0.28360000000000002"/>
    <x v="1"/>
    <x v="3"/>
    <n v="41"/>
    <n v="41"/>
    <s v="Low Demand"/>
  </r>
  <r>
    <n v="478"/>
    <x v="20"/>
    <x v="0"/>
    <x v="0"/>
    <x v="0"/>
    <x v="22"/>
    <x v="3"/>
    <x v="0"/>
    <n v="5"/>
    <s v="Saturday"/>
    <x v="0"/>
    <x v="0"/>
    <n v="0.06"/>
    <x v="1"/>
    <n v="3.0300000000000001E-2"/>
    <s v="Very Cold"/>
    <n v="0.41"/>
    <x v="2"/>
    <n v="0.3881"/>
    <x v="2"/>
    <x v="5"/>
    <n v="33"/>
    <n v="34"/>
    <s v="Low Demand"/>
  </r>
  <r>
    <n v="479"/>
    <x v="20"/>
    <x v="0"/>
    <x v="0"/>
    <x v="0"/>
    <x v="23"/>
    <x v="3"/>
    <x v="0"/>
    <n v="5"/>
    <s v="Saturday"/>
    <x v="0"/>
    <x v="0"/>
    <n v="0.06"/>
    <x v="1"/>
    <n v="4.5499999999999999E-2"/>
    <s v="Very Cold"/>
    <n v="0.38"/>
    <x v="2"/>
    <n v="0.32840000000000003"/>
    <x v="2"/>
    <x v="3"/>
    <n v="27"/>
    <n v="27"/>
    <s v="Low Demand"/>
  </r>
  <r>
    <n v="480"/>
    <x v="21"/>
    <x v="0"/>
    <x v="0"/>
    <x v="0"/>
    <x v="0"/>
    <x v="0"/>
    <x v="0"/>
    <n v="6"/>
    <s v="Sunday"/>
    <x v="0"/>
    <x v="0"/>
    <n v="0.04"/>
    <x v="1"/>
    <n v="3.0300000000000001E-2"/>
    <s v="Very Cold"/>
    <n v="0.45"/>
    <x v="2"/>
    <n v="0.25369999999999998"/>
    <x v="1"/>
    <x v="3"/>
    <n v="13"/>
    <n v="13"/>
    <s v="Low Demand"/>
  </r>
  <r>
    <n v="481"/>
    <x v="21"/>
    <x v="0"/>
    <x v="0"/>
    <x v="0"/>
    <x v="1"/>
    <x v="0"/>
    <x v="0"/>
    <n v="6"/>
    <s v="Sunday"/>
    <x v="1"/>
    <x v="1"/>
    <n v="0.04"/>
    <x v="1"/>
    <n v="0"/>
    <s v="Very Cold"/>
    <n v="0.41"/>
    <x v="2"/>
    <n v="0.3881"/>
    <x v="2"/>
    <x v="0"/>
    <n v="9"/>
    <n v="12"/>
    <s v="Low Demand"/>
  </r>
  <r>
    <n v="482"/>
    <x v="21"/>
    <x v="0"/>
    <x v="0"/>
    <x v="0"/>
    <x v="2"/>
    <x v="0"/>
    <x v="0"/>
    <n v="6"/>
    <s v="Sunday"/>
    <x v="1"/>
    <x v="1"/>
    <n v="0.04"/>
    <x v="1"/>
    <n v="3.0300000000000001E-2"/>
    <s v="Very Cold"/>
    <n v="0.41"/>
    <x v="2"/>
    <n v="0.25369999999999998"/>
    <x v="1"/>
    <x v="3"/>
    <n v="11"/>
    <n v="11"/>
    <s v="Low Demand"/>
  </r>
  <r>
    <n v="483"/>
    <x v="21"/>
    <x v="0"/>
    <x v="0"/>
    <x v="0"/>
    <x v="3"/>
    <x v="0"/>
    <x v="0"/>
    <n v="6"/>
    <s v="Sunday"/>
    <x v="1"/>
    <x v="1"/>
    <n v="0.04"/>
    <x v="1"/>
    <n v="3.0300000000000001E-2"/>
    <s v="Very Cold"/>
    <n v="0.41"/>
    <x v="2"/>
    <n v="0.28360000000000002"/>
    <x v="1"/>
    <x v="5"/>
    <n v="6"/>
    <n v="7"/>
    <s v="Low Demand"/>
  </r>
  <r>
    <n v="484"/>
    <x v="21"/>
    <x v="0"/>
    <x v="0"/>
    <x v="0"/>
    <x v="4"/>
    <x v="0"/>
    <x v="0"/>
    <n v="6"/>
    <s v="Sunday"/>
    <x v="1"/>
    <x v="1"/>
    <n v="0.02"/>
    <x v="1"/>
    <n v="1.52E-2"/>
    <s v="Very Cold"/>
    <n v="0.48"/>
    <x v="2"/>
    <n v="0.29849999999999999"/>
    <x v="1"/>
    <x v="3"/>
    <n v="3"/>
    <n v="3"/>
    <s v="Low Demand"/>
  </r>
  <r>
    <n v="485"/>
    <x v="21"/>
    <x v="0"/>
    <x v="0"/>
    <x v="0"/>
    <x v="6"/>
    <x v="1"/>
    <x v="0"/>
    <n v="6"/>
    <s v="Sunday"/>
    <x v="1"/>
    <x v="1"/>
    <n v="0.02"/>
    <x v="1"/>
    <n v="3.0300000000000001E-2"/>
    <s v="Very Cold"/>
    <n v="0.44"/>
    <x v="2"/>
    <n v="0.22389999999999999"/>
    <x v="1"/>
    <x v="3"/>
    <n v="2"/>
    <n v="2"/>
    <s v="Low Demand"/>
  </r>
  <r>
    <n v="486"/>
    <x v="21"/>
    <x v="0"/>
    <x v="0"/>
    <x v="0"/>
    <x v="7"/>
    <x v="1"/>
    <x v="0"/>
    <n v="6"/>
    <s v="Sunday"/>
    <x v="0"/>
    <x v="0"/>
    <n v="0.02"/>
    <x v="1"/>
    <n v="1.52E-2"/>
    <s v="Very Cold"/>
    <n v="0.44"/>
    <x v="2"/>
    <n v="0.28360000000000002"/>
    <x v="1"/>
    <x v="3"/>
    <n v="8"/>
    <n v="8"/>
    <s v="Low Demand"/>
  </r>
  <r>
    <n v="487"/>
    <x v="21"/>
    <x v="0"/>
    <x v="0"/>
    <x v="0"/>
    <x v="8"/>
    <x v="1"/>
    <x v="0"/>
    <n v="6"/>
    <s v="Sunday"/>
    <x v="0"/>
    <x v="0"/>
    <n v="0.02"/>
    <x v="1"/>
    <n v="0"/>
    <s v="Very Cold"/>
    <n v="0.44"/>
    <x v="2"/>
    <n v="0.32840000000000003"/>
    <x v="2"/>
    <x v="5"/>
    <n v="26"/>
    <n v="27"/>
    <s v="Low Demand"/>
  </r>
  <r>
    <n v="488"/>
    <x v="21"/>
    <x v="0"/>
    <x v="0"/>
    <x v="0"/>
    <x v="9"/>
    <x v="1"/>
    <x v="0"/>
    <n v="6"/>
    <s v="Sunday"/>
    <x v="0"/>
    <x v="0"/>
    <n v="0.04"/>
    <x v="1"/>
    <n v="3.0300000000000001E-2"/>
    <s v="Very Cold"/>
    <n v="0.41"/>
    <x v="2"/>
    <n v="0.25369999999999998"/>
    <x v="1"/>
    <x v="0"/>
    <n v="37"/>
    <n v="40"/>
    <s v="Low Demand"/>
  </r>
  <r>
    <n v="489"/>
    <x v="21"/>
    <x v="0"/>
    <x v="0"/>
    <x v="0"/>
    <x v="10"/>
    <x v="1"/>
    <x v="0"/>
    <n v="6"/>
    <s v="Sunday"/>
    <x v="1"/>
    <x v="1"/>
    <n v="0.04"/>
    <x v="1"/>
    <n v="6.0600000000000001E-2"/>
    <s v="Very Cold"/>
    <n v="0.41"/>
    <x v="2"/>
    <n v="0.16420000000000001"/>
    <x v="1"/>
    <x v="0"/>
    <n v="50"/>
    <n v="53"/>
    <s v="Low Demand"/>
  </r>
  <r>
    <n v="490"/>
    <x v="21"/>
    <x v="0"/>
    <x v="0"/>
    <x v="0"/>
    <x v="11"/>
    <x v="1"/>
    <x v="0"/>
    <n v="6"/>
    <s v="Sunday"/>
    <x v="1"/>
    <x v="1"/>
    <n v="0.06"/>
    <x v="1"/>
    <n v="7.5800000000000006E-2"/>
    <s v="Very Cold"/>
    <n v="0.38"/>
    <x v="2"/>
    <n v="0.1343"/>
    <x v="0"/>
    <x v="17"/>
    <n v="59"/>
    <n v="63"/>
    <s v="Low Demand"/>
  </r>
  <r>
    <n v="491"/>
    <x v="21"/>
    <x v="0"/>
    <x v="0"/>
    <x v="0"/>
    <x v="12"/>
    <x v="2"/>
    <x v="0"/>
    <n v="6"/>
    <s v="Sunday"/>
    <x v="1"/>
    <x v="1"/>
    <n v="0.06"/>
    <x v="1"/>
    <n v="0.1061"/>
    <s v="Very Cold"/>
    <n v="0.38"/>
    <x v="2"/>
    <n v="0.1045"/>
    <x v="0"/>
    <x v="22"/>
    <n v="60"/>
    <n v="70"/>
    <s v="Low Demand"/>
  </r>
  <r>
    <n v="492"/>
    <x v="21"/>
    <x v="0"/>
    <x v="0"/>
    <x v="0"/>
    <x v="13"/>
    <x v="2"/>
    <x v="0"/>
    <n v="6"/>
    <s v="Sunday"/>
    <x v="0"/>
    <x v="0"/>
    <n v="0.08"/>
    <x v="1"/>
    <n v="0.16669999999999999"/>
    <s v="Cold"/>
    <n v="0.35"/>
    <x v="2"/>
    <n v="0"/>
    <x v="0"/>
    <x v="6"/>
    <n v="72"/>
    <n v="84"/>
    <s v="Medium Demand"/>
  </r>
  <r>
    <n v="493"/>
    <x v="21"/>
    <x v="0"/>
    <x v="0"/>
    <x v="0"/>
    <x v="14"/>
    <x v="2"/>
    <x v="0"/>
    <n v="6"/>
    <s v="Sunday"/>
    <x v="0"/>
    <x v="0"/>
    <n v="0.1"/>
    <x v="1"/>
    <n v="0.13639999999999999"/>
    <s v="Very Cold"/>
    <n v="0.33"/>
    <x v="2"/>
    <n v="0.1045"/>
    <x v="0"/>
    <x v="16"/>
    <n v="64"/>
    <n v="75"/>
    <s v="Low Demand"/>
  </r>
  <r>
    <n v="494"/>
    <x v="21"/>
    <x v="0"/>
    <x v="0"/>
    <x v="0"/>
    <x v="15"/>
    <x v="2"/>
    <x v="0"/>
    <n v="6"/>
    <s v="Sunday"/>
    <x v="0"/>
    <x v="0"/>
    <n v="0.12"/>
    <x v="1"/>
    <n v="0.1515"/>
    <s v="Cold"/>
    <n v="0.28000000000000003"/>
    <x v="2"/>
    <n v="0"/>
    <x v="0"/>
    <x v="22"/>
    <n v="93"/>
    <n v="103"/>
    <s v="Medium Demand"/>
  </r>
  <r>
    <n v="495"/>
    <x v="21"/>
    <x v="0"/>
    <x v="0"/>
    <x v="0"/>
    <x v="16"/>
    <x v="2"/>
    <x v="0"/>
    <n v="6"/>
    <s v="Sunday"/>
    <x v="0"/>
    <x v="0"/>
    <n v="0.12"/>
    <x v="1"/>
    <n v="0.13639999999999999"/>
    <s v="Very Cold"/>
    <n v="0.28000000000000003"/>
    <x v="2"/>
    <n v="0.19400000000000001"/>
    <x v="1"/>
    <x v="16"/>
    <n v="72"/>
    <n v="83"/>
    <s v="Medium Demand"/>
  </r>
  <r>
    <n v="496"/>
    <x v="21"/>
    <x v="0"/>
    <x v="0"/>
    <x v="0"/>
    <x v="17"/>
    <x v="2"/>
    <x v="0"/>
    <n v="6"/>
    <s v="Sunday"/>
    <x v="0"/>
    <x v="0"/>
    <n v="0.12"/>
    <x v="1"/>
    <n v="0.19700000000000001"/>
    <s v="Cold"/>
    <n v="0.28000000000000003"/>
    <x v="2"/>
    <n v="0"/>
    <x v="0"/>
    <x v="1"/>
    <n v="59"/>
    <n v="67"/>
    <s v="Low Demand"/>
  </r>
  <r>
    <n v="497"/>
    <x v="21"/>
    <x v="0"/>
    <x v="0"/>
    <x v="0"/>
    <x v="18"/>
    <x v="3"/>
    <x v="0"/>
    <n v="6"/>
    <s v="Sunday"/>
    <x v="0"/>
    <x v="0"/>
    <n v="0.08"/>
    <x v="1"/>
    <n v="9.0899999999999995E-2"/>
    <s v="Very Cold"/>
    <n v="0.35"/>
    <x v="2"/>
    <n v="0.19400000000000001"/>
    <x v="1"/>
    <x v="3"/>
    <n v="54"/>
    <n v="54"/>
    <s v="Low Demand"/>
  </r>
  <r>
    <n v="498"/>
    <x v="21"/>
    <x v="0"/>
    <x v="0"/>
    <x v="0"/>
    <x v="19"/>
    <x v="3"/>
    <x v="0"/>
    <n v="6"/>
    <s v="Sunday"/>
    <x v="0"/>
    <x v="0"/>
    <n v="0.08"/>
    <x v="1"/>
    <n v="0.1061"/>
    <s v="Very Cold"/>
    <n v="0.35"/>
    <x v="2"/>
    <n v="0.1343"/>
    <x v="0"/>
    <x v="15"/>
    <n v="53"/>
    <n v="59"/>
    <s v="Low Demand"/>
  </r>
  <r>
    <n v="499"/>
    <x v="21"/>
    <x v="0"/>
    <x v="0"/>
    <x v="0"/>
    <x v="20"/>
    <x v="3"/>
    <x v="0"/>
    <n v="6"/>
    <s v="Sunday"/>
    <x v="0"/>
    <x v="0"/>
    <n v="0.06"/>
    <x v="1"/>
    <n v="7.5800000000000006E-2"/>
    <s v="Very Cold"/>
    <n v="0.45"/>
    <x v="2"/>
    <n v="0.16420000000000001"/>
    <x v="1"/>
    <x v="5"/>
    <n v="44"/>
    <n v="45"/>
    <s v="Low Demand"/>
  </r>
  <r>
    <n v="500"/>
    <x v="21"/>
    <x v="0"/>
    <x v="0"/>
    <x v="0"/>
    <x v="21"/>
    <x v="3"/>
    <x v="0"/>
    <n v="6"/>
    <s v="Sunday"/>
    <x v="0"/>
    <x v="0"/>
    <n v="0.06"/>
    <x v="1"/>
    <n v="0.1061"/>
    <s v="Very Cold"/>
    <n v="0.41"/>
    <x v="2"/>
    <n v="8.9599999999999999E-2"/>
    <x v="0"/>
    <x v="3"/>
    <n v="39"/>
    <n v="39"/>
    <s v="Low Demand"/>
  </r>
  <r>
    <n v="501"/>
    <x v="21"/>
    <x v="0"/>
    <x v="0"/>
    <x v="0"/>
    <x v="22"/>
    <x v="3"/>
    <x v="0"/>
    <n v="6"/>
    <s v="Sunday"/>
    <x v="0"/>
    <x v="0"/>
    <n v="0.06"/>
    <x v="1"/>
    <n v="0.1515"/>
    <s v="Cold"/>
    <n v="0.49"/>
    <x v="2"/>
    <n v="0"/>
    <x v="0"/>
    <x v="18"/>
    <n v="23"/>
    <n v="30"/>
    <s v="Low Demand"/>
  </r>
  <r>
    <n v="502"/>
    <x v="21"/>
    <x v="0"/>
    <x v="0"/>
    <x v="0"/>
    <x v="23"/>
    <x v="3"/>
    <x v="0"/>
    <n v="6"/>
    <s v="Sunday"/>
    <x v="0"/>
    <x v="0"/>
    <n v="0.04"/>
    <x v="1"/>
    <n v="7.5800000000000006E-2"/>
    <s v="Very Cold"/>
    <n v="0.56999999999999995"/>
    <x v="1"/>
    <n v="0.1045"/>
    <x v="0"/>
    <x v="4"/>
    <n v="31"/>
    <n v="33"/>
    <s v="Low Demand"/>
  </r>
  <r>
    <n v="503"/>
    <x v="22"/>
    <x v="0"/>
    <x v="0"/>
    <x v="0"/>
    <x v="0"/>
    <x v="0"/>
    <x v="0"/>
    <n v="0"/>
    <s v="Monday"/>
    <x v="0"/>
    <x v="0"/>
    <n v="0.04"/>
    <x v="1"/>
    <n v="7.5800000000000006E-2"/>
    <s v="Very Cold"/>
    <n v="0.56999999999999995"/>
    <x v="1"/>
    <n v="0.1045"/>
    <x v="0"/>
    <x v="4"/>
    <n v="20"/>
    <n v="22"/>
    <s v="Low Demand"/>
  </r>
  <r>
    <n v="504"/>
    <x v="22"/>
    <x v="0"/>
    <x v="0"/>
    <x v="0"/>
    <x v="1"/>
    <x v="0"/>
    <x v="0"/>
    <n v="0"/>
    <s v="Monday"/>
    <x v="0"/>
    <x v="0"/>
    <n v="0.04"/>
    <x v="1"/>
    <n v="7.5800000000000006E-2"/>
    <s v="Very Cold"/>
    <n v="0.56999999999999995"/>
    <x v="1"/>
    <n v="0.1045"/>
    <x v="0"/>
    <x v="5"/>
    <n v="12"/>
    <n v="13"/>
    <s v="Low Demand"/>
  </r>
  <r>
    <n v="505"/>
    <x v="22"/>
    <x v="0"/>
    <x v="0"/>
    <x v="0"/>
    <x v="2"/>
    <x v="0"/>
    <x v="0"/>
    <n v="0"/>
    <s v="Monday"/>
    <x v="0"/>
    <x v="0"/>
    <n v="0.02"/>
    <x v="1"/>
    <n v="6.0600000000000001E-2"/>
    <s v="Very Cold"/>
    <n v="0.62"/>
    <x v="1"/>
    <n v="0.1343"/>
    <x v="0"/>
    <x v="0"/>
    <n v="15"/>
    <n v="18"/>
    <s v="Low Demand"/>
  </r>
  <r>
    <n v="506"/>
    <x v="22"/>
    <x v="0"/>
    <x v="0"/>
    <x v="0"/>
    <x v="3"/>
    <x v="0"/>
    <x v="0"/>
    <n v="0"/>
    <s v="Monday"/>
    <x v="0"/>
    <x v="0"/>
    <n v="0.02"/>
    <x v="1"/>
    <n v="6.0600000000000001E-2"/>
    <s v="Very Cold"/>
    <n v="0.62"/>
    <x v="1"/>
    <n v="0.1343"/>
    <x v="0"/>
    <x v="5"/>
    <n v="4"/>
    <n v="5"/>
    <s v="Low Demand"/>
  </r>
  <r>
    <n v="507"/>
    <x v="22"/>
    <x v="0"/>
    <x v="0"/>
    <x v="0"/>
    <x v="5"/>
    <x v="0"/>
    <x v="0"/>
    <n v="0"/>
    <s v="Monday"/>
    <x v="1"/>
    <x v="1"/>
    <n v="0.04"/>
    <x v="1"/>
    <n v="7.5800000000000006E-2"/>
    <s v="Very Cold"/>
    <n v="0.56999999999999995"/>
    <x v="1"/>
    <n v="0.1045"/>
    <x v="0"/>
    <x v="3"/>
    <n v="3"/>
    <n v="3"/>
    <s v="Low Demand"/>
  </r>
  <r>
    <n v="508"/>
    <x v="22"/>
    <x v="0"/>
    <x v="0"/>
    <x v="0"/>
    <x v="6"/>
    <x v="1"/>
    <x v="0"/>
    <n v="0"/>
    <s v="Monday"/>
    <x v="1"/>
    <x v="1"/>
    <n v="0.04"/>
    <x v="1"/>
    <n v="7.5800000000000006E-2"/>
    <s v="Very Cold"/>
    <n v="0.56999999999999995"/>
    <x v="1"/>
    <n v="0.1045"/>
    <x v="0"/>
    <x v="3"/>
    <n v="1"/>
    <n v="1"/>
    <s v="Low Demand"/>
  </r>
  <r>
    <n v="509"/>
    <x v="22"/>
    <x v="0"/>
    <x v="0"/>
    <x v="0"/>
    <x v="7"/>
    <x v="1"/>
    <x v="0"/>
    <n v="0"/>
    <s v="Monday"/>
    <x v="0"/>
    <x v="0"/>
    <n v="0.08"/>
    <x v="1"/>
    <n v="0.1061"/>
    <s v="Very Cold"/>
    <n v="0.57999999999999996"/>
    <x v="1"/>
    <n v="0.16420000000000001"/>
    <x v="1"/>
    <x v="5"/>
    <n v="1"/>
    <n v="2"/>
    <s v="Low Demand"/>
  </r>
  <r>
    <n v="510"/>
    <x v="22"/>
    <x v="0"/>
    <x v="0"/>
    <x v="0"/>
    <x v="8"/>
    <x v="1"/>
    <x v="0"/>
    <n v="0"/>
    <s v="Monday"/>
    <x v="0"/>
    <x v="0"/>
    <n v="0.06"/>
    <x v="1"/>
    <n v="7.5800000000000006E-2"/>
    <s v="Very Cold"/>
    <n v="0.62"/>
    <x v="1"/>
    <n v="0.16420000000000001"/>
    <x v="1"/>
    <x v="4"/>
    <n v="17"/>
    <n v="19"/>
    <s v="Low Demand"/>
  </r>
  <r>
    <n v="511"/>
    <x v="22"/>
    <x v="0"/>
    <x v="0"/>
    <x v="0"/>
    <x v="9"/>
    <x v="1"/>
    <x v="0"/>
    <n v="0"/>
    <s v="Monday"/>
    <x v="0"/>
    <x v="0"/>
    <n v="0.1"/>
    <x v="1"/>
    <n v="7.5800000000000006E-2"/>
    <s v="Very Cold"/>
    <n v="0.54"/>
    <x v="1"/>
    <n v="0.35820000000000002"/>
    <x v="2"/>
    <x v="0"/>
    <n v="25"/>
    <n v="28"/>
    <s v="Low Demand"/>
  </r>
  <r>
    <n v="512"/>
    <x v="22"/>
    <x v="0"/>
    <x v="0"/>
    <x v="0"/>
    <x v="10"/>
    <x v="1"/>
    <x v="0"/>
    <n v="0"/>
    <s v="Monday"/>
    <x v="0"/>
    <x v="0"/>
    <n v="0.14000000000000001"/>
    <x v="1"/>
    <n v="0.1061"/>
    <s v="Very Cold"/>
    <n v="0.46"/>
    <x v="2"/>
    <n v="0.3881"/>
    <x v="2"/>
    <x v="18"/>
    <n v="51"/>
    <n v="58"/>
    <s v="Low Demand"/>
  </r>
  <r>
    <n v="513"/>
    <x v="22"/>
    <x v="0"/>
    <x v="0"/>
    <x v="0"/>
    <x v="11"/>
    <x v="1"/>
    <x v="0"/>
    <n v="0"/>
    <s v="Monday"/>
    <x v="0"/>
    <x v="0"/>
    <n v="0.14000000000000001"/>
    <x v="1"/>
    <n v="0.13639999999999999"/>
    <s v="Very Cold"/>
    <n v="0.43"/>
    <x v="2"/>
    <n v="0.22389999999999999"/>
    <x v="1"/>
    <x v="30"/>
    <n v="77"/>
    <n v="99"/>
    <s v="Medium Demand"/>
  </r>
  <r>
    <n v="514"/>
    <x v="22"/>
    <x v="0"/>
    <x v="0"/>
    <x v="0"/>
    <x v="12"/>
    <x v="2"/>
    <x v="0"/>
    <n v="0"/>
    <s v="Monday"/>
    <x v="0"/>
    <x v="0"/>
    <n v="0.16"/>
    <x v="1"/>
    <n v="0.1212"/>
    <s v="Very Cold"/>
    <n v="0.37"/>
    <x v="2"/>
    <n v="0.4627"/>
    <x v="3"/>
    <x v="31"/>
    <n v="92"/>
    <n v="116"/>
    <s v="Medium Demand"/>
  </r>
  <r>
    <n v="515"/>
    <x v="22"/>
    <x v="0"/>
    <x v="0"/>
    <x v="0"/>
    <x v="13"/>
    <x v="2"/>
    <x v="0"/>
    <n v="0"/>
    <s v="Monday"/>
    <x v="0"/>
    <x v="0"/>
    <n v="0.14000000000000001"/>
    <x v="1"/>
    <n v="0.1061"/>
    <s v="Very Cold"/>
    <n v="0.33"/>
    <x v="2"/>
    <n v="0.3881"/>
    <x v="2"/>
    <x v="6"/>
    <n v="75"/>
    <n v="87"/>
    <s v="Medium Demand"/>
  </r>
  <r>
    <n v="516"/>
    <x v="22"/>
    <x v="0"/>
    <x v="0"/>
    <x v="0"/>
    <x v="14"/>
    <x v="2"/>
    <x v="0"/>
    <n v="0"/>
    <s v="Monday"/>
    <x v="0"/>
    <x v="0"/>
    <n v="0.16"/>
    <x v="1"/>
    <n v="0.13639999999999999"/>
    <s v="Very Cold"/>
    <n v="0.28000000000000003"/>
    <x v="2"/>
    <n v="0.35820000000000002"/>
    <x v="2"/>
    <x v="26"/>
    <n v="93"/>
    <n v="110"/>
    <s v="Medium Demand"/>
  </r>
  <r>
    <n v="517"/>
    <x v="22"/>
    <x v="0"/>
    <x v="0"/>
    <x v="0"/>
    <x v="15"/>
    <x v="2"/>
    <x v="0"/>
    <n v="0"/>
    <s v="Monday"/>
    <x v="0"/>
    <x v="0"/>
    <n v="0.16"/>
    <x v="1"/>
    <n v="0.13639999999999999"/>
    <s v="Very Cold"/>
    <n v="0.28000000000000003"/>
    <x v="2"/>
    <n v="0.35820000000000002"/>
    <x v="2"/>
    <x v="23"/>
    <n v="64"/>
    <n v="77"/>
    <s v="Medium Demand"/>
  </r>
  <r>
    <n v="518"/>
    <x v="22"/>
    <x v="0"/>
    <x v="0"/>
    <x v="0"/>
    <x v="16"/>
    <x v="2"/>
    <x v="0"/>
    <n v="0"/>
    <s v="Monday"/>
    <x v="0"/>
    <x v="0"/>
    <n v="0.16"/>
    <x v="1"/>
    <n v="0.13639999999999999"/>
    <s v="Very Cold"/>
    <n v="0.26"/>
    <x v="2"/>
    <n v="0.32840000000000003"/>
    <x v="2"/>
    <x v="14"/>
    <n v="56"/>
    <n v="65"/>
    <s v="Low Demand"/>
  </r>
  <r>
    <n v="519"/>
    <x v="22"/>
    <x v="0"/>
    <x v="0"/>
    <x v="0"/>
    <x v="17"/>
    <x v="2"/>
    <x v="0"/>
    <n v="0"/>
    <s v="Monday"/>
    <x v="0"/>
    <x v="0"/>
    <n v="0.14000000000000001"/>
    <x v="1"/>
    <n v="0.1061"/>
    <s v="Very Cold"/>
    <n v="0.26"/>
    <x v="2"/>
    <n v="0.3881"/>
    <x v="2"/>
    <x v="2"/>
    <n v="50"/>
    <n v="55"/>
    <s v="Low Demand"/>
  </r>
  <r>
    <n v="520"/>
    <x v="22"/>
    <x v="0"/>
    <x v="0"/>
    <x v="0"/>
    <x v="18"/>
    <x v="3"/>
    <x v="0"/>
    <n v="0"/>
    <s v="Monday"/>
    <x v="0"/>
    <x v="0"/>
    <n v="0.12"/>
    <x v="1"/>
    <n v="0.1212"/>
    <s v="Very Cold"/>
    <n v="0.3"/>
    <x v="2"/>
    <n v="0.25369999999999998"/>
    <x v="1"/>
    <x v="2"/>
    <n v="44"/>
    <n v="49"/>
    <s v="Low Demand"/>
  </r>
  <r>
    <n v="521"/>
    <x v="22"/>
    <x v="0"/>
    <x v="0"/>
    <x v="0"/>
    <x v="19"/>
    <x v="3"/>
    <x v="0"/>
    <n v="0"/>
    <s v="Monday"/>
    <x v="0"/>
    <x v="0"/>
    <n v="0.12"/>
    <x v="1"/>
    <n v="0.1212"/>
    <s v="Very Cold"/>
    <n v="0.3"/>
    <x v="2"/>
    <n v="0.28360000000000002"/>
    <x v="1"/>
    <x v="2"/>
    <n v="45"/>
    <n v="50"/>
    <s v="Low Demand"/>
  </r>
  <r>
    <n v="522"/>
    <x v="22"/>
    <x v="0"/>
    <x v="0"/>
    <x v="0"/>
    <x v="20"/>
    <x v="3"/>
    <x v="0"/>
    <n v="0"/>
    <s v="Monday"/>
    <x v="0"/>
    <x v="0"/>
    <n v="0.1"/>
    <x v="1"/>
    <n v="0.1061"/>
    <s v="Very Cold"/>
    <n v="0.36"/>
    <x v="2"/>
    <n v="0.25369999999999998"/>
    <x v="1"/>
    <x v="17"/>
    <n v="31"/>
    <n v="35"/>
    <s v="Low Demand"/>
  </r>
  <r>
    <n v="523"/>
    <x v="22"/>
    <x v="0"/>
    <x v="0"/>
    <x v="0"/>
    <x v="21"/>
    <x v="3"/>
    <x v="0"/>
    <n v="0"/>
    <s v="Monday"/>
    <x v="0"/>
    <x v="0"/>
    <n v="0.1"/>
    <x v="1"/>
    <n v="0.1061"/>
    <s v="Very Cold"/>
    <n v="0.36"/>
    <x v="2"/>
    <n v="0.19400000000000001"/>
    <x v="1"/>
    <x v="2"/>
    <n v="20"/>
    <n v="25"/>
    <s v="Low Demand"/>
  </r>
  <r>
    <n v="524"/>
    <x v="22"/>
    <x v="0"/>
    <x v="0"/>
    <x v="0"/>
    <x v="22"/>
    <x v="3"/>
    <x v="0"/>
    <n v="0"/>
    <s v="Monday"/>
    <x v="0"/>
    <x v="0"/>
    <n v="0.08"/>
    <x v="1"/>
    <n v="9.0899999999999995E-2"/>
    <s v="Very Cold"/>
    <n v="0.38"/>
    <x v="2"/>
    <n v="0.19400000000000001"/>
    <x v="1"/>
    <x v="2"/>
    <n v="23"/>
    <n v="28"/>
    <s v="Low Demand"/>
  </r>
  <r>
    <n v="525"/>
    <x v="22"/>
    <x v="0"/>
    <x v="0"/>
    <x v="0"/>
    <x v="23"/>
    <x v="3"/>
    <x v="0"/>
    <n v="0"/>
    <s v="Monday"/>
    <x v="0"/>
    <x v="0"/>
    <n v="0.06"/>
    <x v="1"/>
    <n v="6.0600000000000001E-2"/>
    <s v="Very Cold"/>
    <n v="0.41"/>
    <x v="2"/>
    <n v="0.22389999999999999"/>
    <x v="1"/>
    <x v="17"/>
    <n v="17"/>
    <n v="21"/>
    <s v="Low Demand"/>
  </r>
  <r>
    <n v="526"/>
    <x v="23"/>
    <x v="0"/>
    <x v="0"/>
    <x v="0"/>
    <x v="0"/>
    <x v="0"/>
    <x v="0"/>
    <n v="1"/>
    <s v="Tuesday"/>
    <x v="0"/>
    <x v="0"/>
    <n v="0.06"/>
    <x v="1"/>
    <n v="6.0600000000000001E-2"/>
    <s v="Very Cold"/>
    <n v="0.41"/>
    <x v="2"/>
    <n v="0.19400000000000001"/>
    <x v="1"/>
    <x v="3"/>
    <n v="7"/>
    <n v="7"/>
    <s v="Low Demand"/>
  </r>
  <r>
    <n v="527"/>
    <x v="23"/>
    <x v="0"/>
    <x v="0"/>
    <x v="0"/>
    <x v="1"/>
    <x v="0"/>
    <x v="0"/>
    <n v="1"/>
    <s v="Tuesday"/>
    <x v="0"/>
    <x v="0"/>
    <n v="0.04"/>
    <x v="1"/>
    <n v="4.5499999999999999E-2"/>
    <s v="Very Cold"/>
    <n v="0.45"/>
    <x v="2"/>
    <n v="0.19400000000000001"/>
    <x v="1"/>
    <x v="3"/>
    <n v="1"/>
    <n v="1"/>
    <s v="Low Demand"/>
  </r>
  <r>
    <n v="528"/>
    <x v="23"/>
    <x v="0"/>
    <x v="0"/>
    <x v="0"/>
    <x v="3"/>
    <x v="0"/>
    <x v="0"/>
    <n v="1"/>
    <s v="Tuesday"/>
    <x v="0"/>
    <x v="0"/>
    <n v="0.04"/>
    <x v="1"/>
    <n v="3.0300000000000001E-2"/>
    <s v="Very Cold"/>
    <n v="0.45"/>
    <x v="2"/>
    <n v="0.25369999999999998"/>
    <x v="1"/>
    <x v="3"/>
    <n v="1"/>
    <n v="1"/>
    <s v="Low Demand"/>
  </r>
  <r>
    <n v="529"/>
    <x v="23"/>
    <x v="0"/>
    <x v="0"/>
    <x v="0"/>
    <x v="4"/>
    <x v="0"/>
    <x v="0"/>
    <n v="1"/>
    <s v="Tuesday"/>
    <x v="0"/>
    <x v="0"/>
    <n v="0.02"/>
    <x v="1"/>
    <n v="6.0600000000000001E-2"/>
    <s v="Very Cold"/>
    <n v="0.48"/>
    <x v="2"/>
    <n v="0.1343"/>
    <x v="0"/>
    <x v="3"/>
    <n v="1"/>
    <n v="1"/>
    <s v="Low Demand"/>
  </r>
  <r>
    <n v="530"/>
    <x v="23"/>
    <x v="0"/>
    <x v="0"/>
    <x v="0"/>
    <x v="5"/>
    <x v="0"/>
    <x v="0"/>
    <n v="1"/>
    <s v="Tuesday"/>
    <x v="0"/>
    <x v="0"/>
    <n v="0.02"/>
    <x v="1"/>
    <n v="6.0600000000000001E-2"/>
    <s v="Very Cold"/>
    <n v="0.48"/>
    <x v="2"/>
    <n v="0.1343"/>
    <x v="0"/>
    <x v="3"/>
    <n v="5"/>
    <n v="5"/>
    <s v="Low Demand"/>
  </r>
  <r>
    <n v="531"/>
    <x v="23"/>
    <x v="0"/>
    <x v="0"/>
    <x v="0"/>
    <x v="6"/>
    <x v="1"/>
    <x v="0"/>
    <n v="1"/>
    <s v="Tuesday"/>
    <x v="0"/>
    <x v="0"/>
    <n v="0.02"/>
    <x v="1"/>
    <n v="7.5800000000000006E-2"/>
    <s v="Very Cold"/>
    <n v="0.48"/>
    <x v="2"/>
    <n v="8.9599999999999999E-2"/>
    <x v="0"/>
    <x v="3"/>
    <n v="15"/>
    <n v="15"/>
    <s v="Low Demand"/>
  </r>
  <r>
    <n v="532"/>
    <x v="23"/>
    <x v="0"/>
    <x v="0"/>
    <x v="0"/>
    <x v="7"/>
    <x v="1"/>
    <x v="0"/>
    <n v="1"/>
    <s v="Tuesday"/>
    <x v="0"/>
    <x v="0"/>
    <n v="0.02"/>
    <x v="1"/>
    <n v="0.1212"/>
    <s v="Very Cold"/>
    <n v="0.48"/>
    <x v="2"/>
    <n v="0"/>
    <x v="0"/>
    <x v="2"/>
    <n v="79"/>
    <n v="84"/>
    <s v="Medium Demand"/>
  </r>
  <r>
    <n v="533"/>
    <x v="23"/>
    <x v="0"/>
    <x v="0"/>
    <x v="0"/>
    <x v="8"/>
    <x v="1"/>
    <x v="0"/>
    <n v="1"/>
    <s v="Tuesday"/>
    <x v="0"/>
    <x v="0"/>
    <n v="0.04"/>
    <x v="1"/>
    <n v="0.13639999999999999"/>
    <s v="Very Cold"/>
    <n v="0.49"/>
    <x v="2"/>
    <n v="0"/>
    <x v="0"/>
    <x v="15"/>
    <n v="171"/>
    <n v="177"/>
    <s v="High Demand"/>
  </r>
  <r>
    <n v="534"/>
    <x v="23"/>
    <x v="0"/>
    <x v="0"/>
    <x v="0"/>
    <x v="9"/>
    <x v="1"/>
    <x v="0"/>
    <n v="1"/>
    <s v="Tuesday"/>
    <x v="0"/>
    <x v="0"/>
    <n v="0.06"/>
    <x v="1"/>
    <n v="0.1515"/>
    <s v="Cold"/>
    <n v="0.41"/>
    <x v="2"/>
    <n v="0"/>
    <x v="0"/>
    <x v="17"/>
    <n v="98"/>
    <n v="102"/>
    <s v="Medium Demand"/>
  </r>
  <r>
    <n v="535"/>
    <x v="23"/>
    <x v="0"/>
    <x v="0"/>
    <x v="0"/>
    <x v="10"/>
    <x v="1"/>
    <x v="0"/>
    <n v="1"/>
    <s v="Tuesday"/>
    <x v="0"/>
    <x v="0"/>
    <n v="0.1"/>
    <x v="1"/>
    <n v="0.13639999999999999"/>
    <s v="Very Cold"/>
    <n v="0.42"/>
    <x v="2"/>
    <n v="0"/>
    <x v="0"/>
    <x v="15"/>
    <n v="34"/>
    <n v="40"/>
    <s v="Low Demand"/>
  </r>
  <r>
    <n v="536"/>
    <x v="23"/>
    <x v="0"/>
    <x v="0"/>
    <x v="0"/>
    <x v="11"/>
    <x v="1"/>
    <x v="0"/>
    <n v="1"/>
    <s v="Tuesday"/>
    <x v="0"/>
    <x v="0"/>
    <n v="0.1"/>
    <x v="1"/>
    <n v="0.1212"/>
    <s v="Very Cold"/>
    <n v="0.46"/>
    <x v="2"/>
    <n v="0.1343"/>
    <x v="0"/>
    <x v="0"/>
    <n v="43"/>
    <n v="46"/>
    <s v="Low Demand"/>
  </r>
  <r>
    <n v="537"/>
    <x v="23"/>
    <x v="0"/>
    <x v="0"/>
    <x v="0"/>
    <x v="12"/>
    <x v="2"/>
    <x v="0"/>
    <n v="1"/>
    <s v="Tuesday"/>
    <x v="1"/>
    <x v="1"/>
    <n v="0.12"/>
    <x v="1"/>
    <n v="0.13639999999999999"/>
    <s v="Very Cold"/>
    <n v="0.42"/>
    <x v="2"/>
    <n v="0.19400000000000001"/>
    <x v="1"/>
    <x v="16"/>
    <n v="52"/>
    <n v="63"/>
    <s v="Low Demand"/>
  </r>
  <r>
    <n v="538"/>
    <x v="23"/>
    <x v="0"/>
    <x v="0"/>
    <x v="0"/>
    <x v="13"/>
    <x v="2"/>
    <x v="0"/>
    <n v="1"/>
    <s v="Tuesday"/>
    <x v="1"/>
    <x v="1"/>
    <n v="0.14000000000000001"/>
    <x v="1"/>
    <n v="0.13639999999999999"/>
    <s v="Very Cold"/>
    <n v="0.43"/>
    <x v="2"/>
    <n v="0.22389999999999999"/>
    <x v="1"/>
    <x v="15"/>
    <n v="54"/>
    <n v="60"/>
    <s v="Low Demand"/>
  </r>
  <r>
    <n v="539"/>
    <x v="23"/>
    <x v="0"/>
    <x v="0"/>
    <x v="0"/>
    <x v="14"/>
    <x v="2"/>
    <x v="0"/>
    <n v="1"/>
    <s v="Tuesday"/>
    <x v="1"/>
    <x v="1"/>
    <n v="0.14000000000000001"/>
    <x v="1"/>
    <n v="0.13639999999999999"/>
    <s v="Very Cold"/>
    <n v="0.46"/>
    <x v="2"/>
    <n v="0.22389999999999999"/>
    <x v="1"/>
    <x v="4"/>
    <n v="43"/>
    <n v="45"/>
    <s v="Low Demand"/>
  </r>
  <r>
    <n v="540"/>
    <x v="23"/>
    <x v="0"/>
    <x v="0"/>
    <x v="0"/>
    <x v="15"/>
    <x v="2"/>
    <x v="0"/>
    <n v="1"/>
    <s v="Tuesday"/>
    <x v="0"/>
    <x v="0"/>
    <n v="0.16"/>
    <x v="1"/>
    <n v="0.16669999999999999"/>
    <s v="Cold"/>
    <n v="0.4"/>
    <x v="2"/>
    <n v="0.16420000000000001"/>
    <x v="1"/>
    <x v="18"/>
    <n v="50"/>
    <n v="57"/>
    <s v="Low Demand"/>
  </r>
  <r>
    <n v="541"/>
    <x v="23"/>
    <x v="0"/>
    <x v="0"/>
    <x v="0"/>
    <x v="16"/>
    <x v="2"/>
    <x v="0"/>
    <n v="1"/>
    <s v="Tuesday"/>
    <x v="0"/>
    <x v="0"/>
    <n v="0.16"/>
    <x v="1"/>
    <n v="0.1515"/>
    <s v="Cold"/>
    <n v="0.47"/>
    <x v="2"/>
    <n v="0.25369999999999998"/>
    <x v="1"/>
    <x v="17"/>
    <n v="66"/>
    <n v="70"/>
    <s v="Low Demand"/>
  </r>
  <r>
    <n v="542"/>
    <x v="23"/>
    <x v="0"/>
    <x v="0"/>
    <x v="0"/>
    <x v="17"/>
    <x v="2"/>
    <x v="0"/>
    <n v="1"/>
    <s v="Tuesday"/>
    <x v="0"/>
    <x v="0"/>
    <n v="0.14000000000000001"/>
    <x v="1"/>
    <n v="0.1212"/>
    <s v="Very Cold"/>
    <n v="0.5"/>
    <x v="2"/>
    <n v="0.25369999999999998"/>
    <x v="1"/>
    <x v="15"/>
    <n v="178"/>
    <n v="184"/>
    <s v="High Demand"/>
  </r>
  <r>
    <n v="543"/>
    <x v="23"/>
    <x v="0"/>
    <x v="0"/>
    <x v="0"/>
    <x v="18"/>
    <x v="3"/>
    <x v="0"/>
    <n v="1"/>
    <s v="Tuesday"/>
    <x v="0"/>
    <x v="0"/>
    <n v="0.14000000000000001"/>
    <x v="1"/>
    <n v="0.13639999999999999"/>
    <s v="Very Cold"/>
    <n v="0.59"/>
    <x v="1"/>
    <n v="0.19400000000000001"/>
    <x v="1"/>
    <x v="1"/>
    <n v="145"/>
    <n v="153"/>
    <s v="High Demand"/>
  </r>
  <r>
    <n v="544"/>
    <x v="23"/>
    <x v="0"/>
    <x v="0"/>
    <x v="0"/>
    <x v="19"/>
    <x v="3"/>
    <x v="0"/>
    <n v="1"/>
    <s v="Tuesday"/>
    <x v="0"/>
    <x v="0"/>
    <n v="0.14000000000000001"/>
    <x v="1"/>
    <n v="0.1515"/>
    <s v="Cold"/>
    <n v="0.54"/>
    <x v="1"/>
    <n v="0.16420000000000001"/>
    <x v="1"/>
    <x v="2"/>
    <n v="101"/>
    <n v="106"/>
    <s v="Medium Demand"/>
  </r>
  <r>
    <n v="545"/>
    <x v="23"/>
    <x v="0"/>
    <x v="0"/>
    <x v="0"/>
    <x v="20"/>
    <x v="3"/>
    <x v="0"/>
    <n v="1"/>
    <s v="Tuesday"/>
    <x v="0"/>
    <x v="0"/>
    <n v="0.14000000000000001"/>
    <x v="1"/>
    <n v="0.13639999999999999"/>
    <s v="Very Cold"/>
    <n v="0.59"/>
    <x v="1"/>
    <n v="0.19400000000000001"/>
    <x v="1"/>
    <x v="5"/>
    <n v="80"/>
    <n v="81"/>
    <s v="Medium Demand"/>
  </r>
  <r>
    <n v="546"/>
    <x v="23"/>
    <x v="0"/>
    <x v="0"/>
    <x v="0"/>
    <x v="21"/>
    <x v="3"/>
    <x v="0"/>
    <n v="1"/>
    <s v="Tuesday"/>
    <x v="0"/>
    <x v="0"/>
    <n v="0.14000000000000001"/>
    <x v="1"/>
    <n v="0.1515"/>
    <s v="Cold"/>
    <n v="0.63"/>
    <x v="1"/>
    <n v="0.16420000000000001"/>
    <x v="1"/>
    <x v="15"/>
    <n v="53"/>
    <n v="59"/>
    <s v="Low Demand"/>
  </r>
  <r>
    <n v="547"/>
    <x v="23"/>
    <x v="0"/>
    <x v="0"/>
    <x v="0"/>
    <x v="22"/>
    <x v="3"/>
    <x v="0"/>
    <n v="1"/>
    <s v="Tuesday"/>
    <x v="1"/>
    <x v="1"/>
    <n v="0.14000000000000001"/>
    <x v="1"/>
    <n v="0.13639999999999999"/>
    <s v="Very Cold"/>
    <n v="0.63"/>
    <x v="1"/>
    <n v="0.22389999999999999"/>
    <x v="1"/>
    <x v="0"/>
    <n v="32"/>
    <n v="35"/>
    <s v="Low Demand"/>
  </r>
  <r>
    <n v="548"/>
    <x v="23"/>
    <x v="0"/>
    <x v="0"/>
    <x v="0"/>
    <x v="23"/>
    <x v="3"/>
    <x v="0"/>
    <n v="1"/>
    <s v="Tuesday"/>
    <x v="1"/>
    <x v="1"/>
    <n v="0.16"/>
    <x v="1"/>
    <n v="0.1515"/>
    <s v="Cold"/>
    <n v="0.64"/>
    <x v="1"/>
    <n v="0.25369999999999998"/>
    <x v="1"/>
    <x v="0"/>
    <n v="21"/>
    <n v="24"/>
    <s v="Low Demand"/>
  </r>
  <r>
    <n v="549"/>
    <x v="24"/>
    <x v="0"/>
    <x v="0"/>
    <x v="0"/>
    <x v="0"/>
    <x v="0"/>
    <x v="0"/>
    <n v="2"/>
    <s v="Wednesday"/>
    <x v="1"/>
    <x v="1"/>
    <n v="0.16"/>
    <x v="1"/>
    <n v="0.13639999999999999"/>
    <s v="Very Cold"/>
    <n v="0.69"/>
    <x v="1"/>
    <n v="0.28360000000000002"/>
    <x v="1"/>
    <x v="0"/>
    <n v="6"/>
    <n v="9"/>
    <s v="Low Demand"/>
  </r>
  <r>
    <n v="550"/>
    <x v="24"/>
    <x v="0"/>
    <x v="0"/>
    <x v="0"/>
    <x v="1"/>
    <x v="0"/>
    <x v="0"/>
    <n v="2"/>
    <s v="Wednesday"/>
    <x v="1"/>
    <x v="1"/>
    <n v="0.16"/>
    <x v="1"/>
    <n v="0.16669999999999999"/>
    <s v="Cold"/>
    <n v="0.69"/>
    <x v="1"/>
    <n v="0.16420000000000001"/>
    <x v="1"/>
    <x v="3"/>
    <n v="5"/>
    <n v="5"/>
    <s v="Low Demand"/>
  </r>
  <r>
    <n v="551"/>
    <x v="24"/>
    <x v="0"/>
    <x v="0"/>
    <x v="0"/>
    <x v="2"/>
    <x v="0"/>
    <x v="0"/>
    <n v="2"/>
    <s v="Wednesday"/>
    <x v="0"/>
    <x v="0"/>
    <n v="0.16"/>
    <x v="1"/>
    <n v="0.1515"/>
    <s v="Cold"/>
    <n v="0.69"/>
    <x v="1"/>
    <n v="0.22389999999999999"/>
    <x v="1"/>
    <x v="3"/>
    <n v="2"/>
    <n v="2"/>
    <s v="Low Demand"/>
  </r>
  <r>
    <n v="552"/>
    <x v="24"/>
    <x v="0"/>
    <x v="0"/>
    <x v="0"/>
    <x v="4"/>
    <x v="0"/>
    <x v="0"/>
    <n v="2"/>
    <s v="Wednesday"/>
    <x v="0"/>
    <x v="0"/>
    <n v="0.14000000000000001"/>
    <x v="1"/>
    <n v="0.16669999999999999"/>
    <s v="Cold"/>
    <n v="0.74"/>
    <x v="1"/>
    <n v="0.1045"/>
    <x v="0"/>
    <x v="3"/>
    <n v="1"/>
    <n v="1"/>
    <s v="Low Demand"/>
  </r>
  <r>
    <n v="553"/>
    <x v="24"/>
    <x v="0"/>
    <x v="0"/>
    <x v="0"/>
    <x v="5"/>
    <x v="0"/>
    <x v="0"/>
    <n v="2"/>
    <s v="Wednesday"/>
    <x v="0"/>
    <x v="0"/>
    <n v="0.14000000000000001"/>
    <x v="1"/>
    <n v="0.13639999999999999"/>
    <s v="Very Cold"/>
    <n v="0.74"/>
    <x v="1"/>
    <n v="0.22389999999999999"/>
    <x v="1"/>
    <x v="3"/>
    <n v="9"/>
    <n v="9"/>
    <s v="Low Demand"/>
  </r>
  <r>
    <n v="554"/>
    <x v="24"/>
    <x v="0"/>
    <x v="0"/>
    <x v="0"/>
    <x v="6"/>
    <x v="1"/>
    <x v="0"/>
    <n v="2"/>
    <s v="Wednesday"/>
    <x v="0"/>
    <x v="0"/>
    <n v="0.16"/>
    <x v="1"/>
    <n v="0.18179999999999999"/>
    <s v="Cold"/>
    <n v="0.74"/>
    <x v="1"/>
    <n v="0.1045"/>
    <x v="0"/>
    <x v="5"/>
    <n v="35"/>
    <n v="36"/>
    <s v="Low Demand"/>
  </r>
  <r>
    <n v="555"/>
    <x v="24"/>
    <x v="0"/>
    <x v="0"/>
    <x v="0"/>
    <x v="7"/>
    <x v="1"/>
    <x v="0"/>
    <n v="2"/>
    <s v="Wednesday"/>
    <x v="0"/>
    <x v="0"/>
    <n v="0.16"/>
    <x v="1"/>
    <n v="0.1515"/>
    <s v="Cold"/>
    <n v="0.74"/>
    <x v="1"/>
    <n v="0.22389999999999999"/>
    <x v="1"/>
    <x v="2"/>
    <n v="103"/>
    <n v="108"/>
    <s v="Medium Demand"/>
  </r>
  <r>
    <n v="556"/>
    <x v="24"/>
    <x v="0"/>
    <x v="0"/>
    <x v="0"/>
    <x v="8"/>
    <x v="1"/>
    <x v="0"/>
    <n v="2"/>
    <s v="Wednesday"/>
    <x v="1"/>
    <x v="1"/>
    <n v="0.16"/>
    <x v="1"/>
    <n v="0.18179999999999999"/>
    <s v="Cold"/>
    <n v="0.74"/>
    <x v="1"/>
    <n v="0.1343"/>
    <x v="0"/>
    <x v="2"/>
    <n v="233"/>
    <n v="238"/>
    <s v="Very High Demand"/>
  </r>
  <r>
    <n v="557"/>
    <x v="24"/>
    <x v="0"/>
    <x v="0"/>
    <x v="0"/>
    <x v="9"/>
    <x v="1"/>
    <x v="0"/>
    <n v="2"/>
    <s v="Wednesday"/>
    <x v="1"/>
    <x v="1"/>
    <n v="0.2"/>
    <x v="1"/>
    <n v="0.2273"/>
    <s v="Cold"/>
    <n v="0.64"/>
    <x v="1"/>
    <n v="8.9599999999999999E-2"/>
    <x v="0"/>
    <x v="22"/>
    <n v="134"/>
    <n v="144"/>
    <s v="Medium Demand"/>
  </r>
  <r>
    <n v="558"/>
    <x v="24"/>
    <x v="0"/>
    <x v="0"/>
    <x v="0"/>
    <x v="10"/>
    <x v="1"/>
    <x v="0"/>
    <n v="2"/>
    <s v="Wednesday"/>
    <x v="1"/>
    <x v="1"/>
    <n v="0.22"/>
    <x v="0"/>
    <n v="0.2424"/>
    <s v="Cold"/>
    <n v="0.6"/>
    <x v="1"/>
    <n v="0.1045"/>
    <x v="0"/>
    <x v="15"/>
    <n v="49"/>
    <n v="55"/>
    <s v="Low Demand"/>
  </r>
  <r>
    <n v="559"/>
    <x v="24"/>
    <x v="0"/>
    <x v="0"/>
    <x v="0"/>
    <x v="11"/>
    <x v="1"/>
    <x v="0"/>
    <n v="2"/>
    <s v="Wednesday"/>
    <x v="1"/>
    <x v="1"/>
    <n v="0.24"/>
    <x v="0"/>
    <n v="0.2424"/>
    <s v="Cold"/>
    <n v="0.6"/>
    <x v="1"/>
    <n v="0.1343"/>
    <x v="0"/>
    <x v="15"/>
    <n v="55"/>
    <n v="61"/>
    <s v="Low Demand"/>
  </r>
  <r>
    <n v="560"/>
    <x v="24"/>
    <x v="0"/>
    <x v="0"/>
    <x v="0"/>
    <x v="12"/>
    <x v="2"/>
    <x v="0"/>
    <n v="2"/>
    <s v="Wednesday"/>
    <x v="1"/>
    <x v="1"/>
    <n v="0.26"/>
    <x v="0"/>
    <n v="0.28789999999999999"/>
    <s v="Cold"/>
    <n v="0.56000000000000005"/>
    <x v="1"/>
    <n v="8.9599999999999999E-2"/>
    <x v="0"/>
    <x v="27"/>
    <n v="85"/>
    <n v="106"/>
    <s v="Medium Demand"/>
  </r>
  <r>
    <n v="561"/>
    <x v="24"/>
    <x v="0"/>
    <x v="0"/>
    <x v="0"/>
    <x v="13"/>
    <x v="2"/>
    <x v="0"/>
    <n v="2"/>
    <s v="Wednesday"/>
    <x v="1"/>
    <x v="1"/>
    <n v="0.26"/>
    <x v="0"/>
    <n v="0.2727"/>
    <s v="Cold"/>
    <n v="0.56000000000000005"/>
    <x v="1"/>
    <n v="0.1343"/>
    <x v="0"/>
    <x v="27"/>
    <n v="72"/>
    <n v="93"/>
    <s v="Medium Demand"/>
  </r>
  <r>
    <n v="562"/>
    <x v="24"/>
    <x v="0"/>
    <x v="0"/>
    <x v="0"/>
    <x v="14"/>
    <x v="2"/>
    <x v="0"/>
    <n v="2"/>
    <s v="Wednesday"/>
    <x v="1"/>
    <x v="1"/>
    <n v="0.3"/>
    <x v="0"/>
    <n v="0.33329999999999999"/>
    <s v="Pleasant"/>
    <n v="0.45"/>
    <x v="2"/>
    <n v="0"/>
    <x v="0"/>
    <x v="16"/>
    <n v="57"/>
    <n v="68"/>
    <s v="Low Demand"/>
  </r>
  <r>
    <n v="563"/>
    <x v="24"/>
    <x v="0"/>
    <x v="0"/>
    <x v="0"/>
    <x v="15"/>
    <x v="2"/>
    <x v="0"/>
    <n v="2"/>
    <s v="Wednesday"/>
    <x v="1"/>
    <x v="1"/>
    <n v="0.32"/>
    <x v="0"/>
    <n v="0.34849999999999998"/>
    <s v="Pleasant"/>
    <n v="0.42"/>
    <x v="2"/>
    <n v="0"/>
    <x v="0"/>
    <x v="27"/>
    <n v="63"/>
    <n v="84"/>
    <s v="Medium Demand"/>
  </r>
  <r>
    <n v="564"/>
    <x v="24"/>
    <x v="0"/>
    <x v="0"/>
    <x v="0"/>
    <x v="16"/>
    <x v="2"/>
    <x v="0"/>
    <n v="2"/>
    <s v="Wednesday"/>
    <x v="1"/>
    <x v="1"/>
    <n v="0.32"/>
    <x v="0"/>
    <n v="0.34849999999999998"/>
    <s v="Pleasant"/>
    <n v="0.42"/>
    <x v="2"/>
    <n v="0"/>
    <x v="0"/>
    <x v="24"/>
    <n v="102"/>
    <n v="116"/>
    <s v="Medium Demand"/>
  </r>
  <r>
    <n v="565"/>
    <x v="24"/>
    <x v="0"/>
    <x v="0"/>
    <x v="0"/>
    <x v="17"/>
    <x v="2"/>
    <x v="0"/>
    <n v="2"/>
    <s v="Wednesday"/>
    <x v="0"/>
    <x v="0"/>
    <n v="0.3"/>
    <x v="0"/>
    <n v="0.33329999999999999"/>
    <s v="Pleasant"/>
    <n v="0.45"/>
    <x v="2"/>
    <n v="0"/>
    <x v="0"/>
    <x v="24"/>
    <n v="208"/>
    <n v="222"/>
    <s v="High Demand"/>
  </r>
  <r>
    <n v="566"/>
    <x v="24"/>
    <x v="0"/>
    <x v="0"/>
    <x v="0"/>
    <x v="18"/>
    <x v="3"/>
    <x v="0"/>
    <n v="2"/>
    <s v="Wednesday"/>
    <x v="1"/>
    <x v="1"/>
    <n v="0.3"/>
    <x v="0"/>
    <n v="0.31819999999999998"/>
    <s v="Pleasant"/>
    <n v="0.49"/>
    <x v="2"/>
    <n v="8.9599999999999999E-2"/>
    <x v="0"/>
    <x v="18"/>
    <n v="218"/>
    <n v="225"/>
    <s v="High Demand"/>
  </r>
  <r>
    <n v="567"/>
    <x v="24"/>
    <x v="0"/>
    <x v="0"/>
    <x v="0"/>
    <x v="19"/>
    <x v="3"/>
    <x v="0"/>
    <n v="2"/>
    <s v="Wednesday"/>
    <x v="1"/>
    <x v="1"/>
    <n v="0.26"/>
    <x v="0"/>
    <n v="0.2576"/>
    <s v="Cold"/>
    <n v="0.65"/>
    <x v="1"/>
    <n v="0.16420000000000001"/>
    <x v="1"/>
    <x v="23"/>
    <n v="133"/>
    <n v="146"/>
    <s v="Medium Demand"/>
  </r>
  <r>
    <n v="568"/>
    <x v="24"/>
    <x v="0"/>
    <x v="0"/>
    <x v="0"/>
    <x v="20"/>
    <x v="3"/>
    <x v="0"/>
    <n v="2"/>
    <s v="Wednesday"/>
    <x v="0"/>
    <x v="0"/>
    <n v="0.24"/>
    <x v="0"/>
    <n v="0.2273"/>
    <s v="Cold"/>
    <n v="0.65"/>
    <x v="1"/>
    <n v="0.19400000000000001"/>
    <x v="1"/>
    <x v="19"/>
    <n v="103"/>
    <n v="119"/>
    <s v="Medium Demand"/>
  </r>
  <r>
    <n v="569"/>
    <x v="24"/>
    <x v="0"/>
    <x v="0"/>
    <x v="0"/>
    <x v="21"/>
    <x v="3"/>
    <x v="0"/>
    <n v="2"/>
    <s v="Wednesday"/>
    <x v="0"/>
    <x v="0"/>
    <n v="0.24"/>
    <x v="0"/>
    <n v="0.2273"/>
    <s v="Cold"/>
    <n v="0.65"/>
    <x v="1"/>
    <n v="0.19400000000000001"/>
    <x v="1"/>
    <x v="2"/>
    <n v="40"/>
    <n v="45"/>
    <s v="Low Demand"/>
  </r>
  <r>
    <n v="570"/>
    <x v="24"/>
    <x v="0"/>
    <x v="0"/>
    <x v="0"/>
    <x v="22"/>
    <x v="3"/>
    <x v="0"/>
    <n v="2"/>
    <s v="Wednesday"/>
    <x v="0"/>
    <x v="0"/>
    <n v="0.22"/>
    <x v="0"/>
    <n v="0.2273"/>
    <s v="Cold"/>
    <n v="0.64"/>
    <x v="1"/>
    <n v="0.16420000000000001"/>
    <x v="1"/>
    <x v="17"/>
    <n v="49"/>
    <n v="53"/>
    <s v="Low Demand"/>
  </r>
  <r>
    <n v="571"/>
    <x v="24"/>
    <x v="0"/>
    <x v="0"/>
    <x v="0"/>
    <x v="23"/>
    <x v="3"/>
    <x v="0"/>
    <n v="2"/>
    <s v="Wednesday"/>
    <x v="1"/>
    <x v="1"/>
    <n v="0.22"/>
    <x v="0"/>
    <n v="0.2273"/>
    <s v="Cold"/>
    <n v="0.64"/>
    <x v="1"/>
    <n v="0.16420000000000001"/>
    <x v="1"/>
    <x v="0"/>
    <n v="37"/>
    <n v="40"/>
    <s v="Low Demand"/>
  </r>
  <r>
    <n v="572"/>
    <x v="25"/>
    <x v="0"/>
    <x v="0"/>
    <x v="0"/>
    <x v="0"/>
    <x v="0"/>
    <x v="0"/>
    <n v="3"/>
    <s v="Thursday"/>
    <x v="1"/>
    <x v="1"/>
    <n v="0.22"/>
    <x v="0"/>
    <n v="0.2273"/>
    <s v="Cold"/>
    <n v="0.69"/>
    <x v="1"/>
    <n v="0.1343"/>
    <x v="0"/>
    <x v="0"/>
    <n v="14"/>
    <n v="17"/>
    <s v="Low Demand"/>
  </r>
  <r>
    <n v="573"/>
    <x v="25"/>
    <x v="0"/>
    <x v="0"/>
    <x v="0"/>
    <x v="1"/>
    <x v="0"/>
    <x v="0"/>
    <n v="3"/>
    <s v="Thursday"/>
    <x v="1"/>
    <x v="1"/>
    <n v="0.24"/>
    <x v="0"/>
    <n v="0.2424"/>
    <s v="Cold"/>
    <n v="0.65"/>
    <x v="1"/>
    <n v="0.1343"/>
    <x v="0"/>
    <x v="3"/>
    <n v="5"/>
    <n v="5"/>
    <s v="Low Demand"/>
  </r>
  <r>
    <n v="574"/>
    <x v="25"/>
    <x v="0"/>
    <x v="0"/>
    <x v="0"/>
    <x v="2"/>
    <x v="0"/>
    <x v="0"/>
    <n v="3"/>
    <s v="Thursday"/>
    <x v="2"/>
    <x v="2"/>
    <n v="0.22"/>
    <x v="0"/>
    <n v="0.2273"/>
    <s v="Cold"/>
    <n v="0.69"/>
    <x v="1"/>
    <n v="0.19400000000000001"/>
    <x v="1"/>
    <x v="0"/>
    <n v="7"/>
    <n v="10"/>
    <s v="Low Demand"/>
  </r>
  <r>
    <n v="575"/>
    <x v="25"/>
    <x v="0"/>
    <x v="0"/>
    <x v="0"/>
    <x v="5"/>
    <x v="0"/>
    <x v="0"/>
    <n v="3"/>
    <s v="Thursday"/>
    <x v="2"/>
    <x v="2"/>
    <n v="0.2"/>
    <x v="1"/>
    <n v="0.18179999999999999"/>
    <s v="Cold"/>
    <n v="0.86"/>
    <x v="0"/>
    <n v="0.28360000000000002"/>
    <x v="1"/>
    <x v="3"/>
    <n v="1"/>
    <n v="1"/>
    <s v="Low Demand"/>
  </r>
  <r>
    <n v="576"/>
    <x v="25"/>
    <x v="0"/>
    <x v="0"/>
    <x v="0"/>
    <x v="6"/>
    <x v="1"/>
    <x v="0"/>
    <n v="3"/>
    <s v="Thursday"/>
    <x v="2"/>
    <x v="2"/>
    <n v="0.2"/>
    <x v="1"/>
    <n v="0.18179999999999999"/>
    <s v="Cold"/>
    <n v="0.86"/>
    <x v="0"/>
    <n v="0.28360000000000002"/>
    <x v="1"/>
    <x v="3"/>
    <n v="8"/>
    <n v="8"/>
    <s v="Low Demand"/>
  </r>
  <r>
    <n v="577"/>
    <x v="25"/>
    <x v="0"/>
    <x v="0"/>
    <x v="0"/>
    <x v="7"/>
    <x v="1"/>
    <x v="0"/>
    <n v="3"/>
    <s v="Thursday"/>
    <x v="2"/>
    <x v="2"/>
    <n v="0.22"/>
    <x v="0"/>
    <n v="0.21210000000000001"/>
    <s v="Cold"/>
    <n v="0.87"/>
    <x v="0"/>
    <n v="0.29849999999999999"/>
    <x v="1"/>
    <x v="5"/>
    <n v="29"/>
    <n v="30"/>
    <s v="Low Demand"/>
  </r>
  <r>
    <n v="578"/>
    <x v="25"/>
    <x v="0"/>
    <x v="0"/>
    <x v="0"/>
    <x v="8"/>
    <x v="1"/>
    <x v="0"/>
    <n v="3"/>
    <s v="Thursday"/>
    <x v="2"/>
    <x v="2"/>
    <n v="0.22"/>
    <x v="0"/>
    <n v="0.21210000000000001"/>
    <s v="Cold"/>
    <n v="0.87"/>
    <x v="0"/>
    <n v="0.29849999999999999"/>
    <x v="1"/>
    <x v="0"/>
    <n v="69"/>
    <n v="72"/>
    <s v="Low Demand"/>
  </r>
  <r>
    <n v="579"/>
    <x v="25"/>
    <x v="0"/>
    <x v="0"/>
    <x v="0"/>
    <x v="9"/>
    <x v="1"/>
    <x v="0"/>
    <n v="3"/>
    <s v="Thursday"/>
    <x v="2"/>
    <x v="2"/>
    <n v="0.22"/>
    <x v="0"/>
    <n v="0.21210000000000001"/>
    <s v="Cold"/>
    <n v="0.87"/>
    <x v="0"/>
    <n v="0.29849999999999999"/>
    <x v="1"/>
    <x v="0"/>
    <n v="55"/>
    <n v="58"/>
    <s v="Low Demand"/>
  </r>
  <r>
    <n v="580"/>
    <x v="25"/>
    <x v="0"/>
    <x v="0"/>
    <x v="0"/>
    <x v="10"/>
    <x v="1"/>
    <x v="0"/>
    <n v="3"/>
    <s v="Thursday"/>
    <x v="2"/>
    <x v="2"/>
    <n v="0.22"/>
    <x v="0"/>
    <n v="0.21210000000000001"/>
    <s v="Cold"/>
    <n v="0.93"/>
    <x v="0"/>
    <n v="0.28360000000000002"/>
    <x v="1"/>
    <x v="4"/>
    <n v="26"/>
    <n v="28"/>
    <s v="Low Demand"/>
  </r>
  <r>
    <n v="581"/>
    <x v="25"/>
    <x v="0"/>
    <x v="0"/>
    <x v="0"/>
    <x v="11"/>
    <x v="1"/>
    <x v="0"/>
    <n v="3"/>
    <s v="Thursday"/>
    <x v="2"/>
    <x v="2"/>
    <n v="0.22"/>
    <x v="0"/>
    <n v="0.19700000000000001"/>
    <s v="Cold"/>
    <n v="0.93"/>
    <x v="0"/>
    <n v="0.32840000000000003"/>
    <x v="2"/>
    <x v="15"/>
    <n v="35"/>
    <n v="41"/>
    <s v="Low Demand"/>
  </r>
  <r>
    <n v="582"/>
    <x v="25"/>
    <x v="0"/>
    <x v="0"/>
    <x v="0"/>
    <x v="12"/>
    <x v="2"/>
    <x v="0"/>
    <n v="3"/>
    <s v="Thursday"/>
    <x v="2"/>
    <x v="2"/>
    <n v="0.22"/>
    <x v="0"/>
    <n v="0.19700000000000001"/>
    <s v="Cold"/>
    <n v="0.93"/>
    <x v="0"/>
    <n v="0.32840000000000003"/>
    <x v="2"/>
    <x v="18"/>
    <n v="41"/>
    <n v="48"/>
    <s v="Low Demand"/>
  </r>
  <r>
    <n v="583"/>
    <x v="25"/>
    <x v="0"/>
    <x v="0"/>
    <x v="0"/>
    <x v="13"/>
    <x v="2"/>
    <x v="0"/>
    <n v="3"/>
    <s v="Thursday"/>
    <x v="2"/>
    <x v="2"/>
    <n v="0.22"/>
    <x v="0"/>
    <n v="0.19700000000000001"/>
    <s v="Cold"/>
    <n v="0.93"/>
    <x v="0"/>
    <n v="0.32840000000000003"/>
    <x v="2"/>
    <x v="17"/>
    <n v="43"/>
    <n v="47"/>
    <s v="Low Demand"/>
  </r>
  <r>
    <n v="584"/>
    <x v="25"/>
    <x v="0"/>
    <x v="0"/>
    <x v="0"/>
    <x v="14"/>
    <x v="2"/>
    <x v="0"/>
    <n v="3"/>
    <s v="Thursday"/>
    <x v="2"/>
    <x v="2"/>
    <n v="0.22"/>
    <x v="0"/>
    <n v="0.19700000000000001"/>
    <s v="Cold"/>
    <n v="0.93"/>
    <x v="0"/>
    <n v="0.35820000000000002"/>
    <x v="2"/>
    <x v="3"/>
    <n v="36"/>
    <n v="36"/>
    <s v="Low Demand"/>
  </r>
  <r>
    <n v="585"/>
    <x v="25"/>
    <x v="0"/>
    <x v="0"/>
    <x v="0"/>
    <x v="15"/>
    <x v="2"/>
    <x v="0"/>
    <n v="3"/>
    <s v="Thursday"/>
    <x v="2"/>
    <x v="2"/>
    <n v="0.22"/>
    <x v="0"/>
    <n v="0.18179999999999999"/>
    <s v="Cold"/>
    <n v="0.93"/>
    <x v="0"/>
    <n v="0.4627"/>
    <x v="3"/>
    <x v="5"/>
    <n v="42"/>
    <n v="43"/>
    <s v="Low Demand"/>
  </r>
  <r>
    <n v="586"/>
    <x v="25"/>
    <x v="0"/>
    <x v="0"/>
    <x v="0"/>
    <x v="16"/>
    <x v="2"/>
    <x v="0"/>
    <n v="3"/>
    <s v="Thursday"/>
    <x v="3"/>
    <x v="3"/>
    <n v="0.22"/>
    <x v="0"/>
    <n v="0.19700000000000001"/>
    <s v="Cold"/>
    <n v="0.93"/>
    <x v="0"/>
    <n v="0.32840000000000003"/>
    <x v="2"/>
    <x v="5"/>
    <n v="35"/>
    <n v="36"/>
    <s v="Low Demand"/>
  </r>
  <r>
    <n v="587"/>
    <x v="25"/>
    <x v="0"/>
    <x v="0"/>
    <x v="0"/>
    <x v="17"/>
    <x v="2"/>
    <x v="0"/>
    <n v="3"/>
    <s v="Thursday"/>
    <x v="2"/>
    <x v="2"/>
    <n v="0.2"/>
    <x v="1"/>
    <n v="0.18179999999999999"/>
    <s v="Cold"/>
    <n v="0.93"/>
    <x v="0"/>
    <n v="0.35820000000000002"/>
    <x v="2"/>
    <x v="3"/>
    <n v="26"/>
    <n v="26"/>
    <s v="Low Demand"/>
  </r>
  <r>
    <n v="588"/>
    <x v="26"/>
    <x v="0"/>
    <x v="0"/>
    <x v="0"/>
    <x v="16"/>
    <x v="2"/>
    <x v="0"/>
    <n v="4"/>
    <s v="Friday"/>
    <x v="0"/>
    <x v="0"/>
    <n v="0.22"/>
    <x v="0"/>
    <n v="0.2273"/>
    <s v="Cold"/>
    <n v="0.55000000000000004"/>
    <x v="1"/>
    <n v="0.19400000000000001"/>
    <x v="1"/>
    <x v="5"/>
    <n v="23"/>
    <n v="24"/>
    <s v="Low Demand"/>
  </r>
  <r>
    <n v="589"/>
    <x v="26"/>
    <x v="0"/>
    <x v="0"/>
    <x v="0"/>
    <x v="17"/>
    <x v="2"/>
    <x v="0"/>
    <n v="4"/>
    <s v="Friday"/>
    <x v="0"/>
    <x v="0"/>
    <n v="0.22"/>
    <x v="0"/>
    <n v="0.2424"/>
    <s v="Cold"/>
    <n v="0.55000000000000004"/>
    <x v="1"/>
    <n v="0.1045"/>
    <x v="0"/>
    <x v="4"/>
    <n v="82"/>
    <n v="84"/>
    <s v="Medium Demand"/>
  </r>
  <r>
    <n v="590"/>
    <x v="26"/>
    <x v="0"/>
    <x v="0"/>
    <x v="0"/>
    <x v="18"/>
    <x v="3"/>
    <x v="0"/>
    <n v="4"/>
    <s v="Friday"/>
    <x v="0"/>
    <x v="0"/>
    <n v="0.2"/>
    <x v="1"/>
    <n v="0.2273"/>
    <s v="Cold"/>
    <n v="0.69"/>
    <x v="1"/>
    <n v="8.9599999999999999E-2"/>
    <x v="0"/>
    <x v="0"/>
    <n v="101"/>
    <n v="104"/>
    <s v="Medium Demand"/>
  </r>
  <r>
    <n v="591"/>
    <x v="26"/>
    <x v="0"/>
    <x v="0"/>
    <x v="0"/>
    <x v="19"/>
    <x v="3"/>
    <x v="0"/>
    <n v="4"/>
    <s v="Friday"/>
    <x v="0"/>
    <x v="0"/>
    <n v="0.2"/>
    <x v="1"/>
    <n v="0.2273"/>
    <s v="Cold"/>
    <n v="0.69"/>
    <x v="1"/>
    <n v="8.9599999999999999E-2"/>
    <x v="0"/>
    <x v="0"/>
    <n v="76"/>
    <n v="79"/>
    <s v="Medium Demand"/>
  </r>
  <r>
    <n v="592"/>
    <x v="26"/>
    <x v="0"/>
    <x v="0"/>
    <x v="0"/>
    <x v="20"/>
    <x v="3"/>
    <x v="0"/>
    <n v="4"/>
    <s v="Friday"/>
    <x v="0"/>
    <x v="0"/>
    <n v="0.18"/>
    <x v="1"/>
    <n v="0.21210000000000001"/>
    <s v="Cold"/>
    <n v="0.74"/>
    <x v="1"/>
    <n v="8.9599999999999999E-2"/>
    <x v="0"/>
    <x v="17"/>
    <n v="55"/>
    <n v="59"/>
    <s v="Low Demand"/>
  </r>
  <r>
    <n v="593"/>
    <x v="26"/>
    <x v="0"/>
    <x v="0"/>
    <x v="0"/>
    <x v="21"/>
    <x v="3"/>
    <x v="0"/>
    <n v="4"/>
    <s v="Friday"/>
    <x v="0"/>
    <x v="0"/>
    <n v="0.18"/>
    <x v="1"/>
    <n v="0.21210000000000001"/>
    <s v="Cold"/>
    <n v="0.74"/>
    <x v="1"/>
    <n v="8.9599999999999999E-2"/>
    <x v="0"/>
    <x v="4"/>
    <n v="36"/>
    <n v="38"/>
    <s v="Low Demand"/>
  </r>
  <r>
    <n v="594"/>
    <x v="26"/>
    <x v="0"/>
    <x v="0"/>
    <x v="0"/>
    <x v="22"/>
    <x v="3"/>
    <x v="0"/>
    <n v="4"/>
    <s v="Friday"/>
    <x v="0"/>
    <x v="0"/>
    <n v="0.18"/>
    <x v="1"/>
    <n v="0.21210000000000001"/>
    <s v="Cold"/>
    <n v="0.74"/>
    <x v="1"/>
    <n v="8.9599999999999999E-2"/>
    <x v="0"/>
    <x v="3"/>
    <n v="27"/>
    <n v="27"/>
    <s v="Low Demand"/>
  </r>
  <r>
    <n v="595"/>
    <x v="26"/>
    <x v="0"/>
    <x v="0"/>
    <x v="0"/>
    <x v="23"/>
    <x v="3"/>
    <x v="0"/>
    <n v="4"/>
    <s v="Friday"/>
    <x v="0"/>
    <x v="0"/>
    <n v="0.18"/>
    <x v="1"/>
    <n v="0.19700000000000001"/>
    <s v="Cold"/>
    <n v="0.8"/>
    <x v="0"/>
    <n v="0.16420000000000001"/>
    <x v="1"/>
    <x v="3"/>
    <n v="16"/>
    <n v="16"/>
    <s v="Low Demand"/>
  </r>
  <r>
    <n v="596"/>
    <x v="27"/>
    <x v="0"/>
    <x v="0"/>
    <x v="0"/>
    <x v="0"/>
    <x v="0"/>
    <x v="0"/>
    <n v="5"/>
    <s v="Saturday"/>
    <x v="1"/>
    <x v="1"/>
    <n v="0.2"/>
    <x v="1"/>
    <n v="0.21210000000000001"/>
    <s v="Cold"/>
    <n v="0.75"/>
    <x v="1"/>
    <n v="0.1343"/>
    <x v="0"/>
    <x v="3"/>
    <n v="9"/>
    <n v="9"/>
    <s v="Low Demand"/>
  </r>
  <r>
    <n v="597"/>
    <x v="27"/>
    <x v="0"/>
    <x v="0"/>
    <x v="0"/>
    <x v="1"/>
    <x v="0"/>
    <x v="0"/>
    <n v="5"/>
    <s v="Saturday"/>
    <x v="1"/>
    <x v="1"/>
    <n v="0.2"/>
    <x v="1"/>
    <n v="0.21210000000000001"/>
    <s v="Cold"/>
    <n v="0.75"/>
    <x v="1"/>
    <n v="0.1343"/>
    <x v="0"/>
    <x v="5"/>
    <n v="2"/>
    <n v="3"/>
    <s v="Low Demand"/>
  </r>
  <r>
    <n v="598"/>
    <x v="27"/>
    <x v="0"/>
    <x v="0"/>
    <x v="0"/>
    <x v="2"/>
    <x v="0"/>
    <x v="0"/>
    <n v="5"/>
    <s v="Saturday"/>
    <x v="1"/>
    <x v="1"/>
    <n v="0.2"/>
    <x v="1"/>
    <n v="0.21210000000000001"/>
    <s v="Cold"/>
    <n v="0.75"/>
    <x v="1"/>
    <n v="0.16420000000000001"/>
    <x v="1"/>
    <x v="3"/>
    <n v="2"/>
    <n v="2"/>
    <s v="Low Demand"/>
  </r>
  <r>
    <n v="599"/>
    <x v="27"/>
    <x v="0"/>
    <x v="0"/>
    <x v="0"/>
    <x v="3"/>
    <x v="0"/>
    <x v="0"/>
    <n v="5"/>
    <s v="Saturday"/>
    <x v="1"/>
    <x v="1"/>
    <n v="0.2"/>
    <x v="1"/>
    <n v="0.2273"/>
    <s v="Cold"/>
    <n v="0.75"/>
    <x v="1"/>
    <n v="0.1045"/>
    <x v="0"/>
    <x v="5"/>
    <n v="0"/>
    <n v="1"/>
    <s v="Low Demand"/>
  </r>
  <r>
    <n v="600"/>
    <x v="27"/>
    <x v="0"/>
    <x v="0"/>
    <x v="0"/>
    <x v="5"/>
    <x v="0"/>
    <x v="0"/>
    <n v="5"/>
    <s v="Saturday"/>
    <x v="1"/>
    <x v="1"/>
    <n v="0.18"/>
    <x v="1"/>
    <n v="0.21210000000000001"/>
    <s v="Cold"/>
    <n v="0.8"/>
    <x v="0"/>
    <n v="0.1045"/>
    <x v="0"/>
    <x v="3"/>
    <n v="4"/>
    <n v="4"/>
    <s v="Low Demand"/>
  </r>
  <r>
    <n v="601"/>
    <x v="27"/>
    <x v="0"/>
    <x v="0"/>
    <x v="0"/>
    <x v="6"/>
    <x v="1"/>
    <x v="0"/>
    <n v="5"/>
    <s v="Saturday"/>
    <x v="1"/>
    <x v="1"/>
    <n v="0.18"/>
    <x v="1"/>
    <n v="0.19700000000000001"/>
    <s v="Cold"/>
    <n v="0.8"/>
    <x v="0"/>
    <n v="0.1343"/>
    <x v="0"/>
    <x v="3"/>
    <n v="16"/>
    <n v="16"/>
    <s v="Low Demand"/>
  </r>
  <r>
    <n v="602"/>
    <x v="27"/>
    <x v="0"/>
    <x v="0"/>
    <x v="0"/>
    <x v="7"/>
    <x v="1"/>
    <x v="0"/>
    <n v="5"/>
    <s v="Saturday"/>
    <x v="1"/>
    <x v="1"/>
    <n v="0.16"/>
    <x v="1"/>
    <n v="0.19700000000000001"/>
    <s v="Cold"/>
    <n v="0.86"/>
    <x v="0"/>
    <n v="8.9599999999999999E-2"/>
    <x v="0"/>
    <x v="4"/>
    <n v="58"/>
    <n v="60"/>
    <s v="Low Demand"/>
  </r>
  <r>
    <n v="603"/>
    <x v="27"/>
    <x v="0"/>
    <x v="0"/>
    <x v="0"/>
    <x v="8"/>
    <x v="1"/>
    <x v="0"/>
    <n v="5"/>
    <s v="Saturday"/>
    <x v="1"/>
    <x v="1"/>
    <n v="0.16"/>
    <x v="1"/>
    <n v="0.19700000000000001"/>
    <s v="Cold"/>
    <n v="0.86"/>
    <x v="0"/>
    <n v="8.9599999999999999E-2"/>
    <x v="0"/>
    <x v="4"/>
    <n v="155"/>
    <n v="157"/>
    <s v="High Demand"/>
  </r>
  <r>
    <n v="604"/>
    <x v="27"/>
    <x v="0"/>
    <x v="0"/>
    <x v="0"/>
    <x v="9"/>
    <x v="1"/>
    <x v="0"/>
    <n v="5"/>
    <s v="Saturday"/>
    <x v="2"/>
    <x v="2"/>
    <n v="0.18"/>
    <x v="1"/>
    <n v="0.21210000000000001"/>
    <s v="Cold"/>
    <n v="0.86"/>
    <x v="0"/>
    <n v="8.9599999999999999E-2"/>
    <x v="0"/>
    <x v="15"/>
    <n v="95"/>
    <n v="101"/>
    <s v="Medium Demand"/>
  </r>
  <r>
    <n v="605"/>
    <x v="27"/>
    <x v="0"/>
    <x v="0"/>
    <x v="0"/>
    <x v="10"/>
    <x v="1"/>
    <x v="0"/>
    <n v="5"/>
    <s v="Saturday"/>
    <x v="2"/>
    <x v="2"/>
    <n v="0.18"/>
    <x v="1"/>
    <n v="0.21210000000000001"/>
    <s v="Cold"/>
    <n v="0.86"/>
    <x v="0"/>
    <n v="0.1045"/>
    <x v="0"/>
    <x v="3"/>
    <n v="49"/>
    <n v="49"/>
    <s v="Low Demand"/>
  </r>
  <r>
    <n v="606"/>
    <x v="27"/>
    <x v="0"/>
    <x v="0"/>
    <x v="0"/>
    <x v="11"/>
    <x v="1"/>
    <x v="0"/>
    <n v="5"/>
    <s v="Saturday"/>
    <x v="2"/>
    <x v="2"/>
    <n v="0.18"/>
    <x v="1"/>
    <n v="0.21210000000000001"/>
    <s v="Cold"/>
    <n v="0.93"/>
    <x v="0"/>
    <n v="0.1045"/>
    <x v="0"/>
    <x v="3"/>
    <n v="30"/>
    <n v="30"/>
    <s v="Low Demand"/>
  </r>
  <r>
    <n v="607"/>
    <x v="27"/>
    <x v="0"/>
    <x v="0"/>
    <x v="0"/>
    <x v="12"/>
    <x v="2"/>
    <x v="0"/>
    <n v="5"/>
    <s v="Saturday"/>
    <x v="2"/>
    <x v="2"/>
    <n v="0.18"/>
    <x v="1"/>
    <n v="0.21210000000000001"/>
    <s v="Cold"/>
    <n v="0.93"/>
    <x v="0"/>
    <n v="0.1045"/>
    <x v="0"/>
    <x v="5"/>
    <n v="28"/>
    <n v="29"/>
    <s v="Low Demand"/>
  </r>
  <r>
    <n v="608"/>
    <x v="27"/>
    <x v="0"/>
    <x v="0"/>
    <x v="0"/>
    <x v="13"/>
    <x v="2"/>
    <x v="0"/>
    <n v="5"/>
    <s v="Saturday"/>
    <x v="2"/>
    <x v="2"/>
    <n v="0.18"/>
    <x v="1"/>
    <n v="0.21210000000000001"/>
    <s v="Cold"/>
    <n v="0.93"/>
    <x v="0"/>
    <n v="0.1045"/>
    <x v="0"/>
    <x v="3"/>
    <n v="31"/>
    <n v="31"/>
    <s v="Low Demand"/>
  </r>
  <r>
    <n v="609"/>
    <x v="27"/>
    <x v="0"/>
    <x v="0"/>
    <x v="0"/>
    <x v="14"/>
    <x v="2"/>
    <x v="0"/>
    <n v="5"/>
    <s v="Saturday"/>
    <x v="2"/>
    <x v="2"/>
    <n v="0.22"/>
    <x v="0"/>
    <n v="0.2727"/>
    <s v="Cold"/>
    <n v="0.8"/>
    <x v="0"/>
    <n v="0"/>
    <x v="0"/>
    <x v="4"/>
    <n v="36"/>
    <n v="38"/>
    <s v="Low Demand"/>
  </r>
  <r>
    <n v="610"/>
    <x v="27"/>
    <x v="0"/>
    <x v="0"/>
    <x v="0"/>
    <x v="15"/>
    <x v="2"/>
    <x v="0"/>
    <n v="5"/>
    <s v="Saturday"/>
    <x v="1"/>
    <x v="1"/>
    <n v="0.2"/>
    <x v="1"/>
    <n v="0.2576"/>
    <s v="Cold"/>
    <n v="0.86"/>
    <x v="0"/>
    <n v="0"/>
    <x v="0"/>
    <x v="5"/>
    <n v="40"/>
    <n v="41"/>
    <s v="Low Demand"/>
  </r>
  <r>
    <n v="611"/>
    <x v="27"/>
    <x v="0"/>
    <x v="0"/>
    <x v="0"/>
    <x v="16"/>
    <x v="2"/>
    <x v="0"/>
    <n v="5"/>
    <s v="Saturday"/>
    <x v="0"/>
    <x v="0"/>
    <n v="0.22"/>
    <x v="0"/>
    <n v="0.2273"/>
    <s v="Cold"/>
    <n v="0.8"/>
    <x v="0"/>
    <n v="0"/>
    <x v="0"/>
    <x v="22"/>
    <n v="70"/>
    <n v="80"/>
    <s v="Medium Demand"/>
  </r>
  <r>
    <n v="612"/>
    <x v="27"/>
    <x v="0"/>
    <x v="0"/>
    <x v="0"/>
    <x v="17"/>
    <x v="2"/>
    <x v="0"/>
    <n v="5"/>
    <s v="Saturday"/>
    <x v="0"/>
    <x v="0"/>
    <n v="0.22"/>
    <x v="0"/>
    <n v="0.2273"/>
    <s v="Cold"/>
    <n v="0.75"/>
    <x v="1"/>
    <n v="0.1343"/>
    <x v="0"/>
    <x v="4"/>
    <n v="147"/>
    <n v="149"/>
    <s v="Medium Demand"/>
  </r>
  <r>
    <n v="613"/>
    <x v="27"/>
    <x v="0"/>
    <x v="0"/>
    <x v="0"/>
    <x v="18"/>
    <x v="3"/>
    <x v="0"/>
    <n v="5"/>
    <s v="Saturday"/>
    <x v="0"/>
    <x v="0"/>
    <n v="0.2"/>
    <x v="1"/>
    <n v="0.21210000000000001"/>
    <s v="Cold"/>
    <n v="0.75"/>
    <x v="1"/>
    <n v="0.19400000000000001"/>
    <x v="1"/>
    <x v="4"/>
    <n v="107"/>
    <n v="109"/>
    <s v="Medium Demand"/>
  </r>
  <r>
    <n v="614"/>
    <x v="27"/>
    <x v="0"/>
    <x v="0"/>
    <x v="0"/>
    <x v="19"/>
    <x v="3"/>
    <x v="0"/>
    <n v="5"/>
    <s v="Saturday"/>
    <x v="1"/>
    <x v="1"/>
    <n v="0.16"/>
    <x v="1"/>
    <n v="0.18179999999999999"/>
    <s v="Cold"/>
    <n v="0.75"/>
    <x v="1"/>
    <n v="0.1343"/>
    <x v="0"/>
    <x v="2"/>
    <n v="84"/>
    <n v="89"/>
    <s v="Medium Demand"/>
  </r>
  <r>
    <n v="615"/>
    <x v="27"/>
    <x v="0"/>
    <x v="0"/>
    <x v="0"/>
    <x v="20"/>
    <x v="3"/>
    <x v="0"/>
    <n v="5"/>
    <s v="Saturday"/>
    <x v="1"/>
    <x v="1"/>
    <n v="0.16"/>
    <x v="1"/>
    <n v="0.18179999999999999"/>
    <s v="Cold"/>
    <n v="0.7"/>
    <x v="1"/>
    <n v="0.19400000000000001"/>
    <x v="1"/>
    <x v="5"/>
    <n v="61"/>
    <n v="62"/>
    <s v="Low Demand"/>
  </r>
  <r>
    <n v="616"/>
    <x v="27"/>
    <x v="0"/>
    <x v="0"/>
    <x v="0"/>
    <x v="21"/>
    <x v="3"/>
    <x v="0"/>
    <n v="5"/>
    <s v="Saturday"/>
    <x v="1"/>
    <x v="1"/>
    <n v="0.16"/>
    <x v="1"/>
    <n v="0.18179999999999999"/>
    <s v="Cold"/>
    <n v="0.75"/>
    <x v="1"/>
    <n v="0.1343"/>
    <x v="0"/>
    <x v="5"/>
    <n v="57"/>
    <n v="58"/>
    <s v="Low Demand"/>
  </r>
  <r>
    <n v="617"/>
    <x v="27"/>
    <x v="0"/>
    <x v="0"/>
    <x v="0"/>
    <x v="22"/>
    <x v="3"/>
    <x v="0"/>
    <n v="5"/>
    <s v="Saturday"/>
    <x v="0"/>
    <x v="0"/>
    <n v="0.18"/>
    <x v="1"/>
    <n v="0.19700000000000001"/>
    <s v="Cold"/>
    <n v="0.65"/>
    <x v="1"/>
    <n v="0.35820000000000002"/>
    <x v="2"/>
    <x v="3"/>
    <n v="26"/>
    <n v="26"/>
    <s v="Low Demand"/>
  </r>
  <r>
    <n v="618"/>
    <x v="27"/>
    <x v="0"/>
    <x v="0"/>
    <x v="0"/>
    <x v="23"/>
    <x v="3"/>
    <x v="0"/>
    <n v="5"/>
    <s v="Saturday"/>
    <x v="0"/>
    <x v="0"/>
    <n v="0.18"/>
    <x v="1"/>
    <n v="0.21210000000000001"/>
    <s v="Cold"/>
    <n v="0.6"/>
    <x v="1"/>
    <n v="0.22389999999999999"/>
    <x v="1"/>
    <x v="5"/>
    <n v="22"/>
    <n v="23"/>
    <s v="Low Demand"/>
  </r>
  <r>
    <n v="619"/>
    <x v="28"/>
    <x v="0"/>
    <x v="0"/>
    <x v="0"/>
    <x v="0"/>
    <x v="0"/>
    <x v="0"/>
    <n v="6"/>
    <s v="Sunday"/>
    <x v="0"/>
    <x v="0"/>
    <n v="0.18"/>
    <x v="1"/>
    <n v="0.21210000000000001"/>
    <s v="Cold"/>
    <n v="0.64"/>
    <x v="1"/>
    <n v="0.35820000000000002"/>
    <x v="2"/>
    <x v="4"/>
    <n v="26"/>
    <n v="28"/>
    <s v="Low Demand"/>
  </r>
  <r>
    <n v="620"/>
    <x v="28"/>
    <x v="0"/>
    <x v="0"/>
    <x v="0"/>
    <x v="1"/>
    <x v="0"/>
    <x v="0"/>
    <n v="6"/>
    <s v="Sunday"/>
    <x v="0"/>
    <x v="0"/>
    <n v="0.18"/>
    <x v="1"/>
    <n v="0.19700000000000001"/>
    <s v="Cold"/>
    <n v="0.64"/>
    <x v="1"/>
    <n v="0.19400000000000001"/>
    <x v="1"/>
    <x v="3"/>
    <n v="20"/>
    <n v="20"/>
    <s v="Low Demand"/>
  </r>
  <r>
    <n v="621"/>
    <x v="28"/>
    <x v="0"/>
    <x v="0"/>
    <x v="0"/>
    <x v="2"/>
    <x v="0"/>
    <x v="0"/>
    <n v="6"/>
    <s v="Sunday"/>
    <x v="0"/>
    <x v="0"/>
    <n v="0.2"/>
    <x v="1"/>
    <n v="0.19700000000000001"/>
    <s v="Cold"/>
    <n v="0.64"/>
    <x v="1"/>
    <n v="0.16420000000000001"/>
    <x v="1"/>
    <x v="3"/>
    <n v="15"/>
    <n v="15"/>
    <s v="Low Demand"/>
  </r>
  <r>
    <n v="622"/>
    <x v="28"/>
    <x v="0"/>
    <x v="0"/>
    <x v="0"/>
    <x v="3"/>
    <x v="0"/>
    <x v="0"/>
    <n v="6"/>
    <s v="Sunday"/>
    <x v="0"/>
    <x v="0"/>
    <n v="0.22"/>
    <x v="0"/>
    <n v="0.2273"/>
    <s v="Cold"/>
    <n v="0.64"/>
    <x v="1"/>
    <n v="0.1343"/>
    <x v="0"/>
    <x v="0"/>
    <n v="5"/>
    <n v="8"/>
    <s v="Low Demand"/>
  </r>
  <r>
    <n v="623"/>
    <x v="28"/>
    <x v="0"/>
    <x v="0"/>
    <x v="0"/>
    <x v="4"/>
    <x v="0"/>
    <x v="0"/>
    <n v="6"/>
    <s v="Sunday"/>
    <x v="0"/>
    <x v="0"/>
    <n v="0.22"/>
    <x v="0"/>
    <n v="0.2273"/>
    <s v="Cold"/>
    <n v="0.69"/>
    <x v="1"/>
    <n v="0.1045"/>
    <x v="0"/>
    <x v="5"/>
    <n v="2"/>
    <n v="3"/>
    <s v="Low Demand"/>
  </r>
  <r>
    <n v="624"/>
    <x v="28"/>
    <x v="0"/>
    <x v="0"/>
    <x v="0"/>
    <x v="6"/>
    <x v="1"/>
    <x v="0"/>
    <n v="6"/>
    <s v="Sunday"/>
    <x v="0"/>
    <x v="0"/>
    <n v="0.22"/>
    <x v="0"/>
    <n v="0.21210000000000001"/>
    <s v="Cold"/>
    <n v="0.64"/>
    <x v="1"/>
    <n v="0.1343"/>
    <x v="0"/>
    <x v="3"/>
    <n v="2"/>
    <n v="2"/>
    <s v="Low Demand"/>
  </r>
  <r>
    <n v="625"/>
    <x v="28"/>
    <x v="0"/>
    <x v="0"/>
    <x v="0"/>
    <x v="7"/>
    <x v="1"/>
    <x v="0"/>
    <n v="6"/>
    <s v="Sunday"/>
    <x v="0"/>
    <x v="0"/>
    <n v="0.24"/>
    <x v="0"/>
    <n v="0.2424"/>
    <s v="Cold"/>
    <n v="0.59"/>
    <x v="1"/>
    <n v="0.1045"/>
    <x v="0"/>
    <x v="5"/>
    <n v="4"/>
    <n v="5"/>
    <s v="Low Demand"/>
  </r>
  <r>
    <n v="626"/>
    <x v="28"/>
    <x v="0"/>
    <x v="0"/>
    <x v="0"/>
    <x v="8"/>
    <x v="1"/>
    <x v="0"/>
    <n v="6"/>
    <s v="Sunday"/>
    <x v="0"/>
    <x v="0"/>
    <n v="0.24"/>
    <x v="0"/>
    <n v="0.28789999999999999"/>
    <s v="Cold"/>
    <n v="0.55000000000000004"/>
    <x v="1"/>
    <n v="0.16420000000000001"/>
    <x v="1"/>
    <x v="0"/>
    <n v="31"/>
    <n v="34"/>
    <s v="Low Demand"/>
  </r>
  <r>
    <n v="627"/>
    <x v="28"/>
    <x v="0"/>
    <x v="0"/>
    <x v="0"/>
    <x v="9"/>
    <x v="1"/>
    <x v="0"/>
    <n v="6"/>
    <s v="Sunday"/>
    <x v="0"/>
    <x v="0"/>
    <n v="0.22"/>
    <x v="0"/>
    <n v="0.2273"/>
    <s v="Cold"/>
    <n v="0.59"/>
    <x v="1"/>
    <n v="8.9599999999999999E-2"/>
    <x v="0"/>
    <x v="3"/>
    <n v="34"/>
    <n v="34"/>
    <s v="Low Demand"/>
  </r>
  <r>
    <n v="628"/>
    <x v="28"/>
    <x v="0"/>
    <x v="0"/>
    <x v="0"/>
    <x v="10"/>
    <x v="1"/>
    <x v="0"/>
    <n v="6"/>
    <s v="Sunday"/>
    <x v="1"/>
    <x v="1"/>
    <n v="0.22"/>
    <x v="0"/>
    <n v="0.21210000000000001"/>
    <s v="Cold"/>
    <n v="0.64"/>
    <x v="1"/>
    <n v="0.1045"/>
    <x v="0"/>
    <x v="17"/>
    <n v="51"/>
    <n v="55"/>
    <s v="Low Demand"/>
  </r>
  <r>
    <n v="629"/>
    <x v="28"/>
    <x v="0"/>
    <x v="0"/>
    <x v="0"/>
    <x v="11"/>
    <x v="1"/>
    <x v="0"/>
    <n v="6"/>
    <s v="Sunday"/>
    <x v="1"/>
    <x v="1"/>
    <n v="0.18"/>
    <x v="1"/>
    <n v="0.21210000000000001"/>
    <s v="Cold"/>
    <n v="0.64"/>
    <x v="1"/>
    <n v="0.1343"/>
    <x v="0"/>
    <x v="17"/>
    <n v="60"/>
    <n v="64"/>
    <s v="Low Demand"/>
  </r>
  <r>
    <n v="630"/>
    <x v="28"/>
    <x v="0"/>
    <x v="0"/>
    <x v="0"/>
    <x v="12"/>
    <x v="2"/>
    <x v="0"/>
    <n v="6"/>
    <s v="Sunday"/>
    <x v="1"/>
    <x v="1"/>
    <n v="0.18"/>
    <x v="1"/>
    <n v="0.21210000000000001"/>
    <s v="Cold"/>
    <n v="0.59"/>
    <x v="1"/>
    <n v="0.19400000000000001"/>
    <x v="1"/>
    <x v="6"/>
    <n v="66"/>
    <n v="78"/>
    <s v="Medium Demand"/>
  </r>
  <r>
    <n v="631"/>
    <x v="28"/>
    <x v="0"/>
    <x v="0"/>
    <x v="0"/>
    <x v="13"/>
    <x v="2"/>
    <x v="0"/>
    <n v="6"/>
    <s v="Sunday"/>
    <x v="1"/>
    <x v="1"/>
    <n v="0.16"/>
    <x v="1"/>
    <n v="0.19700000000000001"/>
    <s v="Cold"/>
    <n v="0.55000000000000004"/>
    <x v="1"/>
    <n v="0.16420000000000001"/>
    <x v="1"/>
    <x v="14"/>
    <n v="56"/>
    <n v="65"/>
    <s v="Low Demand"/>
  </r>
  <r>
    <n v="632"/>
    <x v="28"/>
    <x v="0"/>
    <x v="0"/>
    <x v="0"/>
    <x v="14"/>
    <x v="2"/>
    <x v="0"/>
    <n v="6"/>
    <s v="Sunday"/>
    <x v="1"/>
    <x v="1"/>
    <n v="0.16"/>
    <x v="1"/>
    <n v="0.19700000000000001"/>
    <s v="Cold"/>
    <n v="0.6"/>
    <x v="1"/>
    <n v="0.1343"/>
    <x v="0"/>
    <x v="22"/>
    <n v="89"/>
    <n v="99"/>
    <s v="Medium Demand"/>
  </r>
  <r>
    <n v="633"/>
    <x v="28"/>
    <x v="0"/>
    <x v="0"/>
    <x v="0"/>
    <x v="15"/>
    <x v="2"/>
    <x v="0"/>
    <n v="6"/>
    <s v="Sunday"/>
    <x v="0"/>
    <x v="0"/>
    <n v="0.16"/>
    <x v="1"/>
    <n v="0.18179999999999999"/>
    <s v="Cold"/>
    <n v="0.69"/>
    <x v="1"/>
    <n v="0.25369999999999998"/>
    <x v="1"/>
    <x v="30"/>
    <n v="98"/>
    <n v="120"/>
    <s v="Medium Demand"/>
  </r>
  <r>
    <n v="634"/>
    <x v="28"/>
    <x v="0"/>
    <x v="0"/>
    <x v="0"/>
    <x v="16"/>
    <x v="2"/>
    <x v="0"/>
    <n v="6"/>
    <s v="Sunday"/>
    <x v="0"/>
    <x v="0"/>
    <n v="0.14000000000000001"/>
    <x v="1"/>
    <n v="0.21210000000000001"/>
    <s v="Cold"/>
    <n v="0.6"/>
    <x v="1"/>
    <n v="0.16420000000000001"/>
    <x v="1"/>
    <x v="21"/>
    <n v="88"/>
    <n v="107"/>
    <s v="Medium Demand"/>
  </r>
  <r>
    <n v="635"/>
    <x v="28"/>
    <x v="0"/>
    <x v="0"/>
    <x v="0"/>
    <x v="17"/>
    <x v="2"/>
    <x v="0"/>
    <n v="6"/>
    <s v="Sunday"/>
    <x v="0"/>
    <x v="0"/>
    <n v="0.16"/>
    <x v="1"/>
    <n v="0.2273"/>
    <s v="Cold"/>
    <n v="0.6"/>
    <x v="1"/>
    <n v="0"/>
    <x v="0"/>
    <x v="14"/>
    <n v="82"/>
    <n v="91"/>
    <s v="Medium Demand"/>
  </r>
  <r>
    <n v="636"/>
    <x v="28"/>
    <x v="0"/>
    <x v="0"/>
    <x v="0"/>
    <x v="18"/>
    <x v="3"/>
    <x v="0"/>
    <n v="6"/>
    <s v="Sunday"/>
    <x v="0"/>
    <x v="0"/>
    <n v="0.14000000000000001"/>
    <x v="1"/>
    <n v="0.21210000000000001"/>
    <s v="Cold"/>
    <n v="0.69"/>
    <x v="1"/>
    <n v="0.1343"/>
    <x v="0"/>
    <x v="14"/>
    <n v="59"/>
    <n v="68"/>
    <s v="Low Demand"/>
  </r>
  <r>
    <n v="637"/>
    <x v="28"/>
    <x v="0"/>
    <x v="0"/>
    <x v="0"/>
    <x v="19"/>
    <x v="3"/>
    <x v="0"/>
    <n v="6"/>
    <s v="Sunday"/>
    <x v="1"/>
    <x v="1"/>
    <n v="0.14000000000000001"/>
    <x v="1"/>
    <n v="0.21210000000000001"/>
    <s v="Cold"/>
    <n v="0.69"/>
    <x v="1"/>
    <n v="0.25369999999999998"/>
    <x v="1"/>
    <x v="15"/>
    <n v="52"/>
    <n v="58"/>
    <s v="Low Demand"/>
  </r>
  <r>
    <n v="638"/>
    <x v="28"/>
    <x v="0"/>
    <x v="0"/>
    <x v="0"/>
    <x v="20"/>
    <x v="3"/>
    <x v="0"/>
    <n v="6"/>
    <s v="Sunday"/>
    <x v="0"/>
    <x v="0"/>
    <n v="0.14000000000000001"/>
    <x v="1"/>
    <n v="0.21210000000000001"/>
    <s v="Cold"/>
    <n v="0.74"/>
    <x v="1"/>
    <n v="8.9599999999999999E-2"/>
    <x v="0"/>
    <x v="5"/>
    <n v="42"/>
    <n v="43"/>
    <s v="Low Demand"/>
  </r>
  <r>
    <n v="639"/>
    <x v="28"/>
    <x v="0"/>
    <x v="0"/>
    <x v="0"/>
    <x v="21"/>
    <x v="3"/>
    <x v="0"/>
    <n v="6"/>
    <s v="Sunday"/>
    <x v="0"/>
    <x v="0"/>
    <n v="0.14000000000000001"/>
    <x v="1"/>
    <n v="0.21210000000000001"/>
    <s v="Cold"/>
    <n v="0.74"/>
    <x v="1"/>
    <n v="8.9599999999999999E-2"/>
    <x v="0"/>
    <x v="5"/>
    <n v="35"/>
    <n v="36"/>
    <s v="Low Demand"/>
  </r>
  <r>
    <n v="640"/>
    <x v="28"/>
    <x v="0"/>
    <x v="0"/>
    <x v="0"/>
    <x v="22"/>
    <x v="3"/>
    <x v="0"/>
    <n v="6"/>
    <s v="Sunday"/>
    <x v="0"/>
    <x v="0"/>
    <n v="0.14000000000000001"/>
    <x v="1"/>
    <n v="0.21210000000000001"/>
    <s v="Cold"/>
    <n v="0.8"/>
    <x v="0"/>
    <n v="8.9599999999999999E-2"/>
    <x v="0"/>
    <x v="17"/>
    <n v="28"/>
    <n v="32"/>
    <s v="Low Demand"/>
  </r>
  <r>
    <n v="641"/>
    <x v="28"/>
    <x v="0"/>
    <x v="0"/>
    <x v="0"/>
    <x v="23"/>
    <x v="3"/>
    <x v="0"/>
    <n v="6"/>
    <s v="Sunday"/>
    <x v="0"/>
    <x v="0"/>
    <n v="0.16"/>
    <x v="1"/>
    <n v="0.2273"/>
    <s v="Cold"/>
    <n v="0.8"/>
    <x v="0"/>
    <n v="8.9599999999999999E-2"/>
    <x v="0"/>
    <x v="0"/>
    <n v="30"/>
    <n v="33"/>
    <s v="Low Demand"/>
  </r>
  <r>
    <n v="642"/>
    <x v="29"/>
    <x v="0"/>
    <x v="0"/>
    <x v="0"/>
    <x v="0"/>
    <x v="0"/>
    <x v="0"/>
    <n v="0"/>
    <s v="Monday"/>
    <x v="0"/>
    <x v="0"/>
    <n v="0.18"/>
    <x v="1"/>
    <n v="0.2424"/>
    <s v="Cold"/>
    <n v="0.8"/>
    <x v="0"/>
    <n v="0.1045"/>
    <x v="0"/>
    <x v="3"/>
    <n v="33"/>
    <n v="33"/>
    <s v="Low Demand"/>
  </r>
  <r>
    <n v="643"/>
    <x v="29"/>
    <x v="0"/>
    <x v="0"/>
    <x v="0"/>
    <x v="1"/>
    <x v="0"/>
    <x v="0"/>
    <n v="0"/>
    <s v="Monday"/>
    <x v="0"/>
    <x v="0"/>
    <n v="0.22"/>
    <x v="0"/>
    <n v="0.2727"/>
    <s v="Cold"/>
    <n v="0.8"/>
    <x v="0"/>
    <n v="0"/>
    <x v="0"/>
    <x v="18"/>
    <n v="22"/>
    <n v="29"/>
    <s v="Low Demand"/>
  </r>
  <r>
    <n v="644"/>
    <x v="29"/>
    <x v="0"/>
    <x v="0"/>
    <x v="0"/>
    <x v="2"/>
    <x v="0"/>
    <x v="0"/>
    <n v="0"/>
    <s v="Monday"/>
    <x v="0"/>
    <x v="0"/>
    <n v="0.3"/>
    <x v="0"/>
    <n v="0.31819999999999998"/>
    <s v="Pleasant"/>
    <n v="0.8"/>
    <x v="0"/>
    <n v="0"/>
    <x v="0"/>
    <x v="5"/>
    <n v="10"/>
    <n v="11"/>
    <s v="Low Demand"/>
  </r>
  <r>
    <n v="645"/>
    <x v="29"/>
    <x v="0"/>
    <x v="0"/>
    <x v="0"/>
    <x v="3"/>
    <x v="0"/>
    <x v="0"/>
    <n v="0"/>
    <s v="Monday"/>
    <x v="0"/>
    <x v="0"/>
    <n v="0.28000000000000003"/>
    <x v="0"/>
    <n v="0.28789999999999999"/>
    <s v="Cold"/>
    <n v="0.93"/>
    <x v="0"/>
    <n v="0"/>
    <x v="0"/>
    <x v="5"/>
    <n v="7"/>
    <n v="8"/>
    <s v="Low Demand"/>
  </r>
  <r>
    <n v="646"/>
    <x v="29"/>
    <x v="0"/>
    <x v="0"/>
    <x v="0"/>
    <x v="4"/>
    <x v="0"/>
    <x v="0"/>
    <n v="0"/>
    <s v="Monday"/>
    <x v="0"/>
    <x v="0"/>
    <n v="0.28000000000000003"/>
    <x v="0"/>
    <n v="0.30299999999999999"/>
    <s v="Pleasant"/>
    <n v="0.93"/>
    <x v="0"/>
    <n v="0"/>
    <x v="0"/>
    <x v="3"/>
    <n v="1"/>
    <n v="1"/>
    <s v="Low Demand"/>
  </r>
  <r>
    <n v="647"/>
    <x v="29"/>
    <x v="0"/>
    <x v="0"/>
    <x v="0"/>
    <x v="5"/>
    <x v="0"/>
    <x v="0"/>
    <n v="0"/>
    <s v="Monday"/>
    <x v="0"/>
    <x v="0"/>
    <n v="0.3"/>
    <x v="0"/>
    <n v="0.33329999999999999"/>
    <s v="Pleasant"/>
    <n v="0.86"/>
    <x v="0"/>
    <n v="0"/>
    <x v="0"/>
    <x v="3"/>
    <n v="3"/>
    <n v="3"/>
    <s v="Low Demand"/>
  </r>
  <r>
    <n v="648"/>
    <x v="29"/>
    <x v="0"/>
    <x v="0"/>
    <x v="0"/>
    <x v="7"/>
    <x v="1"/>
    <x v="0"/>
    <n v="0"/>
    <s v="Monday"/>
    <x v="0"/>
    <x v="0"/>
    <n v="0.3"/>
    <x v="0"/>
    <n v="0.33329999999999999"/>
    <s v="Pleasant"/>
    <n v="0.86"/>
    <x v="0"/>
    <n v="0"/>
    <x v="0"/>
    <x v="3"/>
    <n v="3"/>
    <n v="3"/>
    <s v="Low Demand"/>
  </r>
  <r>
    <n v="649"/>
    <x v="29"/>
    <x v="0"/>
    <x v="0"/>
    <x v="0"/>
    <x v="8"/>
    <x v="1"/>
    <x v="0"/>
    <n v="0"/>
    <s v="Monday"/>
    <x v="1"/>
    <x v="1"/>
    <n v="0.3"/>
    <x v="0"/>
    <n v="0.28789999999999999"/>
    <s v="Cold"/>
    <n v="0.86"/>
    <x v="0"/>
    <n v="0"/>
    <x v="0"/>
    <x v="5"/>
    <n v="11"/>
    <n v="12"/>
    <s v="Low Demand"/>
  </r>
  <r>
    <n v="650"/>
    <x v="29"/>
    <x v="0"/>
    <x v="0"/>
    <x v="0"/>
    <x v="9"/>
    <x v="1"/>
    <x v="0"/>
    <n v="0"/>
    <s v="Monday"/>
    <x v="1"/>
    <x v="1"/>
    <n v="0.26"/>
    <x v="0"/>
    <n v="0.2576"/>
    <s v="Cold"/>
    <n v="0.8"/>
    <x v="0"/>
    <n v="0"/>
    <x v="0"/>
    <x v="17"/>
    <n v="34"/>
    <n v="38"/>
    <s v="Low Demand"/>
  </r>
  <r>
    <n v="651"/>
    <x v="29"/>
    <x v="0"/>
    <x v="0"/>
    <x v="0"/>
    <x v="10"/>
    <x v="1"/>
    <x v="0"/>
    <n v="0"/>
    <s v="Monday"/>
    <x v="1"/>
    <x v="1"/>
    <n v="0.26"/>
    <x v="0"/>
    <n v="0.2576"/>
    <s v="Cold"/>
    <n v="0.8"/>
    <x v="0"/>
    <n v="0"/>
    <x v="0"/>
    <x v="18"/>
    <n v="57"/>
    <n v="64"/>
    <s v="Low Demand"/>
  </r>
  <r>
    <n v="652"/>
    <x v="29"/>
    <x v="0"/>
    <x v="0"/>
    <x v="0"/>
    <x v="11"/>
    <x v="1"/>
    <x v="0"/>
    <n v="0"/>
    <s v="Monday"/>
    <x v="0"/>
    <x v="0"/>
    <n v="0.26"/>
    <x v="0"/>
    <n v="0.2727"/>
    <s v="Cold"/>
    <n v="0.75"/>
    <x v="1"/>
    <n v="0"/>
    <x v="0"/>
    <x v="14"/>
    <n v="50"/>
    <n v="59"/>
    <s v="Low Demand"/>
  </r>
  <r>
    <n v="653"/>
    <x v="29"/>
    <x v="0"/>
    <x v="0"/>
    <x v="0"/>
    <x v="12"/>
    <x v="2"/>
    <x v="0"/>
    <n v="0"/>
    <s v="Monday"/>
    <x v="0"/>
    <x v="0"/>
    <n v="0.24"/>
    <x v="0"/>
    <n v="0.2424"/>
    <s v="Cold"/>
    <n v="0.52"/>
    <x v="1"/>
    <n v="0.1045"/>
    <x v="0"/>
    <x v="22"/>
    <n v="87"/>
    <n v="97"/>
    <s v="Medium Demand"/>
  </r>
  <r>
    <n v="654"/>
    <x v="29"/>
    <x v="0"/>
    <x v="0"/>
    <x v="0"/>
    <x v="13"/>
    <x v="2"/>
    <x v="0"/>
    <n v="0"/>
    <s v="Monday"/>
    <x v="0"/>
    <x v="0"/>
    <n v="0.24"/>
    <x v="0"/>
    <n v="0.2273"/>
    <s v="Cold"/>
    <n v="0.61"/>
    <x v="1"/>
    <n v="0.1045"/>
    <x v="0"/>
    <x v="23"/>
    <n v="71"/>
    <n v="84"/>
    <s v="Medium Demand"/>
  </r>
  <r>
    <n v="655"/>
    <x v="29"/>
    <x v="0"/>
    <x v="0"/>
    <x v="0"/>
    <x v="14"/>
    <x v="2"/>
    <x v="0"/>
    <n v="0"/>
    <s v="Monday"/>
    <x v="0"/>
    <x v="0"/>
    <n v="0.24"/>
    <x v="0"/>
    <n v="0.21210000000000001"/>
    <s v="Cold"/>
    <n v="0.61"/>
    <x v="1"/>
    <n v="8.9599999999999999E-2"/>
    <x v="0"/>
    <x v="25"/>
    <n v="104"/>
    <n v="122"/>
    <s v="Medium Demand"/>
  </r>
  <r>
    <n v="656"/>
    <x v="29"/>
    <x v="0"/>
    <x v="0"/>
    <x v="0"/>
    <x v="15"/>
    <x v="2"/>
    <x v="0"/>
    <n v="0"/>
    <s v="Monday"/>
    <x v="0"/>
    <x v="0"/>
    <n v="0.24"/>
    <x v="0"/>
    <n v="0.2273"/>
    <s v="Cold"/>
    <n v="0.56000000000000005"/>
    <x v="1"/>
    <n v="0"/>
    <x v="0"/>
    <x v="24"/>
    <n v="95"/>
    <n v="109"/>
    <s v="Medium Demand"/>
  </r>
  <r>
    <n v="657"/>
    <x v="29"/>
    <x v="0"/>
    <x v="0"/>
    <x v="0"/>
    <x v="16"/>
    <x v="2"/>
    <x v="0"/>
    <n v="0"/>
    <s v="Monday"/>
    <x v="0"/>
    <x v="0"/>
    <n v="0.22"/>
    <x v="0"/>
    <n v="0.21210000000000001"/>
    <s v="Cold"/>
    <n v="0.56000000000000005"/>
    <x v="1"/>
    <n v="0"/>
    <x v="0"/>
    <x v="21"/>
    <n v="104"/>
    <n v="123"/>
    <s v="Medium Demand"/>
  </r>
  <r>
    <n v="658"/>
    <x v="29"/>
    <x v="0"/>
    <x v="0"/>
    <x v="0"/>
    <x v="17"/>
    <x v="2"/>
    <x v="0"/>
    <n v="0"/>
    <s v="Monday"/>
    <x v="0"/>
    <x v="0"/>
    <n v="0.22"/>
    <x v="0"/>
    <n v="0.2273"/>
    <s v="Cold"/>
    <n v="0.56000000000000005"/>
    <x v="1"/>
    <n v="0.19400000000000001"/>
    <x v="1"/>
    <x v="15"/>
    <n v="71"/>
    <n v="77"/>
    <s v="Medium Demand"/>
  </r>
  <r>
    <n v="659"/>
    <x v="29"/>
    <x v="0"/>
    <x v="0"/>
    <x v="0"/>
    <x v="18"/>
    <x v="3"/>
    <x v="0"/>
    <n v="0"/>
    <s v="Monday"/>
    <x v="0"/>
    <x v="0"/>
    <n v="0.22"/>
    <x v="0"/>
    <n v="0.2273"/>
    <s v="Cold"/>
    <n v="0.65"/>
    <x v="1"/>
    <n v="0.16420000000000001"/>
    <x v="1"/>
    <x v="1"/>
    <n v="57"/>
    <n v="65"/>
    <s v="Low Demand"/>
  </r>
  <r>
    <n v="660"/>
    <x v="29"/>
    <x v="0"/>
    <x v="0"/>
    <x v="0"/>
    <x v="19"/>
    <x v="3"/>
    <x v="0"/>
    <n v="0"/>
    <s v="Monday"/>
    <x v="0"/>
    <x v="0"/>
    <n v="0.2"/>
    <x v="1"/>
    <n v="0.19700000000000001"/>
    <s v="Cold"/>
    <n v="0.65"/>
    <x v="1"/>
    <n v="0.19400000000000001"/>
    <x v="1"/>
    <x v="14"/>
    <n v="46"/>
    <n v="55"/>
    <s v="Low Demand"/>
  </r>
  <r>
    <n v="661"/>
    <x v="29"/>
    <x v="0"/>
    <x v="0"/>
    <x v="0"/>
    <x v="20"/>
    <x v="3"/>
    <x v="0"/>
    <n v="0"/>
    <s v="Monday"/>
    <x v="1"/>
    <x v="1"/>
    <n v="0.18"/>
    <x v="1"/>
    <n v="0.16669999999999999"/>
    <s v="Cold"/>
    <n v="0.65"/>
    <x v="1"/>
    <n v="0.1045"/>
    <x v="0"/>
    <x v="0"/>
    <n v="30"/>
    <n v="33"/>
    <s v="Low Demand"/>
  </r>
  <r>
    <n v="662"/>
    <x v="29"/>
    <x v="0"/>
    <x v="0"/>
    <x v="0"/>
    <x v="21"/>
    <x v="3"/>
    <x v="0"/>
    <n v="0"/>
    <s v="Monday"/>
    <x v="1"/>
    <x v="1"/>
    <n v="0.16"/>
    <x v="1"/>
    <n v="0.13639999999999999"/>
    <s v="Very Cold"/>
    <n v="0.7"/>
    <x v="1"/>
    <n v="0.16420000000000001"/>
    <x v="1"/>
    <x v="0"/>
    <n v="25"/>
    <n v="28"/>
    <s v="Low Demand"/>
  </r>
  <r>
    <n v="663"/>
    <x v="29"/>
    <x v="0"/>
    <x v="0"/>
    <x v="0"/>
    <x v="22"/>
    <x v="3"/>
    <x v="0"/>
    <n v="0"/>
    <s v="Monday"/>
    <x v="1"/>
    <x v="1"/>
    <n v="0.16"/>
    <x v="1"/>
    <n v="0.13639999999999999"/>
    <s v="Very Cold"/>
    <n v="0.7"/>
    <x v="1"/>
    <n v="0.19400000000000001"/>
    <x v="1"/>
    <x v="4"/>
    <n v="19"/>
    <n v="21"/>
    <s v="Low Demand"/>
  </r>
  <r>
    <n v="664"/>
    <x v="29"/>
    <x v="0"/>
    <x v="0"/>
    <x v="0"/>
    <x v="23"/>
    <x v="3"/>
    <x v="0"/>
    <n v="0"/>
    <s v="Monday"/>
    <x v="1"/>
    <x v="1"/>
    <n v="0.16"/>
    <x v="1"/>
    <n v="0.13639999999999999"/>
    <s v="Very Cold"/>
    <n v="0.65"/>
    <x v="1"/>
    <n v="0.28360000000000002"/>
    <x v="1"/>
    <x v="2"/>
    <n v="16"/>
    <n v="21"/>
    <s v="Low Demand"/>
  </r>
  <r>
    <n v="665"/>
    <x v="30"/>
    <x v="0"/>
    <x v="0"/>
    <x v="0"/>
    <x v="0"/>
    <x v="0"/>
    <x v="0"/>
    <n v="1"/>
    <s v="Tuesday"/>
    <x v="1"/>
    <x v="1"/>
    <n v="0.16"/>
    <x v="1"/>
    <n v="0.13639999999999999"/>
    <s v="Very Cold"/>
    <n v="0.65"/>
    <x v="1"/>
    <n v="0.22389999999999999"/>
    <x v="1"/>
    <x v="5"/>
    <n v="6"/>
    <n v="7"/>
    <s v="Low Demand"/>
  </r>
  <r>
    <n v="666"/>
    <x v="30"/>
    <x v="0"/>
    <x v="0"/>
    <x v="0"/>
    <x v="1"/>
    <x v="0"/>
    <x v="0"/>
    <n v="1"/>
    <s v="Tuesday"/>
    <x v="0"/>
    <x v="0"/>
    <n v="0.16"/>
    <x v="1"/>
    <n v="0.1515"/>
    <s v="Cold"/>
    <n v="0.64"/>
    <x v="1"/>
    <n v="0.25369999999999998"/>
    <x v="1"/>
    <x v="4"/>
    <n v="5"/>
    <n v="7"/>
    <s v="Low Demand"/>
  </r>
  <r>
    <n v="667"/>
    <x v="30"/>
    <x v="0"/>
    <x v="0"/>
    <x v="0"/>
    <x v="2"/>
    <x v="0"/>
    <x v="0"/>
    <n v="1"/>
    <s v="Tuesday"/>
    <x v="0"/>
    <x v="0"/>
    <n v="0.16"/>
    <x v="1"/>
    <n v="0.1515"/>
    <s v="Cold"/>
    <n v="0.64"/>
    <x v="1"/>
    <n v="0.19400000000000001"/>
    <x v="1"/>
    <x v="3"/>
    <n v="1"/>
    <n v="1"/>
    <s v="Low Demand"/>
  </r>
  <r>
    <n v="668"/>
    <x v="30"/>
    <x v="0"/>
    <x v="0"/>
    <x v="0"/>
    <x v="3"/>
    <x v="0"/>
    <x v="0"/>
    <n v="1"/>
    <s v="Tuesday"/>
    <x v="0"/>
    <x v="0"/>
    <n v="0.18"/>
    <x v="1"/>
    <n v="0.21210000000000001"/>
    <s v="Cold"/>
    <n v="0.64"/>
    <x v="1"/>
    <n v="0.19400000000000001"/>
    <x v="1"/>
    <x v="3"/>
    <n v="2"/>
    <n v="2"/>
    <s v="Low Demand"/>
  </r>
  <r>
    <n v="669"/>
    <x v="30"/>
    <x v="0"/>
    <x v="0"/>
    <x v="0"/>
    <x v="4"/>
    <x v="0"/>
    <x v="0"/>
    <n v="1"/>
    <s v="Tuesday"/>
    <x v="0"/>
    <x v="0"/>
    <n v="0.16"/>
    <x v="1"/>
    <n v="0.2273"/>
    <s v="Cold"/>
    <n v="0.59"/>
    <x v="1"/>
    <n v="0.22389999999999999"/>
    <x v="1"/>
    <x v="3"/>
    <n v="2"/>
    <n v="2"/>
    <s v="Low Demand"/>
  </r>
  <r>
    <n v="670"/>
    <x v="30"/>
    <x v="0"/>
    <x v="0"/>
    <x v="0"/>
    <x v="5"/>
    <x v="0"/>
    <x v="0"/>
    <n v="1"/>
    <s v="Tuesday"/>
    <x v="0"/>
    <x v="0"/>
    <n v="0.18"/>
    <x v="1"/>
    <n v="0.19700000000000001"/>
    <s v="Cold"/>
    <n v="0.64"/>
    <x v="1"/>
    <n v="0.28360000000000002"/>
    <x v="1"/>
    <x v="3"/>
    <n v="8"/>
    <n v="8"/>
    <s v="Low Demand"/>
  </r>
  <r>
    <n v="671"/>
    <x v="30"/>
    <x v="0"/>
    <x v="0"/>
    <x v="0"/>
    <x v="6"/>
    <x v="1"/>
    <x v="0"/>
    <n v="1"/>
    <s v="Tuesday"/>
    <x v="0"/>
    <x v="0"/>
    <n v="0.16"/>
    <x v="1"/>
    <n v="0.18179999999999999"/>
    <s v="Cold"/>
    <n v="0.69"/>
    <x v="1"/>
    <n v="0.32840000000000003"/>
    <x v="2"/>
    <x v="3"/>
    <n v="37"/>
    <n v="37"/>
    <s v="Low Demand"/>
  </r>
  <r>
    <n v="672"/>
    <x v="30"/>
    <x v="0"/>
    <x v="0"/>
    <x v="0"/>
    <x v="7"/>
    <x v="1"/>
    <x v="0"/>
    <n v="1"/>
    <s v="Tuesday"/>
    <x v="1"/>
    <x v="1"/>
    <n v="0.16"/>
    <x v="1"/>
    <n v="0.18179999999999999"/>
    <s v="Cold"/>
    <n v="0.64"/>
    <x v="1"/>
    <n v="0.28360000000000002"/>
    <x v="1"/>
    <x v="5"/>
    <n v="71"/>
    <n v="72"/>
    <s v="Low Demand"/>
  </r>
  <r>
    <n v="673"/>
    <x v="30"/>
    <x v="0"/>
    <x v="0"/>
    <x v="0"/>
    <x v="8"/>
    <x v="1"/>
    <x v="0"/>
    <n v="1"/>
    <s v="Tuesday"/>
    <x v="1"/>
    <x v="1"/>
    <n v="0.16"/>
    <x v="1"/>
    <n v="0.1515"/>
    <s v="Cold"/>
    <n v="0.59"/>
    <x v="1"/>
    <n v="0.28360000000000002"/>
    <x v="1"/>
    <x v="0"/>
    <n v="182"/>
    <n v="185"/>
    <s v="High Demand"/>
  </r>
  <r>
    <n v="674"/>
    <x v="30"/>
    <x v="0"/>
    <x v="0"/>
    <x v="0"/>
    <x v="9"/>
    <x v="1"/>
    <x v="0"/>
    <n v="1"/>
    <s v="Tuesday"/>
    <x v="1"/>
    <x v="1"/>
    <n v="0.16"/>
    <x v="1"/>
    <n v="0.1515"/>
    <s v="Cold"/>
    <n v="0.59"/>
    <x v="1"/>
    <n v="0.29849999999999999"/>
    <x v="1"/>
    <x v="3"/>
    <n v="112"/>
    <n v="112"/>
    <s v="Medium Demand"/>
  </r>
  <r>
    <n v="675"/>
    <x v="30"/>
    <x v="0"/>
    <x v="0"/>
    <x v="0"/>
    <x v="10"/>
    <x v="1"/>
    <x v="0"/>
    <n v="1"/>
    <s v="Tuesday"/>
    <x v="1"/>
    <x v="1"/>
    <n v="0.3"/>
    <x v="0"/>
    <n v="0.31819999999999998"/>
    <s v="Pleasant"/>
    <n v="0.59"/>
    <x v="1"/>
    <n v="0.19400000000000001"/>
    <x v="1"/>
    <x v="5"/>
    <n v="68"/>
    <n v="69"/>
    <s v="Low Demand"/>
  </r>
  <r>
    <n v="676"/>
    <x v="30"/>
    <x v="0"/>
    <x v="0"/>
    <x v="0"/>
    <x v="11"/>
    <x v="1"/>
    <x v="0"/>
    <n v="1"/>
    <s v="Tuesday"/>
    <x v="1"/>
    <x v="1"/>
    <n v="0.16"/>
    <x v="1"/>
    <n v="0.16669999999999999"/>
    <s v="Cold"/>
    <n v="0.59"/>
    <x v="1"/>
    <n v="0.19400000000000001"/>
    <x v="1"/>
    <x v="4"/>
    <n v="46"/>
    <n v="48"/>
    <s v="Low Demand"/>
  </r>
  <r>
    <n v="677"/>
    <x v="30"/>
    <x v="0"/>
    <x v="0"/>
    <x v="0"/>
    <x v="12"/>
    <x v="2"/>
    <x v="0"/>
    <n v="1"/>
    <s v="Tuesday"/>
    <x v="1"/>
    <x v="1"/>
    <n v="0.16"/>
    <x v="1"/>
    <n v="0.19700000000000001"/>
    <s v="Cold"/>
    <n v="0.55000000000000004"/>
    <x v="1"/>
    <n v="0.1045"/>
    <x v="0"/>
    <x v="15"/>
    <n v="62"/>
    <n v="68"/>
    <s v="Low Demand"/>
  </r>
  <r>
    <n v="678"/>
    <x v="30"/>
    <x v="0"/>
    <x v="0"/>
    <x v="0"/>
    <x v="13"/>
    <x v="2"/>
    <x v="0"/>
    <n v="1"/>
    <s v="Tuesday"/>
    <x v="1"/>
    <x v="1"/>
    <n v="0.16"/>
    <x v="1"/>
    <n v="0.18179999999999999"/>
    <s v="Cold"/>
    <n v="0.59"/>
    <x v="1"/>
    <n v="0"/>
    <x v="0"/>
    <x v="4"/>
    <n v="52"/>
    <n v="54"/>
    <s v="Low Demand"/>
  </r>
  <r>
    <n v="679"/>
    <x v="30"/>
    <x v="0"/>
    <x v="0"/>
    <x v="0"/>
    <x v="14"/>
    <x v="2"/>
    <x v="0"/>
    <n v="1"/>
    <s v="Tuesday"/>
    <x v="1"/>
    <x v="1"/>
    <n v="0.16"/>
    <x v="1"/>
    <n v="0.19700000000000001"/>
    <s v="Cold"/>
    <n v="0.55000000000000004"/>
    <x v="1"/>
    <n v="0.1343"/>
    <x v="0"/>
    <x v="5"/>
    <n v="85"/>
    <n v="86"/>
    <s v="Medium Demand"/>
  </r>
  <r>
    <n v="680"/>
    <x v="30"/>
    <x v="0"/>
    <x v="0"/>
    <x v="0"/>
    <x v="15"/>
    <x v="2"/>
    <x v="0"/>
    <n v="1"/>
    <s v="Tuesday"/>
    <x v="1"/>
    <x v="1"/>
    <n v="0.16"/>
    <x v="1"/>
    <n v="0.18179999999999999"/>
    <s v="Cold"/>
    <n v="0.59"/>
    <x v="1"/>
    <n v="0.1343"/>
    <x v="0"/>
    <x v="0"/>
    <n v="41"/>
    <n v="44"/>
    <s v="Low Demand"/>
  </r>
  <r>
    <n v="681"/>
    <x v="30"/>
    <x v="0"/>
    <x v="0"/>
    <x v="0"/>
    <x v="16"/>
    <x v="2"/>
    <x v="0"/>
    <n v="1"/>
    <s v="Tuesday"/>
    <x v="1"/>
    <x v="1"/>
    <n v="0.16"/>
    <x v="1"/>
    <n v="0.18179999999999999"/>
    <s v="Cold"/>
    <n v="0.56000000000000005"/>
    <x v="1"/>
    <n v="0.19400000000000001"/>
    <x v="1"/>
    <x v="0"/>
    <n v="83"/>
    <n v="86"/>
    <s v="Medium Demand"/>
  </r>
  <r>
    <n v="682"/>
    <x v="30"/>
    <x v="0"/>
    <x v="0"/>
    <x v="0"/>
    <x v="17"/>
    <x v="2"/>
    <x v="0"/>
    <n v="1"/>
    <s v="Tuesday"/>
    <x v="1"/>
    <x v="1"/>
    <n v="0.16"/>
    <x v="1"/>
    <n v="0.2273"/>
    <s v="Cold"/>
    <n v="0.59"/>
    <x v="1"/>
    <n v="0.19400000000000001"/>
    <x v="1"/>
    <x v="15"/>
    <n v="155"/>
    <n v="161"/>
    <s v="High Demand"/>
  </r>
  <r>
    <n v="683"/>
    <x v="30"/>
    <x v="0"/>
    <x v="0"/>
    <x v="0"/>
    <x v="18"/>
    <x v="3"/>
    <x v="0"/>
    <n v="1"/>
    <s v="Tuesday"/>
    <x v="1"/>
    <x v="1"/>
    <n v="0.16"/>
    <x v="1"/>
    <n v="0.2273"/>
    <s v="Cold"/>
    <n v="0.55000000000000004"/>
    <x v="1"/>
    <n v="0.22389999999999999"/>
    <x v="1"/>
    <x v="0"/>
    <n v="153"/>
    <n v="156"/>
    <s v="High Demand"/>
  </r>
  <r>
    <n v="684"/>
    <x v="30"/>
    <x v="0"/>
    <x v="0"/>
    <x v="0"/>
    <x v="19"/>
    <x v="3"/>
    <x v="0"/>
    <n v="1"/>
    <s v="Tuesday"/>
    <x v="0"/>
    <x v="0"/>
    <n v="0.14000000000000001"/>
    <x v="1"/>
    <n v="0.21210000000000001"/>
    <s v="Cold"/>
    <n v="0.61"/>
    <x v="1"/>
    <n v="0.1045"/>
    <x v="0"/>
    <x v="0"/>
    <n v="108"/>
    <n v="111"/>
    <s v="Medium Demand"/>
  </r>
  <r>
    <n v="685"/>
    <x v="30"/>
    <x v="0"/>
    <x v="0"/>
    <x v="0"/>
    <x v="20"/>
    <x v="3"/>
    <x v="0"/>
    <n v="1"/>
    <s v="Tuesday"/>
    <x v="2"/>
    <x v="2"/>
    <n v="0.14000000000000001"/>
    <x v="1"/>
    <n v="0.21210000000000001"/>
    <s v="Cold"/>
    <n v="0.59"/>
    <x v="1"/>
    <n v="0.16420000000000001"/>
    <x v="1"/>
    <x v="3"/>
    <n v="78"/>
    <n v="78"/>
    <s v="Medium Demand"/>
  </r>
  <r>
    <n v="686"/>
    <x v="30"/>
    <x v="0"/>
    <x v="0"/>
    <x v="0"/>
    <x v="21"/>
    <x v="3"/>
    <x v="0"/>
    <n v="1"/>
    <s v="Tuesday"/>
    <x v="2"/>
    <x v="2"/>
    <n v="0.16"/>
    <x v="1"/>
    <n v="0.2273"/>
    <s v="Cold"/>
    <n v="0.59"/>
    <x v="1"/>
    <n v="8.9599999999999999E-2"/>
    <x v="0"/>
    <x v="0"/>
    <n v="53"/>
    <n v="56"/>
    <s v="Low Demand"/>
  </r>
  <r>
    <n v="687"/>
    <x v="30"/>
    <x v="0"/>
    <x v="0"/>
    <x v="0"/>
    <x v="22"/>
    <x v="3"/>
    <x v="0"/>
    <n v="1"/>
    <s v="Tuesday"/>
    <x v="1"/>
    <x v="1"/>
    <n v="0.16"/>
    <x v="1"/>
    <n v="0.2273"/>
    <s v="Cold"/>
    <n v="0.59"/>
    <x v="1"/>
    <n v="0.1045"/>
    <x v="0"/>
    <x v="3"/>
    <n v="34"/>
    <n v="34"/>
    <s v="Low Demand"/>
  </r>
  <r>
    <n v="688"/>
    <x v="30"/>
    <x v="0"/>
    <x v="0"/>
    <x v="0"/>
    <x v="23"/>
    <x v="3"/>
    <x v="0"/>
    <n v="1"/>
    <s v="Tuesday"/>
    <x v="1"/>
    <x v="1"/>
    <n v="0.16"/>
    <x v="1"/>
    <n v="0.2273"/>
    <s v="Cold"/>
    <n v="0.64"/>
    <x v="1"/>
    <n v="8.9599999999999999E-2"/>
    <x v="0"/>
    <x v="4"/>
    <n v="15"/>
    <n v="17"/>
    <s v="Low Demand"/>
  </r>
  <r>
    <n v="689"/>
    <x v="31"/>
    <x v="0"/>
    <x v="0"/>
    <x v="1"/>
    <x v="0"/>
    <x v="0"/>
    <x v="0"/>
    <n v="2"/>
    <s v="Wednesday"/>
    <x v="1"/>
    <x v="1"/>
    <n v="0.16"/>
    <x v="1"/>
    <n v="0.2273"/>
    <s v="Cold"/>
    <n v="0.64"/>
    <x v="1"/>
    <n v="0.1045"/>
    <x v="0"/>
    <x v="4"/>
    <n v="6"/>
    <n v="8"/>
    <s v="Low Demand"/>
  </r>
  <r>
    <n v="690"/>
    <x v="31"/>
    <x v="0"/>
    <x v="0"/>
    <x v="1"/>
    <x v="1"/>
    <x v="0"/>
    <x v="0"/>
    <n v="2"/>
    <s v="Wednesday"/>
    <x v="1"/>
    <x v="1"/>
    <n v="0.18"/>
    <x v="1"/>
    <n v="0.2424"/>
    <s v="Cold"/>
    <n v="0.69"/>
    <x v="1"/>
    <n v="0.1045"/>
    <x v="0"/>
    <x v="3"/>
    <n v="3"/>
    <n v="3"/>
    <s v="Low Demand"/>
  </r>
  <r>
    <n v="691"/>
    <x v="31"/>
    <x v="0"/>
    <x v="0"/>
    <x v="1"/>
    <x v="2"/>
    <x v="0"/>
    <x v="0"/>
    <n v="2"/>
    <s v="Wednesday"/>
    <x v="1"/>
    <x v="1"/>
    <n v="0.2"/>
    <x v="1"/>
    <n v="0.2576"/>
    <s v="Cold"/>
    <n v="0.69"/>
    <x v="1"/>
    <n v="0"/>
    <x v="0"/>
    <x v="3"/>
    <n v="2"/>
    <n v="2"/>
    <s v="Low Demand"/>
  </r>
  <r>
    <n v="692"/>
    <x v="31"/>
    <x v="0"/>
    <x v="0"/>
    <x v="1"/>
    <x v="3"/>
    <x v="0"/>
    <x v="0"/>
    <n v="2"/>
    <s v="Wednesday"/>
    <x v="1"/>
    <x v="1"/>
    <n v="0.2"/>
    <x v="1"/>
    <n v="0.2576"/>
    <s v="Cold"/>
    <n v="0.69"/>
    <x v="1"/>
    <n v="0"/>
    <x v="0"/>
    <x v="3"/>
    <n v="2"/>
    <n v="2"/>
    <s v="Low Demand"/>
  </r>
  <r>
    <n v="693"/>
    <x v="31"/>
    <x v="0"/>
    <x v="0"/>
    <x v="1"/>
    <x v="5"/>
    <x v="0"/>
    <x v="0"/>
    <n v="2"/>
    <s v="Wednesday"/>
    <x v="2"/>
    <x v="2"/>
    <n v="0.22"/>
    <x v="0"/>
    <n v="0.2576"/>
    <s v="Cold"/>
    <n v="0.93"/>
    <x v="0"/>
    <n v="0"/>
    <x v="0"/>
    <x v="3"/>
    <n v="3"/>
    <n v="3"/>
    <s v="Low Demand"/>
  </r>
  <r>
    <n v="694"/>
    <x v="31"/>
    <x v="0"/>
    <x v="0"/>
    <x v="1"/>
    <x v="6"/>
    <x v="1"/>
    <x v="0"/>
    <n v="2"/>
    <s v="Wednesday"/>
    <x v="2"/>
    <x v="2"/>
    <n v="0.24"/>
    <x v="0"/>
    <n v="0.28789999999999999"/>
    <s v="Cold"/>
    <n v="0.93"/>
    <x v="0"/>
    <n v="0"/>
    <x v="0"/>
    <x v="3"/>
    <n v="22"/>
    <n v="22"/>
    <s v="Low Demand"/>
  </r>
  <r>
    <n v="695"/>
    <x v="31"/>
    <x v="0"/>
    <x v="0"/>
    <x v="1"/>
    <x v="7"/>
    <x v="1"/>
    <x v="0"/>
    <n v="2"/>
    <s v="Wednesday"/>
    <x v="2"/>
    <x v="2"/>
    <n v="0.24"/>
    <x v="0"/>
    <n v="0.2424"/>
    <s v="Cold"/>
    <n v="0.93"/>
    <x v="0"/>
    <n v="0"/>
    <x v="0"/>
    <x v="3"/>
    <n v="52"/>
    <n v="52"/>
    <s v="Low Demand"/>
  </r>
  <r>
    <n v="696"/>
    <x v="31"/>
    <x v="0"/>
    <x v="0"/>
    <x v="1"/>
    <x v="8"/>
    <x v="1"/>
    <x v="0"/>
    <n v="2"/>
    <s v="Wednesday"/>
    <x v="2"/>
    <x v="2"/>
    <n v="0.24"/>
    <x v="0"/>
    <n v="0.28789999999999999"/>
    <s v="Cold"/>
    <n v="0.93"/>
    <x v="0"/>
    <n v="0"/>
    <x v="0"/>
    <x v="0"/>
    <n v="132"/>
    <n v="135"/>
    <s v="Medium Demand"/>
  </r>
  <r>
    <n v="697"/>
    <x v="31"/>
    <x v="0"/>
    <x v="0"/>
    <x v="1"/>
    <x v="9"/>
    <x v="1"/>
    <x v="0"/>
    <n v="2"/>
    <s v="Wednesday"/>
    <x v="1"/>
    <x v="1"/>
    <n v="0.24"/>
    <x v="0"/>
    <n v="0.2576"/>
    <s v="Cold"/>
    <n v="0.93"/>
    <x v="0"/>
    <n v="0"/>
    <x v="0"/>
    <x v="4"/>
    <n v="114"/>
    <n v="116"/>
    <s v="Medium Demand"/>
  </r>
  <r>
    <n v="698"/>
    <x v="31"/>
    <x v="0"/>
    <x v="0"/>
    <x v="1"/>
    <x v="10"/>
    <x v="1"/>
    <x v="0"/>
    <n v="2"/>
    <s v="Wednesday"/>
    <x v="1"/>
    <x v="1"/>
    <n v="0.24"/>
    <x v="0"/>
    <n v="0.2424"/>
    <s v="Cold"/>
    <n v="0.93"/>
    <x v="0"/>
    <n v="0"/>
    <x v="0"/>
    <x v="3"/>
    <n v="47"/>
    <n v="47"/>
    <s v="Low Demand"/>
  </r>
  <r>
    <n v="699"/>
    <x v="31"/>
    <x v="0"/>
    <x v="0"/>
    <x v="1"/>
    <x v="11"/>
    <x v="1"/>
    <x v="0"/>
    <n v="2"/>
    <s v="Wednesday"/>
    <x v="1"/>
    <x v="1"/>
    <n v="0.22"/>
    <x v="0"/>
    <n v="0.2273"/>
    <s v="Cold"/>
    <n v="0.86"/>
    <x v="0"/>
    <n v="0"/>
    <x v="0"/>
    <x v="4"/>
    <n v="49"/>
    <n v="51"/>
    <s v="Low Demand"/>
  </r>
  <r>
    <n v="700"/>
    <x v="31"/>
    <x v="0"/>
    <x v="0"/>
    <x v="1"/>
    <x v="12"/>
    <x v="2"/>
    <x v="0"/>
    <n v="2"/>
    <s v="Wednesday"/>
    <x v="1"/>
    <x v="1"/>
    <n v="0.22"/>
    <x v="0"/>
    <n v="0.2273"/>
    <s v="Cold"/>
    <n v="0.86"/>
    <x v="0"/>
    <n v="0"/>
    <x v="0"/>
    <x v="4"/>
    <n v="53"/>
    <n v="55"/>
    <s v="Low Demand"/>
  </r>
  <r>
    <n v="701"/>
    <x v="31"/>
    <x v="0"/>
    <x v="0"/>
    <x v="1"/>
    <x v="13"/>
    <x v="2"/>
    <x v="0"/>
    <n v="2"/>
    <s v="Wednesday"/>
    <x v="1"/>
    <x v="1"/>
    <n v="0.22"/>
    <x v="0"/>
    <n v="0.2576"/>
    <s v="Cold"/>
    <n v="0.86"/>
    <x v="0"/>
    <n v="0"/>
    <x v="0"/>
    <x v="0"/>
    <n v="49"/>
    <n v="52"/>
    <s v="Low Demand"/>
  </r>
  <r>
    <n v="702"/>
    <x v="31"/>
    <x v="0"/>
    <x v="0"/>
    <x v="1"/>
    <x v="14"/>
    <x v="2"/>
    <x v="0"/>
    <n v="2"/>
    <s v="Wednesday"/>
    <x v="1"/>
    <x v="1"/>
    <n v="0.2"/>
    <x v="1"/>
    <n v="0.19700000000000001"/>
    <s v="Cold"/>
    <n v="0.8"/>
    <x v="0"/>
    <n v="8.9599999999999999E-2"/>
    <x v="0"/>
    <x v="2"/>
    <n v="49"/>
    <n v="54"/>
    <s v="Low Demand"/>
  </r>
  <r>
    <n v="703"/>
    <x v="31"/>
    <x v="0"/>
    <x v="0"/>
    <x v="1"/>
    <x v="15"/>
    <x v="2"/>
    <x v="0"/>
    <n v="2"/>
    <s v="Wednesday"/>
    <x v="1"/>
    <x v="1"/>
    <n v="0.22"/>
    <x v="0"/>
    <n v="0.2424"/>
    <s v="Cold"/>
    <n v="0.75"/>
    <x v="1"/>
    <n v="0"/>
    <x v="0"/>
    <x v="18"/>
    <n v="45"/>
    <n v="52"/>
    <s v="Low Demand"/>
  </r>
  <r>
    <n v="704"/>
    <x v="31"/>
    <x v="0"/>
    <x v="0"/>
    <x v="1"/>
    <x v="16"/>
    <x v="2"/>
    <x v="0"/>
    <n v="2"/>
    <s v="Wednesday"/>
    <x v="1"/>
    <x v="1"/>
    <n v="0.22"/>
    <x v="0"/>
    <n v="0.2273"/>
    <s v="Cold"/>
    <n v="0.75"/>
    <x v="1"/>
    <n v="0.1343"/>
    <x v="0"/>
    <x v="0"/>
    <n v="61"/>
    <n v="64"/>
    <s v="Low Demand"/>
  </r>
  <r>
    <n v="705"/>
    <x v="31"/>
    <x v="0"/>
    <x v="0"/>
    <x v="1"/>
    <x v="17"/>
    <x v="2"/>
    <x v="0"/>
    <n v="2"/>
    <s v="Wednesday"/>
    <x v="1"/>
    <x v="1"/>
    <n v="0.22"/>
    <x v="0"/>
    <n v="0.2273"/>
    <s v="Cold"/>
    <n v="0.75"/>
    <x v="1"/>
    <n v="0"/>
    <x v="0"/>
    <x v="17"/>
    <n v="172"/>
    <n v="176"/>
    <s v="High Demand"/>
  </r>
  <r>
    <n v="706"/>
    <x v="31"/>
    <x v="0"/>
    <x v="0"/>
    <x v="1"/>
    <x v="18"/>
    <x v="3"/>
    <x v="0"/>
    <n v="2"/>
    <s v="Wednesday"/>
    <x v="1"/>
    <x v="1"/>
    <n v="0.22"/>
    <x v="0"/>
    <n v="0.2273"/>
    <s v="Cold"/>
    <n v="0.81"/>
    <x v="0"/>
    <n v="0.1045"/>
    <x v="0"/>
    <x v="0"/>
    <n v="165"/>
    <n v="168"/>
    <s v="High Demand"/>
  </r>
  <r>
    <n v="707"/>
    <x v="31"/>
    <x v="0"/>
    <x v="0"/>
    <x v="1"/>
    <x v="19"/>
    <x v="3"/>
    <x v="0"/>
    <n v="2"/>
    <s v="Wednesday"/>
    <x v="1"/>
    <x v="1"/>
    <n v="0.22"/>
    <x v="0"/>
    <n v="0.21210000000000001"/>
    <s v="Cold"/>
    <n v="0.81"/>
    <x v="0"/>
    <n v="0.1343"/>
    <x v="0"/>
    <x v="0"/>
    <n v="105"/>
    <n v="108"/>
    <s v="Medium Demand"/>
  </r>
  <r>
    <n v="708"/>
    <x v="31"/>
    <x v="0"/>
    <x v="0"/>
    <x v="1"/>
    <x v="20"/>
    <x v="3"/>
    <x v="0"/>
    <n v="2"/>
    <s v="Wednesday"/>
    <x v="1"/>
    <x v="1"/>
    <n v="0.22"/>
    <x v="0"/>
    <n v="0.2424"/>
    <s v="Cold"/>
    <n v="0.87"/>
    <x v="0"/>
    <n v="0.1343"/>
    <x v="0"/>
    <x v="2"/>
    <n v="69"/>
    <n v="74"/>
    <s v="Low Demand"/>
  </r>
  <r>
    <n v="709"/>
    <x v="31"/>
    <x v="0"/>
    <x v="0"/>
    <x v="1"/>
    <x v="21"/>
    <x v="3"/>
    <x v="0"/>
    <n v="2"/>
    <s v="Wednesday"/>
    <x v="1"/>
    <x v="1"/>
    <n v="0.22"/>
    <x v="0"/>
    <n v="0.2424"/>
    <s v="Cold"/>
    <n v="0.87"/>
    <x v="0"/>
    <n v="0.1343"/>
    <x v="0"/>
    <x v="3"/>
    <n v="64"/>
    <n v="64"/>
    <s v="Low Demand"/>
  </r>
  <r>
    <n v="710"/>
    <x v="31"/>
    <x v="0"/>
    <x v="0"/>
    <x v="1"/>
    <x v="22"/>
    <x v="3"/>
    <x v="0"/>
    <n v="2"/>
    <s v="Wednesday"/>
    <x v="1"/>
    <x v="1"/>
    <n v="0.22"/>
    <x v="0"/>
    <n v="0.21210000000000001"/>
    <s v="Cold"/>
    <n v="0.87"/>
    <x v="0"/>
    <n v="8.9599999999999999E-2"/>
    <x v="0"/>
    <x v="4"/>
    <n v="34"/>
    <n v="36"/>
    <s v="Low Demand"/>
  </r>
  <r>
    <n v="711"/>
    <x v="31"/>
    <x v="0"/>
    <x v="0"/>
    <x v="1"/>
    <x v="23"/>
    <x v="3"/>
    <x v="0"/>
    <n v="2"/>
    <s v="Wednesday"/>
    <x v="2"/>
    <x v="2"/>
    <n v="0.22"/>
    <x v="0"/>
    <n v="0.21210000000000001"/>
    <s v="Cold"/>
    <n v="0.93"/>
    <x v="0"/>
    <n v="0.19400000000000001"/>
    <x v="1"/>
    <x v="5"/>
    <n v="15"/>
    <n v="16"/>
    <s v="Low Demand"/>
  </r>
  <r>
    <n v="712"/>
    <x v="32"/>
    <x v="0"/>
    <x v="0"/>
    <x v="1"/>
    <x v="0"/>
    <x v="0"/>
    <x v="0"/>
    <n v="3"/>
    <s v="Thursday"/>
    <x v="2"/>
    <x v="2"/>
    <n v="0.24"/>
    <x v="0"/>
    <n v="0.2576"/>
    <s v="Cold"/>
    <n v="0.93"/>
    <x v="0"/>
    <n v="0.1045"/>
    <x v="0"/>
    <x v="3"/>
    <n v="2"/>
    <n v="2"/>
    <s v="Low Demand"/>
  </r>
  <r>
    <n v="713"/>
    <x v="32"/>
    <x v="0"/>
    <x v="0"/>
    <x v="1"/>
    <x v="1"/>
    <x v="0"/>
    <x v="0"/>
    <n v="3"/>
    <s v="Thursday"/>
    <x v="2"/>
    <x v="2"/>
    <n v="0.22"/>
    <x v="0"/>
    <n v="0.2727"/>
    <s v="Cold"/>
    <n v="0.93"/>
    <x v="0"/>
    <n v="0.19400000000000001"/>
    <x v="1"/>
    <x v="3"/>
    <n v="3"/>
    <n v="3"/>
    <s v="Low Demand"/>
  </r>
  <r>
    <n v="714"/>
    <x v="32"/>
    <x v="0"/>
    <x v="0"/>
    <x v="1"/>
    <x v="2"/>
    <x v="0"/>
    <x v="0"/>
    <n v="3"/>
    <s v="Thursday"/>
    <x v="2"/>
    <x v="2"/>
    <n v="0.24"/>
    <x v="0"/>
    <n v="0.2273"/>
    <s v="Cold"/>
    <n v="0.93"/>
    <x v="0"/>
    <n v="0.1343"/>
    <x v="0"/>
    <x v="17"/>
    <n v="0"/>
    <n v="4"/>
    <s v="Low Demand"/>
  </r>
  <r>
    <n v="715"/>
    <x v="32"/>
    <x v="0"/>
    <x v="0"/>
    <x v="1"/>
    <x v="3"/>
    <x v="0"/>
    <x v="0"/>
    <n v="3"/>
    <s v="Thursday"/>
    <x v="2"/>
    <x v="2"/>
    <n v="0.24"/>
    <x v="0"/>
    <n v="0.2273"/>
    <s v="Cold"/>
    <n v="0.93"/>
    <x v="0"/>
    <n v="0.1343"/>
    <x v="0"/>
    <x v="3"/>
    <n v="1"/>
    <n v="1"/>
    <s v="Low Demand"/>
  </r>
  <r>
    <n v="716"/>
    <x v="32"/>
    <x v="0"/>
    <x v="0"/>
    <x v="1"/>
    <x v="4"/>
    <x v="0"/>
    <x v="0"/>
    <n v="3"/>
    <s v="Thursday"/>
    <x v="2"/>
    <x v="2"/>
    <n v="0.34"/>
    <x v="0"/>
    <n v="0.33329999999999999"/>
    <s v="Pleasant"/>
    <n v="0.93"/>
    <x v="0"/>
    <n v="0.28360000000000002"/>
    <x v="1"/>
    <x v="3"/>
    <n v="1"/>
    <n v="1"/>
    <s v="Low Demand"/>
  </r>
  <r>
    <n v="717"/>
    <x v="32"/>
    <x v="0"/>
    <x v="0"/>
    <x v="1"/>
    <x v="5"/>
    <x v="0"/>
    <x v="0"/>
    <n v="3"/>
    <s v="Thursday"/>
    <x v="2"/>
    <x v="2"/>
    <n v="0.38"/>
    <x v="0"/>
    <n v="0.39389999999999997"/>
    <s v="Pleasant"/>
    <n v="0.93"/>
    <x v="0"/>
    <n v="0.1045"/>
    <x v="0"/>
    <x v="3"/>
    <n v="3"/>
    <n v="3"/>
    <s v="Low Demand"/>
  </r>
  <r>
    <n v="718"/>
    <x v="32"/>
    <x v="0"/>
    <x v="0"/>
    <x v="1"/>
    <x v="6"/>
    <x v="1"/>
    <x v="0"/>
    <n v="3"/>
    <s v="Thursday"/>
    <x v="2"/>
    <x v="2"/>
    <n v="0.38"/>
    <x v="0"/>
    <n v="0.39389999999999997"/>
    <s v="Pleasant"/>
    <n v="0.93"/>
    <x v="0"/>
    <n v="0.1045"/>
    <x v="0"/>
    <x v="5"/>
    <n v="17"/>
    <n v="18"/>
    <s v="Low Demand"/>
  </r>
  <r>
    <n v="719"/>
    <x v="32"/>
    <x v="0"/>
    <x v="0"/>
    <x v="1"/>
    <x v="7"/>
    <x v="1"/>
    <x v="0"/>
    <n v="3"/>
    <s v="Thursday"/>
    <x v="2"/>
    <x v="2"/>
    <n v="0.36"/>
    <x v="0"/>
    <n v="0.33329999999999999"/>
    <s v="Pleasant"/>
    <n v="0.93"/>
    <x v="0"/>
    <n v="0.22389999999999999"/>
    <x v="1"/>
    <x v="5"/>
    <n v="48"/>
    <n v="49"/>
    <s v="Low Demand"/>
  </r>
  <r>
    <n v="720"/>
    <x v="32"/>
    <x v="0"/>
    <x v="0"/>
    <x v="1"/>
    <x v="8"/>
    <x v="1"/>
    <x v="0"/>
    <n v="3"/>
    <s v="Thursday"/>
    <x v="2"/>
    <x v="2"/>
    <n v="0.36"/>
    <x v="0"/>
    <n v="0.31819999999999998"/>
    <s v="Pleasant"/>
    <n v="0.93"/>
    <x v="0"/>
    <n v="0.22389999999999999"/>
    <x v="1"/>
    <x v="5"/>
    <n v="154"/>
    <n v="155"/>
    <s v="High Demand"/>
  </r>
  <r>
    <n v="721"/>
    <x v="32"/>
    <x v="0"/>
    <x v="0"/>
    <x v="1"/>
    <x v="9"/>
    <x v="1"/>
    <x v="0"/>
    <n v="3"/>
    <s v="Thursday"/>
    <x v="1"/>
    <x v="1"/>
    <n v="0.34"/>
    <x v="0"/>
    <n v="0.28789999999999999"/>
    <s v="Cold"/>
    <n v="0.93"/>
    <x v="0"/>
    <n v="8.9599999999999999E-2"/>
    <x v="0"/>
    <x v="17"/>
    <n v="119"/>
    <n v="123"/>
    <s v="Medium Demand"/>
  </r>
  <r>
    <n v="722"/>
    <x v="32"/>
    <x v="0"/>
    <x v="0"/>
    <x v="1"/>
    <x v="10"/>
    <x v="1"/>
    <x v="0"/>
    <n v="3"/>
    <s v="Thursday"/>
    <x v="1"/>
    <x v="1"/>
    <n v="0.28000000000000003"/>
    <x v="0"/>
    <n v="0.2424"/>
    <s v="Cold"/>
    <n v="1"/>
    <x v="0"/>
    <n v="0"/>
    <x v="0"/>
    <x v="4"/>
    <n v="59"/>
    <n v="61"/>
    <s v="Low Demand"/>
  </r>
  <r>
    <n v="723"/>
    <x v="32"/>
    <x v="0"/>
    <x v="0"/>
    <x v="1"/>
    <x v="11"/>
    <x v="1"/>
    <x v="0"/>
    <n v="3"/>
    <s v="Thursday"/>
    <x v="1"/>
    <x v="1"/>
    <n v="0.24"/>
    <x v="0"/>
    <n v="0.19700000000000001"/>
    <s v="Cold"/>
    <n v="0.93"/>
    <x v="0"/>
    <n v="0.19400000000000001"/>
    <x v="1"/>
    <x v="2"/>
    <n v="47"/>
    <n v="52"/>
    <s v="Low Demand"/>
  </r>
  <r>
    <n v="724"/>
    <x v="32"/>
    <x v="0"/>
    <x v="0"/>
    <x v="1"/>
    <x v="12"/>
    <x v="2"/>
    <x v="0"/>
    <n v="3"/>
    <s v="Thursday"/>
    <x v="1"/>
    <x v="1"/>
    <n v="0.22"/>
    <x v="0"/>
    <n v="0.19700000000000001"/>
    <s v="Cold"/>
    <n v="0.93"/>
    <x v="0"/>
    <n v="0.22389999999999999"/>
    <x v="1"/>
    <x v="0"/>
    <n v="61"/>
    <n v="64"/>
    <s v="Low Demand"/>
  </r>
  <r>
    <n v="725"/>
    <x v="32"/>
    <x v="0"/>
    <x v="0"/>
    <x v="1"/>
    <x v="13"/>
    <x v="2"/>
    <x v="0"/>
    <n v="3"/>
    <s v="Thursday"/>
    <x v="0"/>
    <x v="0"/>
    <n v="0.22"/>
    <x v="0"/>
    <n v="0.21210000000000001"/>
    <s v="Cold"/>
    <n v="0.93"/>
    <x v="0"/>
    <n v="0.16420000000000001"/>
    <x v="1"/>
    <x v="5"/>
    <n v="74"/>
    <n v="75"/>
    <s v="Low Demand"/>
  </r>
  <r>
    <n v="726"/>
    <x v="32"/>
    <x v="0"/>
    <x v="0"/>
    <x v="1"/>
    <x v="14"/>
    <x v="2"/>
    <x v="0"/>
    <n v="3"/>
    <s v="Thursday"/>
    <x v="0"/>
    <x v="0"/>
    <n v="0.2"/>
    <x v="1"/>
    <n v="0.16669999999999999"/>
    <s v="Cold"/>
    <n v="0.82"/>
    <x v="0"/>
    <n v="0.3881"/>
    <x v="2"/>
    <x v="4"/>
    <n v="61"/>
    <n v="63"/>
    <s v="Low Demand"/>
  </r>
  <r>
    <n v="727"/>
    <x v="32"/>
    <x v="0"/>
    <x v="0"/>
    <x v="1"/>
    <x v="15"/>
    <x v="2"/>
    <x v="0"/>
    <n v="3"/>
    <s v="Thursday"/>
    <x v="0"/>
    <x v="0"/>
    <n v="0.2"/>
    <x v="1"/>
    <n v="0.16669999999999999"/>
    <s v="Cold"/>
    <n v="0.76"/>
    <x v="0"/>
    <n v="0.32840000000000003"/>
    <x v="2"/>
    <x v="22"/>
    <n v="66"/>
    <n v="76"/>
    <s v="Medium Demand"/>
  </r>
  <r>
    <n v="728"/>
    <x v="32"/>
    <x v="0"/>
    <x v="0"/>
    <x v="1"/>
    <x v="16"/>
    <x v="2"/>
    <x v="0"/>
    <n v="3"/>
    <s v="Thursday"/>
    <x v="0"/>
    <x v="0"/>
    <n v="0.2"/>
    <x v="1"/>
    <n v="0.1515"/>
    <s v="Cold"/>
    <n v="0.71"/>
    <x v="1"/>
    <n v="0.29849999999999999"/>
    <x v="1"/>
    <x v="1"/>
    <n v="95"/>
    <n v="103"/>
    <s v="Medium Demand"/>
  </r>
  <r>
    <n v="729"/>
    <x v="32"/>
    <x v="0"/>
    <x v="0"/>
    <x v="1"/>
    <x v="17"/>
    <x v="2"/>
    <x v="0"/>
    <n v="3"/>
    <s v="Thursday"/>
    <x v="0"/>
    <x v="0"/>
    <n v="0.18"/>
    <x v="1"/>
    <n v="0.16669999999999999"/>
    <s v="Cold"/>
    <n v="0.53"/>
    <x v="1"/>
    <n v="0.52239999999999998"/>
    <x v="3"/>
    <x v="18"/>
    <n v="183"/>
    <n v="190"/>
    <s v="High Demand"/>
  </r>
  <r>
    <n v="730"/>
    <x v="32"/>
    <x v="0"/>
    <x v="0"/>
    <x v="1"/>
    <x v="18"/>
    <x v="3"/>
    <x v="0"/>
    <n v="3"/>
    <s v="Thursday"/>
    <x v="0"/>
    <x v="0"/>
    <n v="0.18"/>
    <x v="1"/>
    <n v="0.16669999999999999"/>
    <s v="Cold"/>
    <n v="0.42"/>
    <x v="2"/>
    <n v="0.55220000000000002"/>
    <x v="3"/>
    <x v="18"/>
    <n v="175"/>
    <n v="182"/>
    <s v="High Demand"/>
  </r>
  <r>
    <n v="731"/>
    <x v="32"/>
    <x v="0"/>
    <x v="0"/>
    <x v="1"/>
    <x v="19"/>
    <x v="3"/>
    <x v="0"/>
    <n v="3"/>
    <s v="Thursday"/>
    <x v="0"/>
    <x v="0"/>
    <n v="0.16"/>
    <x v="1"/>
    <n v="0.13639999999999999"/>
    <s v="Very Cold"/>
    <n v="0.45"/>
    <x v="2"/>
    <n v="0.49249999999999999"/>
    <x v="3"/>
    <x v="0"/>
    <n v="88"/>
    <n v="91"/>
    <s v="Medium Demand"/>
  </r>
  <r>
    <n v="732"/>
    <x v="32"/>
    <x v="0"/>
    <x v="0"/>
    <x v="1"/>
    <x v="20"/>
    <x v="3"/>
    <x v="0"/>
    <n v="3"/>
    <s v="Thursday"/>
    <x v="0"/>
    <x v="0"/>
    <n v="0.16"/>
    <x v="1"/>
    <n v="0.13639999999999999"/>
    <s v="Very Cold"/>
    <n v="0.48"/>
    <x v="2"/>
    <n v="0.55220000000000002"/>
    <x v="3"/>
    <x v="17"/>
    <n v="71"/>
    <n v="75"/>
    <s v="Low Demand"/>
  </r>
  <r>
    <n v="733"/>
    <x v="32"/>
    <x v="0"/>
    <x v="0"/>
    <x v="1"/>
    <x v="21"/>
    <x v="3"/>
    <x v="0"/>
    <n v="3"/>
    <s v="Thursday"/>
    <x v="0"/>
    <x v="0"/>
    <n v="0.14000000000000001"/>
    <x v="1"/>
    <n v="0.1212"/>
    <s v="Very Cold"/>
    <n v="0.47"/>
    <x v="2"/>
    <n v="0.32840000000000003"/>
    <x v="2"/>
    <x v="5"/>
    <n v="62"/>
    <n v="63"/>
    <s v="Low Demand"/>
  </r>
  <r>
    <n v="734"/>
    <x v="32"/>
    <x v="0"/>
    <x v="0"/>
    <x v="1"/>
    <x v="22"/>
    <x v="3"/>
    <x v="0"/>
    <n v="3"/>
    <s v="Thursday"/>
    <x v="0"/>
    <x v="0"/>
    <n v="0.14000000000000001"/>
    <x v="1"/>
    <n v="0.1212"/>
    <s v="Very Cold"/>
    <n v="0.44"/>
    <x v="2"/>
    <n v="0.25369999999999998"/>
    <x v="1"/>
    <x v="2"/>
    <n v="35"/>
    <n v="40"/>
    <s v="Low Demand"/>
  </r>
  <r>
    <n v="735"/>
    <x v="32"/>
    <x v="0"/>
    <x v="0"/>
    <x v="1"/>
    <x v="23"/>
    <x v="3"/>
    <x v="0"/>
    <n v="3"/>
    <s v="Thursday"/>
    <x v="0"/>
    <x v="0"/>
    <n v="0.16"/>
    <x v="1"/>
    <n v="0.13639999999999999"/>
    <s v="Very Cold"/>
    <n v="0.44"/>
    <x v="2"/>
    <n v="0.44779999999999998"/>
    <x v="2"/>
    <x v="0"/>
    <n v="29"/>
    <n v="32"/>
    <s v="Low Demand"/>
  </r>
  <r>
    <n v="736"/>
    <x v="33"/>
    <x v="0"/>
    <x v="0"/>
    <x v="1"/>
    <x v="0"/>
    <x v="0"/>
    <x v="0"/>
    <n v="4"/>
    <s v="Friday"/>
    <x v="0"/>
    <x v="0"/>
    <n v="0.18"/>
    <x v="1"/>
    <n v="0.1515"/>
    <s v="Cold"/>
    <n v="0.4"/>
    <x v="2"/>
    <n v="0.44779999999999998"/>
    <x v="2"/>
    <x v="5"/>
    <n v="11"/>
    <n v="12"/>
    <s v="Low Demand"/>
  </r>
  <r>
    <n v="737"/>
    <x v="33"/>
    <x v="0"/>
    <x v="0"/>
    <x v="1"/>
    <x v="1"/>
    <x v="0"/>
    <x v="0"/>
    <n v="4"/>
    <s v="Friday"/>
    <x v="0"/>
    <x v="0"/>
    <n v="0.18"/>
    <x v="1"/>
    <n v="0.13639999999999999"/>
    <s v="Very Cold"/>
    <n v="0.44"/>
    <x v="2"/>
    <n v="0.52239999999999998"/>
    <x v="3"/>
    <x v="3"/>
    <n v="5"/>
    <n v="5"/>
    <s v="Low Demand"/>
  </r>
  <r>
    <n v="738"/>
    <x v="33"/>
    <x v="0"/>
    <x v="0"/>
    <x v="1"/>
    <x v="2"/>
    <x v="0"/>
    <x v="0"/>
    <n v="4"/>
    <s v="Friday"/>
    <x v="0"/>
    <x v="0"/>
    <n v="0.2"/>
    <x v="1"/>
    <n v="0.18179999999999999"/>
    <s v="Cold"/>
    <n v="0.43"/>
    <x v="2"/>
    <n v="0.25369999999999998"/>
    <x v="1"/>
    <x v="3"/>
    <n v="2"/>
    <n v="2"/>
    <s v="Low Demand"/>
  </r>
  <r>
    <n v="739"/>
    <x v="33"/>
    <x v="0"/>
    <x v="0"/>
    <x v="1"/>
    <x v="3"/>
    <x v="0"/>
    <x v="0"/>
    <n v="4"/>
    <s v="Friday"/>
    <x v="0"/>
    <x v="0"/>
    <n v="0.2"/>
    <x v="1"/>
    <n v="0.16669999999999999"/>
    <s v="Cold"/>
    <n v="0.43"/>
    <x v="2"/>
    <n v="0.25369999999999998"/>
    <x v="1"/>
    <x v="3"/>
    <n v="1"/>
    <n v="1"/>
    <s v="Low Demand"/>
  </r>
  <r>
    <n v="740"/>
    <x v="33"/>
    <x v="0"/>
    <x v="0"/>
    <x v="1"/>
    <x v="5"/>
    <x v="0"/>
    <x v="0"/>
    <n v="4"/>
    <s v="Friday"/>
    <x v="0"/>
    <x v="0"/>
    <n v="0.22"/>
    <x v="0"/>
    <n v="0.19700000000000001"/>
    <s v="Cold"/>
    <n v="0.5"/>
    <x v="2"/>
    <n v="0.29849999999999999"/>
    <x v="1"/>
    <x v="3"/>
    <n v="2"/>
    <n v="2"/>
    <s v="Low Demand"/>
  </r>
  <r>
    <n v="741"/>
    <x v="33"/>
    <x v="0"/>
    <x v="0"/>
    <x v="1"/>
    <x v="6"/>
    <x v="1"/>
    <x v="0"/>
    <n v="4"/>
    <s v="Friday"/>
    <x v="0"/>
    <x v="0"/>
    <n v="0.22"/>
    <x v="0"/>
    <n v="0.19700000000000001"/>
    <s v="Cold"/>
    <n v="0.43"/>
    <x v="2"/>
    <n v="0.35820000000000002"/>
    <x v="2"/>
    <x v="3"/>
    <n v="39"/>
    <n v="39"/>
    <s v="Low Demand"/>
  </r>
  <r>
    <n v="742"/>
    <x v="33"/>
    <x v="0"/>
    <x v="0"/>
    <x v="1"/>
    <x v="7"/>
    <x v="1"/>
    <x v="0"/>
    <n v="4"/>
    <s v="Friday"/>
    <x v="0"/>
    <x v="0"/>
    <n v="0.22"/>
    <x v="0"/>
    <n v="0.21210000000000001"/>
    <s v="Cold"/>
    <n v="0.5"/>
    <x v="2"/>
    <n v="0.32840000000000003"/>
    <x v="2"/>
    <x v="5"/>
    <n v="86"/>
    <n v="87"/>
    <s v="Medium Demand"/>
  </r>
  <r>
    <n v="743"/>
    <x v="33"/>
    <x v="0"/>
    <x v="0"/>
    <x v="1"/>
    <x v="8"/>
    <x v="1"/>
    <x v="0"/>
    <n v="4"/>
    <s v="Friday"/>
    <x v="0"/>
    <x v="0"/>
    <n v="0.2"/>
    <x v="1"/>
    <n v="0.19700000000000001"/>
    <s v="Cold"/>
    <n v="0.5"/>
    <x v="2"/>
    <n v="0.35820000000000002"/>
    <x v="2"/>
    <x v="17"/>
    <n v="184"/>
    <n v="188"/>
    <s v="High Demand"/>
  </r>
  <r>
    <n v="744"/>
    <x v="33"/>
    <x v="0"/>
    <x v="0"/>
    <x v="1"/>
    <x v="9"/>
    <x v="1"/>
    <x v="0"/>
    <n v="4"/>
    <s v="Friday"/>
    <x v="0"/>
    <x v="0"/>
    <n v="0.2"/>
    <x v="1"/>
    <n v="0.21210000000000001"/>
    <s v="Cold"/>
    <n v="0.47"/>
    <x v="2"/>
    <n v="0.29849999999999999"/>
    <x v="1"/>
    <x v="15"/>
    <n v="127"/>
    <n v="133"/>
    <s v="Medium Demand"/>
  </r>
  <r>
    <n v="745"/>
    <x v="33"/>
    <x v="0"/>
    <x v="0"/>
    <x v="1"/>
    <x v="10"/>
    <x v="1"/>
    <x v="0"/>
    <n v="4"/>
    <s v="Friday"/>
    <x v="0"/>
    <x v="0"/>
    <n v="0.2"/>
    <x v="1"/>
    <n v="0.2576"/>
    <s v="Cold"/>
    <n v="0.43"/>
    <x v="2"/>
    <n v="0.32840000000000003"/>
    <x v="2"/>
    <x v="4"/>
    <n v="50"/>
    <n v="52"/>
    <s v="Low Demand"/>
  </r>
  <r>
    <n v="746"/>
    <x v="33"/>
    <x v="0"/>
    <x v="0"/>
    <x v="1"/>
    <x v="11"/>
    <x v="1"/>
    <x v="0"/>
    <n v="4"/>
    <s v="Friday"/>
    <x v="0"/>
    <x v="0"/>
    <n v="0.2"/>
    <x v="1"/>
    <n v="0.2273"/>
    <s v="Cold"/>
    <n v="0.43"/>
    <x v="2"/>
    <n v="0.44779999999999998"/>
    <x v="2"/>
    <x v="14"/>
    <n v="55"/>
    <n v="64"/>
    <s v="Low Demand"/>
  </r>
  <r>
    <n v="747"/>
    <x v="33"/>
    <x v="0"/>
    <x v="0"/>
    <x v="1"/>
    <x v="12"/>
    <x v="2"/>
    <x v="0"/>
    <n v="4"/>
    <s v="Friday"/>
    <x v="0"/>
    <x v="0"/>
    <n v="0.18"/>
    <x v="1"/>
    <n v="0.21210000000000001"/>
    <s v="Cold"/>
    <n v="0.4"/>
    <x v="2"/>
    <n v="0.35820000000000002"/>
    <x v="2"/>
    <x v="4"/>
    <n v="67"/>
    <n v="69"/>
    <s v="Low Demand"/>
  </r>
  <r>
    <n v="748"/>
    <x v="33"/>
    <x v="0"/>
    <x v="0"/>
    <x v="1"/>
    <x v="13"/>
    <x v="2"/>
    <x v="0"/>
    <n v="4"/>
    <s v="Friday"/>
    <x v="0"/>
    <x v="0"/>
    <n v="0.18"/>
    <x v="1"/>
    <n v="0.21210000000000001"/>
    <s v="Cold"/>
    <n v="0.4"/>
    <x v="2"/>
    <n v="0.41789999999999999"/>
    <x v="2"/>
    <x v="17"/>
    <n v="47"/>
    <n v="51"/>
    <s v="Low Demand"/>
  </r>
  <r>
    <n v="749"/>
    <x v="33"/>
    <x v="0"/>
    <x v="0"/>
    <x v="1"/>
    <x v="14"/>
    <x v="2"/>
    <x v="0"/>
    <n v="4"/>
    <s v="Friday"/>
    <x v="0"/>
    <x v="0"/>
    <n v="0.2"/>
    <x v="1"/>
    <n v="0.2273"/>
    <s v="Cold"/>
    <n v="0.37"/>
    <x v="2"/>
    <n v="0.3881"/>
    <x v="2"/>
    <x v="17"/>
    <n v="43"/>
    <n v="47"/>
    <s v="Low Demand"/>
  </r>
  <r>
    <n v="750"/>
    <x v="33"/>
    <x v="0"/>
    <x v="0"/>
    <x v="1"/>
    <x v="15"/>
    <x v="2"/>
    <x v="0"/>
    <n v="4"/>
    <s v="Friday"/>
    <x v="0"/>
    <x v="0"/>
    <n v="0.2"/>
    <x v="1"/>
    <n v="0.2576"/>
    <s v="Cold"/>
    <n v="0.37"/>
    <x v="2"/>
    <n v="0.32840000000000003"/>
    <x v="2"/>
    <x v="17"/>
    <n v="56"/>
    <n v="60"/>
    <s v="Low Demand"/>
  </r>
  <r>
    <n v="751"/>
    <x v="33"/>
    <x v="0"/>
    <x v="0"/>
    <x v="1"/>
    <x v="16"/>
    <x v="2"/>
    <x v="0"/>
    <n v="4"/>
    <s v="Friday"/>
    <x v="0"/>
    <x v="0"/>
    <n v="0.16"/>
    <x v="1"/>
    <n v="0.2273"/>
    <s v="Cold"/>
    <n v="0.37"/>
    <x v="2"/>
    <n v="0.25369999999999998"/>
    <x v="1"/>
    <x v="2"/>
    <n v="73"/>
    <n v="78"/>
    <s v="Medium Demand"/>
  </r>
  <r>
    <n v="752"/>
    <x v="33"/>
    <x v="0"/>
    <x v="0"/>
    <x v="1"/>
    <x v="17"/>
    <x v="2"/>
    <x v="0"/>
    <n v="4"/>
    <s v="Friday"/>
    <x v="0"/>
    <x v="0"/>
    <n v="0.14000000000000001"/>
    <x v="1"/>
    <n v="0.16669999999999999"/>
    <s v="Cold"/>
    <n v="0.4"/>
    <x v="2"/>
    <n v="0.19400000000000001"/>
    <x v="1"/>
    <x v="2"/>
    <n v="170"/>
    <n v="175"/>
    <s v="High Demand"/>
  </r>
  <r>
    <n v="753"/>
    <x v="33"/>
    <x v="0"/>
    <x v="0"/>
    <x v="1"/>
    <x v="18"/>
    <x v="3"/>
    <x v="0"/>
    <n v="4"/>
    <s v="Friday"/>
    <x v="0"/>
    <x v="0"/>
    <n v="0.14000000000000001"/>
    <x v="1"/>
    <n v="0.16669999999999999"/>
    <s v="Cold"/>
    <n v="0.4"/>
    <x v="2"/>
    <n v="0.16420000000000001"/>
    <x v="1"/>
    <x v="4"/>
    <n v="145"/>
    <n v="147"/>
    <s v="Medium Demand"/>
  </r>
  <r>
    <n v="754"/>
    <x v="33"/>
    <x v="0"/>
    <x v="0"/>
    <x v="1"/>
    <x v="19"/>
    <x v="3"/>
    <x v="0"/>
    <n v="4"/>
    <s v="Friday"/>
    <x v="0"/>
    <x v="0"/>
    <n v="0.14000000000000001"/>
    <x v="1"/>
    <n v="0.1515"/>
    <s v="Cold"/>
    <n v="0.4"/>
    <x v="2"/>
    <n v="0"/>
    <x v="0"/>
    <x v="17"/>
    <n v="92"/>
    <n v="96"/>
    <s v="Medium Demand"/>
  </r>
  <r>
    <n v="755"/>
    <x v="33"/>
    <x v="0"/>
    <x v="0"/>
    <x v="1"/>
    <x v="20"/>
    <x v="3"/>
    <x v="0"/>
    <n v="4"/>
    <s v="Friday"/>
    <x v="0"/>
    <x v="0"/>
    <n v="0.16"/>
    <x v="1"/>
    <n v="0.2273"/>
    <s v="Cold"/>
    <n v="0.47"/>
    <x v="2"/>
    <n v="8.9599999999999999E-2"/>
    <x v="0"/>
    <x v="5"/>
    <n v="108"/>
    <n v="109"/>
    <s v="Medium Demand"/>
  </r>
  <r>
    <n v="756"/>
    <x v="33"/>
    <x v="0"/>
    <x v="0"/>
    <x v="1"/>
    <x v="21"/>
    <x v="3"/>
    <x v="0"/>
    <n v="4"/>
    <s v="Friday"/>
    <x v="0"/>
    <x v="0"/>
    <n v="0.14000000000000001"/>
    <x v="1"/>
    <n v="0.21210000000000001"/>
    <s v="Cold"/>
    <n v="0.55000000000000004"/>
    <x v="1"/>
    <n v="0.1045"/>
    <x v="0"/>
    <x v="5"/>
    <n v="53"/>
    <n v="54"/>
    <s v="Low Demand"/>
  </r>
  <r>
    <n v="757"/>
    <x v="33"/>
    <x v="0"/>
    <x v="0"/>
    <x v="1"/>
    <x v="22"/>
    <x v="3"/>
    <x v="0"/>
    <n v="4"/>
    <s v="Friday"/>
    <x v="0"/>
    <x v="0"/>
    <n v="0.14000000000000001"/>
    <x v="1"/>
    <n v="0.1515"/>
    <s v="Cold"/>
    <n v="0.51"/>
    <x v="1"/>
    <n v="8.9599999999999999E-2"/>
    <x v="0"/>
    <x v="4"/>
    <n v="39"/>
    <n v="41"/>
    <s v="Low Demand"/>
  </r>
  <r>
    <n v="758"/>
    <x v="33"/>
    <x v="0"/>
    <x v="0"/>
    <x v="1"/>
    <x v="23"/>
    <x v="3"/>
    <x v="0"/>
    <n v="4"/>
    <s v="Friday"/>
    <x v="0"/>
    <x v="0"/>
    <n v="0.16"/>
    <x v="1"/>
    <n v="0.18179999999999999"/>
    <s v="Cold"/>
    <n v="0.47"/>
    <x v="2"/>
    <n v="0.1045"/>
    <x v="0"/>
    <x v="17"/>
    <n v="34"/>
    <n v="38"/>
    <s v="Low Demand"/>
  </r>
  <r>
    <n v="759"/>
    <x v="34"/>
    <x v="0"/>
    <x v="0"/>
    <x v="1"/>
    <x v="0"/>
    <x v="0"/>
    <x v="0"/>
    <n v="5"/>
    <s v="Saturday"/>
    <x v="1"/>
    <x v="1"/>
    <n v="0.2"/>
    <x v="1"/>
    <n v="0.21210000000000001"/>
    <s v="Cold"/>
    <n v="0.44"/>
    <x v="2"/>
    <n v="0"/>
    <x v="0"/>
    <x v="0"/>
    <n v="10"/>
    <n v="13"/>
    <s v="Low Demand"/>
  </r>
  <r>
    <n v="760"/>
    <x v="34"/>
    <x v="0"/>
    <x v="0"/>
    <x v="1"/>
    <x v="1"/>
    <x v="0"/>
    <x v="0"/>
    <n v="5"/>
    <s v="Saturday"/>
    <x v="1"/>
    <x v="1"/>
    <n v="0.22"/>
    <x v="0"/>
    <n v="0.2273"/>
    <s v="Cold"/>
    <n v="0.59"/>
    <x v="1"/>
    <n v="0"/>
    <x v="0"/>
    <x v="3"/>
    <n v="7"/>
    <n v="7"/>
    <s v="Low Demand"/>
  </r>
  <r>
    <n v="761"/>
    <x v="34"/>
    <x v="0"/>
    <x v="0"/>
    <x v="1"/>
    <x v="2"/>
    <x v="0"/>
    <x v="0"/>
    <n v="5"/>
    <s v="Saturday"/>
    <x v="1"/>
    <x v="1"/>
    <n v="0.24"/>
    <x v="0"/>
    <n v="0.2424"/>
    <s v="Cold"/>
    <n v="0.63"/>
    <x v="1"/>
    <n v="0.1045"/>
    <x v="0"/>
    <x v="3"/>
    <n v="1"/>
    <n v="1"/>
    <s v="Low Demand"/>
  </r>
  <r>
    <n v="762"/>
    <x v="34"/>
    <x v="0"/>
    <x v="0"/>
    <x v="1"/>
    <x v="3"/>
    <x v="0"/>
    <x v="0"/>
    <n v="5"/>
    <s v="Saturday"/>
    <x v="1"/>
    <x v="1"/>
    <n v="0.26"/>
    <x v="0"/>
    <n v="0.2576"/>
    <s v="Cold"/>
    <n v="0.63"/>
    <x v="1"/>
    <n v="0.1045"/>
    <x v="0"/>
    <x v="3"/>
    <n v="1"/>
    <n v="1"/>
    <s v="Low Demand"/>
  </r>
  <r>
    <n v="763"/>
    <x v="34"/>
    <x v="0"/>
    <x v="0"/>
    <x v="1"/>
    <x v="5"/>
    <x v="0"/>
    <x v="0"/>
    <n v="5"/>
    <s v="Saturday"/>
    <x v="1"/>
    <x v="1"/>
    <n v="0.28000000000000003"/>
    <x v="0"/>
    <n v="0.2727"/>
    <s v="Cold"/>
    <n v="0.63"/>
    <x v="1"/>
    <n v="0.1343"/>
    <x v="0"/>
    <x v="3"/>
    <n v="7"/>
    <n v="7"/>
    <s v="Low Demand"/>
  </r>
  <r>
    <n v="764"/>
    <x v="34"/>
    <x v="0"/>
    <x v="0"/>
    <x v="1"/>
    <x v="6"/>
    <x v="1"/>
    <x v="0"/>
    <n v="5"/>
    <s v="Saturday"/>
    <x v="1"/>
    <x v="1"/>
    <n v="0.28000000000000003"/>
    <x v="0"/>
    <n v="0.2727"/>
    <s v="Cold"/>
    <n v="0.55000000000000004"/>
    <x v="1"/>
    <n v="0"/>
    <x v="0"/>
    <x v="4"/>
    <n v="26"/>
    <n v="28"/>
    <s v="Low Demand"/>
  </r>
  <r>
    <n v="765"/>
    <x v="34"/>
    <x v="0"/>
    <x v="0"/>
    <x v="1"/>
    <x v="7"/>
    <x v="1"/>
    <x v="0"/>
    <n v="5"/>
    <s v="Saturday"/>
    <x v="0"/>
    <x v="0"/>
    <n v="0.3"/>
    <x v="0"/>
    <n v="0.28789999999999999"/>
    <s v="Cold"/>
    <n v="0.59"/>
    <x v="1"/>
    <n v="0"/>
    <x v="0"/>
    <x v="3"/>
    <n v="87"/>
    <n v="87"/>
    <s v="Medium Demand"/>
  </r>
  <r>
    <n v="766"/>
    <x v="34"/>
    <x v="0"/>
    <x v="0"/>
    <x v="1"/>
    <x v="8"/>
    <x v="1"/>
    <x v="0"/>
    <n v="5"/>
    <s v="Saturday"/>
    <x v="0"/>
    <x v="0"/>
    <n v="0.26"/>
    <x v="0"/>
    <n v="0.2727"/>
    <s v="Cold"/>
    <n v="0.74"/>
    <x v="1"/>
    <n v="0.1343"/>
    <x v="0"/>
    <x v="0"/>
    <n v="217"/>
    <n v="220"/>
    <s v="High Demand"/>
  </r>
  <r>
    <n v="767"/>
    <x v="34"/>
    <x v="0"/>
    <x v="0"/>
    <x v="1"/>
    <x v="9"/>
    <x v="1"/>
    <x v="0"/>
    <n v="5"/>
    <s v="Saturday"/>
    <x v="1"/>
    <x v="1"/>
    <n v="0.24"/>
    <x v="0"/>
    <n v="0.2576"/>
    <s v="Cold"/>
    <n v="0.8"/>
    <x v="0"/>
    <n v="0.1343"/>
    <x v="0"/>
    <x v="0"/>
    <n v="124"/>
    <n v="127"/>
    <s v="Medium Demand"/>
  </r>
  <r>
    <n v="768"/>
    <x v="34"/>
    <x v="0"/>
    <x v="0"/>
    <x v="1"/>
    <x v="10"/>
    <x v="1"/>
    <x v="0"/>
    <n v="5"/>
    <s v="Saturday"/>
    <x v="1"/>
    <x v="1"/>
    <n v="0.24"/>
    <x v="0"/>
    <n v="0.2424"/>
    <s v="Cold"/>
    <n v="0.51"/>
    <x v="1"/>
    <n v="0.1343"/>
    <x v="0"/>
    <x v="2"/>
    <n v="46"/>
    <n v="51"/>
    <s v="Low Demand"/>
  </r>
  <r>
    <n v="769"/>
    <x v="34"/>
    <x v="0"/>
    <x v="0"/>
    <x v="1"/>
    <x v="11"/>
    <x v="1"/>
    <x v="0"/>
    <n v="5"/>
    <s v="Saturday"/>
    <x v="0"/>
    <x v="0"/>
    <n v="0.24"/>
    <x v="0"/>
    <n v="0.2424"/>
    <s v="Cold"/>
    <n v="0.51"/>
    <x v="1"/>
    <n v="0.16420000000000001"/>
    <x v="1"/>
    <x v="0"/>
    <n v="61"/>
    <n v="64"/>
    <s v="Low Demand"/>
  </r>
  <r>
    <n v="770"/>
    <x v="34"/>
    <x v="0"/>
    <x v="0"/>
    <x v="1"/>
    <x v="12"/>
    <x v="2"/>
    <x v="0"/>
    <n v="5"/>
    <s v="Saturday"/>
    <x v="1"/>
    <x v="1"/>
    <n v="0.24"/>
    <x v="0"/>
    <n v="0.2424"/>
    <s v="Cold"/>
    <n v="0.48"/>
    <x v="2"/>
    <n v="0.16420000000000001"/>
    <x v="1"/>
    <x v="1"/>
    <n v="78"/>
    <n v="86"/>
    <s v="Medium Demand"/>
  </r>
  <r>
    <n v="771"/>
    <x v="34"/>
    <x v="0"/>
    <x v="0"/>
    <x v="1"/>
    <x v="13"/>
    <x v="2"/>
    <x v="0"/>
    <n v="5"/>
    <s v="Saturday"/>
    <x v="1"/>
    <x v="1"/>
    <n v="0.24"/>
    <x v="0"/>
    <n v="0.2424"/>
    <s v="Cold"/>
    <n v="0.5"/>
    <x v="2"/>
    <n v="0.22389999999999999"/>
    <x v="1"/>
    <x v="14"/>
    <n v="73"/>
    <n v="82"/>
    <s v="Medium Demand"/>
  </r>
  <r>
    <n v="772"/>
    <x v="34"/>
    <x v="0"/>
    <x v="0"/>
    <x v="1"/>
    <x v="14"/>
    <x v="2"/>
    <x v="0"/>
    <n v="5"/>
    <s v="Saturday"/>
    <x v="1"/>
    <x v="1"/>
    <n v="0.24"/>
    <x v="0"/>
    <n v="0.2424"/>
    <s v="Cold"/>
    <n v="0.45"/>
    <x v="2"/>
    <n v="0.16420000000000001"/>
    <x v="1"/>
    <x v="13"/>
    <n v="76"/>
    <n v="91"/>
    <s v="Medium Demand"/>
  </r>
  <r>
    <n v="773"/>
    <x v="34"/>
    <x v="0"/>
    <x v="0"/>
    <x v="1"/>
    <x v="15"/>
    <x v="2"/>
    <x v="0"/>
    <n v="5"/>
    <s v="Saturday"/>
    <x v="1"/>
    <x v="1"/>
    <n v="0.24"/>
    <x v="0"/>
    <n v="0.2424"/>
    <s v="Cold"/>
    <n v="0.48"/>
    <x v="2"/>
    <n v="0.25369999999999998"/>
    <x v="1"/>
    <x v="14"/>
    <n v="81"/>
    <n v="90"/>
    <s v="Medium Demand"/>
  </r>
  <r>
    <n v="774"/>
    <x v="34"/>
    <x v="0"/>
    <x v="0"/>
    <x v="1"/>
    <x v="16"/>
    <x v="2"/>
    <x v="0"/>
    <n v="5"/>
    <s v="Saturday"/>
    <x v="1"/>
    <x v="1"/>
    <n v="0.24"/>
    <x v="0"/>
    <n v="0.2424"/>
    <s v="Cold"/>
    <n v="0.42"/>
    <x v="2"/>
    <n v="0.22389999999999999"/>
    <x v="1"/>
    <x v="1"/>
    <n v="91"/>
    <n v="99"/>
    <s v="Medium Demand"/>
  </r>
  <r>
    <n v="775"/>
    <x v="34"/>
    <x v="0"/>
    <x v="0"/>
    <x v="1"/>
    <x v="17"/>
    <x v="2"/>
    <x v="0"/>
    <n v="5"/>
    <s v="Saturday"/>
    <x v="1"/>
    <x v="1"/>
    <n v="0.24"/>
    <x v="0"/>
    <n v="0.2424"/>
    <s v="Cold"/>
    <n v="0.56000000000000005"/>
    <x v="1"/>
    <n v="0.1343"/>
    <x v="0"/>
    <x v="22"/>
    <n v="195"/>
    <n v="205"/>
    <s v="High Demand"/>
  </r>
  <r>
    <n v="776"/>
    <x v="34"/>
    <x v="0"/>
    <x v="0"/>
    <x v="1"/>
    <x v="18"/>
    <x v="3"/>
    <x v="0"/>
    <n v="5"/>
    <s v="Saturday"/>
    <x v="1"/>
    <x v="1"/>
    <n v="0.24"/>
    <x v="0"/>
    <n v="0.2424"/>
    <s v="Cold"/>
    <n v="0.6"/>
    <x v="1"/>
    <n v="0.1045"/>
    <x v="0"/>
    <x v="0"/>
    <n v="152"/>
    <n v="155"/>
    <s v="High Demand"/>
  </r>
  <r>
    <n v="777"/>
    <x v="34"/>
    <x v="0"/>
    <x v="0"/>
    <x v="1"/>
    <x v="19"/>
    <x v="3"/>
    <x v="0"/>
    <n v="5"/>
    <s v="Saturday"/>
    <x v="1"/>
    <x v="1"/>
    <n v="0.22"/>
    <x v="0"/>
    <n v="0.2273"/>
    <s v="Cold"/>
    <n v="0.65"/>
    <x v="1"/>
    <n v="0.1343"/>
    <x v="0"/>
    <x v="5"/>
    <n v="102"/>
    <n v="103"/>
    <s v="Medium Demand"/>
  </r>
  <r>
    <n v="778"/>
    <x v="34"/>
    <x v="0"/>
    <x v="0"/>
    <x v="1"/>
    <x v="20"/>
    <x v="3"/>
    <x v="0"/>
    <n v="5"/>
    <s v="Saturday"/>
    <x v="1"/>
    <x v="1"/>
    <n v="0.2"/>
    <x v="1"/>
    <n v="0.2273"/>
    <s v="Cold"/>
    <n v="0.65"/>
    <x v="1"/>
    <n v="0.16420000000000001"/>
    <x v="1"/>
    <x v="4"/>
    <n v="69"/>
    <n v="71"/>
    <s v="Low Demand"/>
  </r>
  <r>
    <n v="779"/>
    <x v="34"/>
    <x v="0"/>
    <x v="0"/>
    <x v="1"/>
    <x v="21"/>
    <x v="3"/>
    <x v="0"/>
    <n v="5"/>
    <s v="Saturday"/>
    <x v="1"/>
    <x v="1"/>
    <n v="0.2"/>
    <x v="1"/>
    <n v="0.2576"/>
    <s v="Cold"/>
    <n v="0.7"/>
    <x v="1"/>
    <n v="0.16420000000000001"/>
    <x v="1"/>
    <x v="4"/>
    <n v="41"/>
    <n v="43"/>
    <s v="Low Demand"/>
  </r>
  <r>
    <n v="780"/>
    <x v="34"/>
    <x v="0"/>
    <x v="0"/>
    <x v="1"/>
    <x v="22"/>
    <x v="3"/>
    <x v="0"/>
    <n v="5"/>
    <s v="Saturday"/>
    <x v="1"/>
    <x v="1"/>
    <n v="0.22"/>
    <x v="0"/>
    <n v="0.2576"/>
    <s v="Cold"/>
    <n v="0.65"/>
    <x v="1"/>
    <n v="0.16420000000000001"/>
    <x v="1"/>
    <x v="5"/>
    <n v="45"/>
    <n v="46"/>
    <s v="Low Demand"/>
  </r>
  <r>
    <n v="781"/>
    <x v="34"/>
    <x v="0"/>
    <x v="0"/>
    <x v="1"/>
    <x v="23"/>
    <x v="3"/>
    <x v="0"/>
    <n v="5"/>
    <s v="Saturday"/>
    <x v="1"/>
    <x v="1"/>
    <n v="0.2"/>
    <x v="1"/>
    <n v="0.2273"/>
    <s v="Cold"/>
    <n v="0.7"/>
    <x v="1"/>
    <n v="0.1343"/>
    <x v="0"/>
    <x v="5"/>
    <n v="30"/>
    <n v="31"/>
    <s v="Low Demand"/>
  </r>
  <r>
    <n v="782"/>
    <x v="35"/>
    <x v="0"/>
    <x v="0"/>
    <x v="1"/>
    <x v="0"/>
    <x v="0"/>
    <x v="0"/>
    <n v="6"/>
    <s v="Sunday"/>
    <x v="1"/>
    <x v="1"/>
    <n v="0.2"/>
    <x v="1"/>
    <n v="0.2273"/>
    <s v="Cold"/>
    <n v="0.7"/>
    <x v="1"/>
    <n v="0.16420000000000001"/>
    <x v="1"/>
    <x v="0"/>
    <n v="36"/>
    <n v="39"/>
    <s v="Low Demand"/>
  </r>
  <r>
    <n v="783"/>
    <x v="35"/>
    <x v="0"/>
    <x v="0"/>
    <x v="1"/>
    <x v="1"/>
    <x v="0"/>
    <x v="0"/>
    <n v="6"/>
    <s v="Sunday"/>
    <x v="1"/>
    <x v="1"/>
    <n v="0.2"/>
    <x v="1"/>
    <n v="0.21210000000000001"/>
    <s v="Cold"/>
    <n v="0.65"/>
    <x v="1"/>
    <n v="0.16420000000000001"/>
    <x v="1"/>
    <x v="5"/>
    <n v="17"/>
    <n v="18"/>
    <s v="Low Demand"/>
  </r>
  <r>
    <n v="784"/>
    <x v="35"/>
    <x v="0"/>
    <x v="0"/>
    <x v="1"/>
    <x v="2"/>
    <x v="0"/>
    <x v="0"/>
    <n v="6"/>
    <s v="Sunday"/>
    <x v="1"/>
    <x v="1"/>
    <n v="0.22"/>
    <x v="0"/>
    <n v="0.2273"/>
    <s v="Cold"/>
    <n v="0.75"/>
    <x v="1"/>
    <n v="0.16420000000000001"/>
    <x v="1"/>
    <x v="2"/>
    <n v="12"/>
    <n v="17"/>
    <s v="Low Demand"/>
  </r>
  <r>
    <n v="785"/>
    <x v="35"/>
    <x v="0"/>
    <x v="0"/>
    <x v="1"/>
    <x v="3"/>
    <x v="0"/>
    <x v="0"/>
    <n v="6"/>
    <s v="Sunday"/>
    <x v="1"/>
    <x v="1"/>
    <n v="0.22"/>
    <x v="0"/>
    <n v="0.2273"/>
    <s v="Cold"/>
    <n v="0.75"/>
    <x v="1"/>
    <n v="0.16420000000000001"/>
    <x v="1"/>
    <x v="5"/>
    <n v="10"/>
    <n v="11"/>
    <s v="Low Demand"/>
  </r>
  <r>
    <n v="786"/>
    <x v="35"/>
    <x v="0"/>
    <x v="0"/>
    <x v="1"/>
    <x v="4"/>
    <x v="0"/>
    <x v="0"/>
    <n v="6"/>
    <s v="Sunday"/>
    <x v="2"/>
    <x v="2"/>
    <n v="0.22"/>
    <x v="0"/>
    <n v="0.2273"/>
    <s v="Cold"/>
    <n v="0.93"/>
    <x v="0"/>
    <n v="0.1343"/>
    <x v="0"/>
    <x v="3"/>
    <n v="8"/>
    <n v="8"/>
    <s v="Low Demand"/>
  </r>
  <r>
    <n v="787"/>
    <x v="35"/>
    <x v="0"/>
    <x v="0"/>
    <x v="1"/>
    <x v="5"/>
    <x v="0"/>
    <x v="0"/>
    <n v="6"/>
    <s v="Sunday"/>
    <x v="2"/>
    <x v="2"/>
    <n v="0.22"/>
    <x v="0"/>
    <n v="0.2727"/>
    <s v="Cold"/>
    <n v="1"/>
    <x v="0"/>
    <n v="8.9599999999999999E-2"/>
    <x v="0"/>
    <x v="3"/>
    <n v="9"/>
    <n v="9"/>
    <s v="Low Demand"/>
  </r>
  <r>
    <n v="788"/>
    <x v="35"/>
    <x v="0"/>
    <x v="0"/>
    <x v="1"/>
    <x v="6"/>
    <x v="1"/>
    <x v="0"/>
    <n v="6"/>
    <s v="Sunday"/>
    <x v="2"/>
    <x v="2"/>
    <n v="0.22"/>
    <x v="0"/>
    <n v="0.2727"/>
    <s v="Cold"/>
    <n v="1"/>
    <x v="0"/>
    <n v="0"/>
    <x v="0"/>
    <x v="3"/>
    <n v="4"/>
    <n v="4"/>
    <s v="Low Demand"/>
  </r>
  <r>
    <n v="789"/>
    <x v="35"/>
    <x v="0"/>
    <x v="0"/>
    <x v="1"/>
    <x v="7"/>
    <x v="1"/>
    <x v="0"/>
    <n v="6"/>
    <s v="Sunday"/>
    <x v="2"/>
    <x v="2"/>
    <n v="0.22"/>
    <x v="0"/>
    <n v="0.2273"/>
    <s v="Cold"/>
    <n v="0.93"/>
    <x v="0"/>
    <n v="8.9599999999999999E-2"/>
    <x v="0"/>
    <x v="3"/>
    <n v="4"/>
    <n v="4"/>
    <s v="Low Demand"/>
  </r>
  <r>
    <n v="790"/>
    <x v="35"/>
    <x v="0"/>
    <x v="0"/>
    <x v="1"/>
    <x v="8"/>
    <x v="1"/>
    <x v="0"/>
    <n v="6"/>
    <s v="Sunday"/>
    <x v="2"/>
    <x v="2"/>
    <n v="0.24"/>
    <x v="0"/>
    <n v="0.21210000000000001"/>
    <s v="Cold"/>
    <n v="1"/>
    <x v="0"/>
    <n v="8.9599999999999999E-2"/>
    <x v="0"/>
    <x v="3"/>
    <n v="10"/>
    <n v="10"/>
    <s v="Low Demand"/>
  </r>
  <r>
    <n v="791"/>
    <x v="35"/>
    <x v="0"/>
    <x v="0"/>
    <x v="1"/>
    <x v="9"/>
    <x v="1"/>
    <x v="0"/>
    <n v="6"/>
    <s v="Sunday"/>
    <x v="2"/>
    <x v="2"/>
    <n v="0.28000000000000003"/>
    <x v="0"/>
    <n v="0.2424"/>
    <s v="Cold"/>
    <n v="1"/>
    <x v="0"/>
    <n v="8.9599999999999999E-2"/>
    <x v="0"/>
    <x v="0"/>
    <n v="17"/>
    <n v="20"/>
    <s v="Low Demand"/>
  </r>
  <r>
    <n v="792"/>
    <x v="35"/>
    <x v="0"/>
    <x v="0"/>
    <x v="1"/>
    <x v="10"/>
    <x v="1"/>
    <x v="0"/>
    <n v="6"/>
    <s v="Sunday"/>
    <x v="2"/>
    <x v="2"/>
    <n v="0.28000000000000003"/>
    <x v="0"/>
    <n v="0.2424"/>
    <s v="Cold"/>
    <n v="1"/>
    <x v="0"/>
    <n v="0.1343"/>
    <x v="0"/>
    <x v="0"/>
    <n v="31"/>
    <n v="34"/>
    <s v="Low Demand"/>
  </r>
  <r>
    <n v="793"/>
    <x v="35"/>
    <x v="0"/>
    <x v="0"/>
    <x v="1"/>
    <x v="11"/>
    <x v="1"/>
    <x v="0"/>
    <n v="6"/>
    <s v="Sunday"/>
    <x v="2"/>
    <x v="2"/>
    <n v="0.3"/>
    <x v="0"/>
    <n v="0.28789999999999999"/>
    <s v="Cold"/>
    <n v="1"/>
    <x v="0"/>
    <n v="0.1343"/>
    <x v="0"/>
    <x v="5"/>
    <n v="46"/>
    <n v="47"/>
    <s v="Low Demand"/>
  </r>
  <r>
    <n v="794"/>
    <x v="35"/>
    <x v="0"/>
    <x v="0"/>
    <x v="1"/>
    <x v="12"/>
    <x v="2"/>
    <x v="0"/>
    <n v="6"/>
    <s v="Sunday"/>
    <x v="2"/>
    <x v="2"/>
    <n v="0.26"/>
    <x v="0"/>
    <n v="0.2576"/>
    <s v="Cold"/>
    <n v="1"/>
    <x v="0"/>
    <n v="0.16420000000000001"/>
    <x v="1"/>
    <x v="22"/>
    <n v="42"/>
    <n v="52"/>
    <s v="Low Demand"/>
  </r>
  <r>
    <n v="795"/>
    <x v="35"/>
    <x v="0"/>
    <x v="0"/>
    <x v="1"/>
    <x v="13"/>
    <x v="2"/>
    <x v="0"/>
    <n v="6"/>
    <s v="Sunday"/>
    <x v="2"/>
    <x v="2"/>
    <n v="0.26"/>
    <x v="0"/>
    <n v="0.2727"/>
    <s v="Cold"/>
    <n v="1"/>
    <x v="0"/>
    <n v="0.16420000000000001"/>
    <x v="1"/>
    <x v="22"/>
    <n v="62"/>
    <n v="72"/>
    <s v="Low Demand"/>
  </r>
  <r>
    <n v="796"/>
    <x v="35"/>
    <x v="0"/>
    <x v="0"/>
    <x v="1"/>
    <x v="14"/>
    <x v="2"/>
    <x v="0"/>
    <n v="6"/>
    <s v="Sunday"/>
    <x v="2"/>
    <x v="2"/>
    <n v="0.26"/>
    <x v="0"/>
    <n v="0.2576"/>
    <s v="Cold"/>
    <n v="1"/>
    <x v="0"/>
    <n v="0"/>
    <x v="0"/>
    <x v="2"/>
    <n v="50"/>
    <n v="55"/>
    <s v="Low Demand"/>
  </r>
  <r>
    <n v="797"/>
    <x v="35"/>
    <x v="0"/>
    <x v="0"/>
    <x v="1"/>
    <x v="15"/>
    <x v="2"/>
    <x v="0"/>
    <n v="6"/>
    <s v="Sunday"/>
    <x v="2"/>
    <x v="2"/>
    <n v="0.26"/>
    <x v="0"/>
    <n v="0.2576"/>
    <s v="Cold"/>
    <n v="1"/>
    <x v="0"/>
    <n v="0"/>
    <x v="0"/>
    <x v="16"/>
    <n v="49"/>
    <n v="60"/>
    <s v="Low Demand"/>
  </r>
  <r>
    <n v="798"/>
    <x v="35"/>
    <x v="0"/>
    <x v="0"/>
    <x v="1"/>
    <x v="16"/>
    <x v="2"/>
    <x v="0"/>
    <n v="6"/>
    <s v="Sunday"/>
    <x v="2"/>
    <x v="2"/>
    <n v="0.26"/>
    <x v="0"/>
    <n v="0.2273"/>
    <s v="Cold"/>
    <n v="1"/>
    <x v="0"/>
    <n v="0.1343"/>
    <x v="0"/>
    <x v="1"/>
    <n v="63"/>
    <n v="71"/>
    <s v="Low Demand"/>
  </r>
  <r>
    <n v="799"/>
    <x v="35"/>
    <x v="0"/>
    <x v="0"/>
    <x v="1"/>
    <x v="17"/>
    <x v="2"/>
    <x v="0"/>
    <n v="6"/>
    <s v="Sunday"/>
    <x v="1"/>
    <x v="1"/>
    <n v="0.26"/>
    <x v="0"/>
    <n v="0.2273"/>
    <s v="Cold"/>
    <n v="1"/>
    <x v="0"/>
    <n v="0.28360000000000002"/>
    <x v="1"/>
    <x v="24"/>
    <n v="64"/>
    <n v="78"/>
    <s v="Medium Demand"/>
  </r>
  <r>
    <n v="800"/>
    <x v="35"/>
    <x v="0"/>
    <x v="0"/>
    <x v="1"/>
    <x v="18"/>
    <x v="3"/>
    <x v="0"/>
    <n v="6"/>
    <s v="Sunday"/>
    <x v="1"/>
    <x v="1"/>
    <n v="0.26"/>
    <x v="0"/>
    <n v="0.28789999999999999"/>
    <s v="Cold"/>
    <n v="0.93"/>
    <x v="0"/>
    <n v="0.44779999999999998"/>
    <x v="2"/>
    <x v="4"/>
    <n v="81"/>
    <n v="83"/>
    <s v="Medium Demand"/>
  </r>
  <r>
    <n v="801"/>
    <x v="35"/>
    <x v="0"/>
    <x v="0"/>
    <x v="1"/>
    <x v="19"/>
    <x v="3"/>
    <x v="0"/>
    <n v="6"/>
    <s v="Sunday"/>
    <x v="1"/>
    <x v="1"/>
    <n v="0.26"/>
    <x v="0"/>
    <n v="0.2273"/>
    <s v="Cold"/>
    <n v="0.93"/>
    <x v="0"/>
    <n v="0.44779999999999998"/>
    <x v="2"/>
    <x v="15"/>
    <n v="78"/>
    <n v="84"/>
    <s v="Medium Demand"/>
  </r>
  <r>
    <n v="802"/>
    <x v="35"/>
    <x v="0"/>
    <x v="0"/>
    <x v="1"/>
    <x v="20"/>
    <x v="3"/>
    <x v="0"/>
    <n v="6"/>
    <s v="Sunday"/>
    <x v="0"/>
    <x v="0"/>
    <n v="0.26"/>
    <x v="0"/>
    <n v="0.2576"/>
    <s v="Cold"/>
    <n v="0.87"/>
    <x v="0"/>
    <n v="0.25369999999999998"/>
    <x v="1"/>
    <x v="2"/>
    <n v="64"/>
    <n v="69"/>
    <s v="Low Demand"/>
  </r>
  <r>
    <n v="803"/>
    <x v="35"/>
    <x v="0"/>
    <x v="0"/>
    <x v="1"/>
    <x v="21"/>
    <x v="3"/>
    <x v="0"/>
    <n v="6"/>
    <s v="Sunday"/>
    <x v="0"/>
    <x v="0"/>
    <n v="0.26"/>
    <x v="0"/>
    <n v="0.2576"/>
    <s v="Cold"/>
    <n v="1"/>
    <x v="0"/>
    <n v="0.19400000000000001"/>
    <x v="1"/>
    <x v="0"/>
    <n v="53"/>
    <n v="56"/>
    <s v="Low Demand"/>
  </r>
  <r>
    <n v="804"/>
    <x v="35"/>
    <x v="0"/>
    <x v="0"/>
    <x v="1"/>
    <x v="22"/>
    <x v="3"/>
    <x v="0"/>
    <n v="6"/>
    <s v="Sunday"/>
    <x v="0"/>
    <x v="0"/>
    <n v="0.24"/>
    <x v="0"/>
    <n v="0.2424"/>
    <s v="Cold"/>
    <n v="0.93"/>
    <x v="0"/>
    <n v="0.1343"/>
    <x v="0"/>
    <x v="4"/>
    <n v="43"/>
    <n v="45"/>
    <s v="Low Demand"/>
  </r>
  <r>
    <n v="805"/>
    <x v="35"/>
    <x v="0"/>
    <x v="0"/>
    <x v="1"/>
    <x v="23"/>
    <x v="3"/>
    <x v="0"/>
    <n v="6"/>
    <s v="Sunday"/>
    <x v="0"/>
    <x v="0"/>
    <n v="0.24"/>
    <x v="0"/>
    <n v="0.2576"/>
    <s v="Cold"/>
    <n v="0.93"/>
    <x v="0"/>
    <n v="0.22389999999999999"/>
    <x v="1"/>
    <x v="18"/>
    <n v="52"/>
    <n v="59"/>
    <s v="Low Demand"/>
  </r>
  <r>
    <n v="806"/>
    <x v="36"/>
    <x v="0"/>
    <x v="0"/>
    <x v="1"/>
    <x v="0"/>
    <x v="0"/>
    <x v="0"/>
    <n v="0"/>
    <s v="Monday"/>
    <x v="0"/>
    <x v="0"/>
    <n v="0.28000000000000003"/>
    <x v="0"/>
    <n v="0.28789999999999999"/>
    <s v="Cold"/>
    <n v="0.7"/>
    <x v="1"/>
    <n v="0.19400000000000001"/>
    <x v="1"/>
    <x v="4"/>
    <n v="37"/>
    <n v="39"/>
    <s v="Low Demand"/>
  </r>
  <r>
    <n v="807"/>
    <x v="36"/>
    <x v="0"/>
    <x v="0"/>
    <x v="1"/>
    <x v="1"/>
    <x v="0"/>
    <x v="0"/>
    <n v="0"/>
    <s v="Monday"/>
    <x v="0"/>
    <x v="0"/>
    <n v="0.3"/>
    <x v="0"/>
    <n v="0.28789999999999999"/>
    <s v="Cold"/>
    <n v="0.65"/>
    <x v="1"/>
    <n v="0.41789999999999999"/>
    <x v="2"/>
    <x v="17"/>
    <n v="40"/>
    <n v="44"/>
    <s v="Low Demand"/>
  </r>
  <r>
    <n v="808"/>
    <x v="36"/>
    <x v="0"/>
    <x v="0"/>
    <x v="1"/>
    <x v="2"/>
    <x v="0"/>
    <x v="0"/>
    <n v="0"/>
    <s v="Monday"/>
    <x v="0"/>
    <x v="0"/>
    <n v="0.32"/>
    <x v="0"/>
    <n v="0.30299999999999999"/>
    <s v="Pleasant"/>
    <n v="0.6"/>
    <x v="1"/>
    <n v="0.32840000000000003"/>
    <x v="2"/>
    <x v="3"/>
    <n v="20"/>
    <n v="20"/>
    <s v="Low Demand"/>
  </r>
  <r>
    <n v="809"/>
    <x v="36"/>
    <x v="0"/>
    <x v="0"/>
    <x v="1"/>
    <x v="3"/>
    <x v="0"/>
    <x v="0"/>
    <n v="0"/>
    <s v="Monday"/>
    <x v="0"/>
    <x v="0"/>
    <n v="0.34"/>
    <x v="0"/>
    <n v="0.33329999999999999"/>
    <s v="Pleasant"/>
    <n v="0.6"/>
    <x v="1"/>
    <n v="8.9599999999999999E-2"/>
    <x v="0"/>
    <x v="0"/>
    <n v="10"/>
    <n v="13"/>
    <s v="Low Demand"/>
  </r>
  <r>
    <n v="810"/>
    <x v="36"/>
    <x v="0"/>
    <x v="0"/>
    <x v="1"/>
    <x v="4"/>
    <x v="0"/>
    <x v="0"/>
    <n v="0"/>
    <s v="Monday"/>
    <x v="0"/>
    <x v="0"/>
    <n v="0.34"/>
    <x v="0"/>
    <n v="0.36359999999999998"/>
    <s v="Pleasant"/>
    <n v="0.6"/>
    <x v="1"/>
    <n v="0.35820000000000002"/>
    <x v="2"/>
    <x v="3"/>
    <n v="2"/>
    <n v="2"/>
    <s v="Low Demand"/>
  </r>
  <r>
    <n v="811"/>
    <x v="36"/>
    <x v="0"/>
    <x v="0"/>
    <x v="1"/>
    <x v="5"/>
    <x v="0"/>
    <x v="0"/>
    <n v="0"/>
    <s v="Monday"/>
    <x v="0"/>
    <x v="0"/>
    <n v="0.34"/>
    <x v="0"/>
    <n v="0.34849999999999998"/>
    <s v="Pleasant"/>
    <n v="0.6"/>
    <x v="1"/>
    <n v="0.22389999999999999"/>
    <x v="1"/>
    <x v="3"/>
    <n v="1"/>
    <n v="1"/>
    <s v="Low Demand"/>
  </r>
  <r>
    <n v="812"/>
    <x v="36"/>
    <x v="0"/>
    <x v="0"/>
    <x v="1"/>
    <x v="6"/>
    <x v="1"/>
    <x v="0"/>
    <n v="0"/>
    <s v="Monday"/>
    <x v="0"/>
    <x v="0"/>
    <n v="0.34"/>
    <x v="0"/>
    <n v="0.34849999999999998"/>
    <s v="Pleasant"/>
    <n v="0.6"/>
    <x v="1"/>
    <n v="0.22389999999999999"/>
    <x v="1"/>
    <x v="3"/>
    <n v="1"/>
    <n v="1"/>
    <s v="Low Demand"/>
  </r>
  <r>
    <n v="813"/>
    <x v="36"/>
    <x v="0"/>
    <x v="0"/>
    <x v="1"/>
    <x v="7"/>
    <x v="1"/>
    <x v="0"/>
    <n v="0"/>
    <s v="Monday"/>
    <x v="0"/>
    <x v="0"/>
    <n v="0.34"/>
    <x v="0"/>
    <n v="0.34849999999999998"/>
    <s v="Pleasant"/>
    <n v="0.65"/>
    <x v="1"/>
    <n v="0.16420000000000001"/>
    <x v="1"/>
    <x v="3"/>
    <n v="8"/>
    <n v="8"/>
    <s v="Low Demand"/>
  </r>
  <r>
    <n v="814"/>
    <x v="36"/>
    <x v="0"/>
    <x v="0"/>
    <x v="1"/>
    <x v="8"/>
    <x v="1"/>
    <x v="0"/>
    <n v="0"/>
    <s v="Monday"/>
    <x v="0"/>
    <x v="0"/>
    <n v="0.34"/>
    <x v="0"/>
    <n v="0.36359999999999998"/>
    <s v="Pleasant"/>
    <n v="0.65"/>
    <x v="1"/>
    <n v="0.1045"/>
    <x v="0"/>
    <x v="4"/>
    <n v="21"/>
    <n v="23"/>
    <s v="Low Demand"/>
  </r>
  <r>
    <n v="815"/>
    <x v="36"/>
    <x v="0"/>
    <x v="0"/>
    <x v="1"/>
    <x v="9"/>
    <x v="1"/>
    <x v="0"/>
    <n v="0"/>
    <s v="Monday"/>
    <x v="0"/>
    <x v="0"/>
    <n v="0.3"/>
    <x v="0"/>
    <n v="0.30299999999999999"/>
    <s v="Pleasant"/>
    <n v="0.56000000000000005"/>
    <x v="1"/>
    <n v="0.1045"/>
    <x v="0"/>
    <x v="18"/>
    <n v="38"/>
    <n v="45"/>
    <s v="Low Demand"/>
  </r>
  <r>
    <n v="816"/>
    <x v="36"/>
    <x v="0"/>
    <x v="0"/>
    <x v="1"/>
    <x v="10"/>
    <x v="1"/>
    <x v="0"/>
    <n v="0"/>
    <s v="Monday"/>
    <x v="0"/>
    <x v="0"/>
    <n v="0.28000000000000003"/>
    <x v="0"/>
    <n v="0.28789999999999999"/>
    <s v="Cold"/>
    <n v="0.52"/>
    <x v="1"/>
    <n v="0.25369999999999998"/>
    <x v="1"/>
    <x v="13"/>
    <n v="74"/>
    <n v="89"/>
    <s v="Medium Demand"/>
  </r>
  <r>
    <n v="817"/>
    <x v="36"/>
    <x v="0"/>
    <x v="0"/>
    <x v="1"/>
    <x v="11"/>
    <x v="1"/>
    <x v="0"/>
    <n v="0"/>
    <s v="Monday"/>
    <x v="0"/>
    <x v="0"/>
    <n v="0.28000000000000003"/>
    <x v="0"/>
    <n v="0.28789999999999999"/>
    <s v="Cold"/>
    <n v="0.49"/>
    <x v="2"/>
    <n v="0.25369999999999998"/>
    <x v="1"/>
    <x v="32"/>
    <n v="89"/>
    <n v="117"/>
    <s v="Medium Demand"/>
  </r>
  <r>
    <n v="818"/>
    <x v="36"/>
    <x v="0"/>
    <x v="0"/>
    <x v="1"/>
    <x v="12"/>
    <x v="2"/>
    <x v="0"/>
    <n v="0"/>
    <s v="Monday"/>
    <x v="0"/>
    <x v="0"/>
    <n v="0.26"/>
    <x v="0"/>
    <n v="0.30299999999999999"/>
    <s v="Pleasant"/>
    <n v="0.46"/>
    <x v="2"/>
    <n v="0"/>
    <x v="0"/>
    <x v="33"/>
    <n v="126"/>
    <n v="174"/>
    <s v="High Demand"/>
  </r>
  <r>
    <n v="819"/>
    <x v="36"/>
    <x v="0"/>
    <x v="0"/>
    <x v="1"/>
    <x v="13"/>
    <x v="2"/>
    <x v="0"/>
    <n v="0"/>
    <s v="Monday"/>
    <x v="0"/>
    <x v="0"/>
    <n v="0.26"/>
    <x v="0"/>
    <n v="0.30299999999999999"/>
    <s v="Pleasant"/>
    <n v="0.46"/>
    <x v="2"/>
    <n v="0"/>
    <x v="0"/>
    <x v="9"/>
    <n v="135"/>
    <n v="182"/>
    <s v="High Demand"/>
  </r>
  <r>
    <n v="820"/>
    <x v="36"/>
    <x v="0"/>
    <x v="0"/>
    <x v="1"/>
    <x v="14"/>
    <x v="2"/>
    <x v="0"/>
    <n v="0"/>
    <s v="Monday"/>
    <x v="0"/>
    <x v="0"/>
    <n v="0.24"/>
    <x v="0"/>
    <n v="0.28789999999999999"/>
    <s v="Cold"/>
    <n v="0.46"/>
    <x v="2"/>
    <n v="8.9599999999999999E-2"/>
    <x v="0"/>
    <x v="9"/>
    <n v="114"/>
    <n v="161"/>
    <s v="High Demand"/>
  </r>
  <r>
    <n v="821"/>
    <x v="36"/>
    <x v="0"/>
    <x v="0"/>
    <x v="1"/>
    <x v="15"/>
    <x v="2"/>
    <x v="0"/>
    <n v="0"/>
    <s v="Monday"/>
    <x v="0"/>
    <x v="0"/>
    <n v="0.24"/>
    <x v="0"/>
    <n v="0.28789999999999999"/>
    <s v="Cold"/>
    <n v="0.46"/>
    <x v="2"/>
    <n v="8.9599999999999999E-2"/>
    <x v="0"/>
    <x v="34"/>
    <n v="130"/>
    <n v="182"/>
    <s v="High Demand"/>
  </r>
  <r>
    <n v="822"/>
    <x v="36"/>
    <x v="0"/>
    <x v="0"/>
    <x v="1"/>
    <x v="16"/>
    <x v="2"/>
    <x v="0"/>
    <n v="0"/>
    <s v="Monday"/>
    <x v="0"/>
    <x v="0"/>
    <n v="0.22"/>
    <x v="0"/>
    <n v="0.2727"/>
    <s v="Cold"/>
    <n v="0.49"/>
    <x v="2"/>
    <n v="0.1045"/>
    <x v="0"/>
    <x v="35"/>
    <n v="115"/>
    <n v="157"/>
    <s v="High Demand"/>
  </r>
  <r>
    <n v="823"/>
    <x v="36"/>
    <x v="0"/>
    <x v="0"/>
    <x v="1"/>
    <x v="17"/>
    <x v="2"/>
    <x v="0"/>
    <n v="0"/>
    <s v="Monday"/>
    <x v="0"/>
    <x v="0"/>
    <n v="0.2"/>
    <x v="1"/>
    <n v="0.2576"/>
    <s v="Cold"/>
    <n v="0.46"/>
    <x v="2"/>
    <n v="0"/>
    <x v="0"/>
    <x v="31"/>
    <n v="97"/>
    <n v="121"/>
    <s v="Medium Demand"/>
  </r>
  <r>
    <n v="824"/>
    <x v="36"/>
    <x v="0"/>
    <x v="0"/>
    <x v="1"/>
    <x v="18"/>
    <x v="3"/>
    <x v="0"/>
    <n v="0"/>
    <s v="Monday"/>
    <x v="0"/>
    <x v="0"/>
    <n v="0.2"/>
    <x v="1"/>
    <n v="0.2576"/>
    <s v="Cold"/>
    <n v="0.56000000000000005"/>
    <x v="1"/>
    <n v="0.16420000000000001"/>
    <x v="1"/>
    <x v="23"/>
    <n v="65"/>
    <n v="78"/>
    <s v="Medium Demand"/>
  </r>
  <r>
    <n v="825"/>
    <x v="36"/>
    <x v="0"/>
    <x v="0"/>
    <x v="1"/>
    <x v="19"/>
    <x v="3"/>
    <x v="0"/>
    <n v="0"/>
    <s v="Monday"/>
    <x v="0"/>
    <x v="0"/>
    <n v="0.2"/>
    <x v="1"/>
    <n v="0.2576"/>
    <s v="Cold"/>
    <n v="0.61"/>
    <x v="1"/>
    <n v="0.1343"/>
    <x v="0"/>
    <x v="5"/>
    <n v="20"/>
    <n v="21"/>
    <s v="Low Demand"/>
  </r>
  <r>
    <n v="826"/>
    <x v="36"/>
    <x v="0"/>
    <x v="0"/>
    <x v="1"/>
    <x v="20"/>
    <x v="3"/>
    <x v="0"/>
    <n v="0"/>
    <s v="Monday"/>
    <x v="0"/>
    <x v="0"/>
    <n v="0.2"/>
    <x v="1"/>
    <n v="0.2576"/>
    <s v="Cold"/>
    <n v="0.61"/>
    <x v="1"/>
    <n v="0.1045"/>
    <x v="0"/>
    <x v="2"/>
    <n v="21"/>
    <n v="26"/>
    <s v="Low Demand"/>
  </r>
  <r>
    <n v="827"/>
    <x v="36"/>
    <x v="0"/>
    <x v="0"/>
    <x v="1"/>
    <x v="21"/>
    <x v="3"/>
    <x v="0"/>
    <n v="0"/>
    <s v="Monday"/>
    <x v="0"/>
    <x v="0"/>
    <n v="0.18"/>
    <x v="1"/>
    <n v="0.2424"/>
    <s v="Cold"/>
    <n v="0.6"/>
    <x v="1"/>
    <n v="0"/>
    <x v="0"/>
    <x v="2"/>
    <n v="22"/>
    <n v="27"/>
    <s v="Low Demand"/>
  </r>
  <r>
    <n v="828"/>
    <x v="36"/>
    <x v="0"/>
    <x v="0"/>
    <x v="1"/>
    <x v="22"/>
    <x v="3"/>
    <x v="0"/>
    <n v="0"/>
    <s v="Monday"/>
    <x v="0"/>
    <x v="0"/>
    <n v="0.18"/>
    <x v="1"/>
    <n v="0.2424"/>
    <s v="Cold"/>
    <n v="0.6"/>
    <x v="1"/>
    <n v="0"/>
    <x v="0"/>
    <x v="2"/>
    <n v="57"/>
    <n v="62"/>
    <s v="Low Demand"/>
  </r>
  <r>
    <n v="829"/>
    <x v="36"/>
    <x v="0"/>
    <x v="0"/>
    <x v="1"/>
    <x v="23"/>
    <x v="3"/>
    <x v="0"/>
    <n v="0"/>
    <s v="Monday"/>
    <x v="0"/>
    <x v="0"/>
    <n v="0.16"/>
    <x v="1"/>
    <n v="0.2273"/>
    <s v="Cold"/>
    <n v="0.65"/>
    <x v="1"/>
    <n v="0"/>
    <x v="0"/>
    <x v="17"/>
    <n v="26"/>
    <n v="30"/>
    <s v="Low Demand"/>
  </r>
  <r>
    <n v="830"/>
    <x v="37"/>
    <x v="0"/>
    <x v="0"/>
    <x v="1"/>
    <x v="0"/>
    <x v="0"/>
    <x v="0"/>
    <n v="1"/>
    <s v="Tuesday"/>
    <x v="0"/>
    <x v="0"/>
    <n v="0.22"/>
    <x v="0"/>
    <n v="0.2727"/>
    <s v="Cold"/>
    <n v="0.65"/>
    <x v="1"/>
    <n v="0"/>
    <x v="0"/>
    <x v="5"/>
    <n v="14"/>
    <n v="15"/>
    <s v="Low Demand"/>
  </r>
  <r>
    <n v="831"/>
    <x v="37"/>
    <x v="0"/>
    <x v="0"/>
    <x v="1"/>
    <x v="1"/>
    <x v="0"/>
    <x v="0"/>
    <n v="1"/>
    <s v="Tuesday"/>
    <x v="0"/>
    <x v="0"/>
    <n v="0.24"/>
    <x v="0"/>
    <n v="0.2576"/>
    <s v="Cold"/>
    <n v="0.75"/>
    <x v="1"/>
    <n v="0"/>
    <x v="0"/>
    <x v="5"/>
    <n v="4"/>
    <n v="5"/>
    <s v="Low Demand"/>
  </r>
  <r>
    <n v="832"/>
    <x v="37"/>
    <x v="0"/>
    <x v="0"/>
    <x v="1"/>
    <x v="2"/>
    <x v="0"/>
    <x v="0"/>
    <n v="1"/>
    <s v="Tuesday"/>
    <x v="0"/>
    <x v="0"/>
    <n v="0.3"/>
    <x v="0"/>
    <n v="0.31819999999999998"/>
    <s v="Pleasant"/>
    <n v="0.8"/>
    <x v="0"/>
    <n v="0"/>
    <x v="0"/>
    <x v="3"/>
    <n v="3"/>
    <n v="3"/>
    <s v="Low Demand"/>
  </r>
  <r>
    <n v="833"/>
    <x v="37"/>
    <x v="0"/>
    <x v="0"/>
    <x v="1"/>
    <x v="3"/>
    <x v="0"/>
    <x v="0"/>
    <n v="1"/>
    <s v="Tuesday"/>
    <x v="0"/>
    <x v="0"/>
    <n v="0.32"/>
    <x v="0"/>
    <n v="0.34849999999999998"/>
    <s v="Pleasant"/>
    <n v="0.86"/>
    <x v="0"/>
    <n v="0"/>
    <x v="0"/>
    <x v="3"/>
    <n v="1"/>
    <n v="1"/>
    <s v="Low Demand"/>
  </r>
  <r>
    <n v="834"/>
    <x v="37"/>
    <x v="0"/>
    <x v="0"/>
    <x v="1"/>
    <x v="4"/>
    <x v="0"/>
    <x v="0"/>
    <n v="1"/>
    <s v="Tuesday"/>
    <x v="0"/>
    <x v="0"/>
    <n v="0.36"/>
    <x v="0"/>
    <n v="0.36359999999999998"/>
    <s v="Pleasant"/>
    <n v="0.86"/>
    <x v="0"/>
    <n v="0"/>
    <x v="0"/>
    <x v="5"/>
    <n v="1"/>
    <n v="2"/>
    <s v="Low Demand"/>
  </r>
  <r>
    <n v="835"/>
    <x v="37"/>
    <x v="0"/>
    <x v="0"/>
    <x v="1"/>
    <x v="5"/>
    <x v="0"/>
    <x v="0"/>
    <n v="1"/>
    <s v="Tuesday"/>
    <x v="0"/>
    <x v="0"/>
    <n v="0.36"/>
    <x v="0"/>
    <n v="0.36359999999999998"/>
    <s v="Pleasant"/>
    <n v="0.86"/>
    <x v="0"/>
    <n v="0"/>
    <x v="0"/>
    <x v="5"/>
    <n v="9"/>
    <n v="10"/>
    <s v="Low Demand"/>
  </r>
  <r>
    <n v="836"/>
    <x v="37"/>
    <x v="0"/>
    <x v="0"/>
    <x v="1"/>
    <x v="6"/>
    <x v="1"/>
    <x v="0"/>
    <n v="1"/>
    <s v="Tuesday"/>
    <x v="0"/>
    <x v="0"/>
    <n v="0.38"/>
    <x v="0"/>
    <n v="0.39389999999999997"/>
    <s v="Pleasant"/>
    <n v="0.93"/>
    <x v="0"/>
    <n v="0"/>
    <x v="0"/>
    <x v="5"/>
    <n v="29"/>
    <n v="30"/>
    <s v="Low Demand"/>
  </r>
  <r>
    <n v="837"/>
    <x v="37"/>
    <x v="0"/>
    <x v="0"/>
    <x v="1"/>
    <x v="7"/>
    <x v="1"/>
    <x v="0"/>
    <n v="1"/>
    <s v="Tuesday"/>
    <x v="0"/>
    <x v="0"/>
    <n v="0.36"/>
    <x v="0"/>
    <n v="0.34849999999999998"/>
    <s v="Pleasant"/>
    <n v="0.86"/>
    <x v="0"/>
    <n v="0"/>
    <x v="0"/>
    <x v="15"/>
    <n v="89"/>
    <n v="95"/>
    <s v="Medium Demand"/>
  </r>
  <r>
    <n v="838"/>
    <x v="37"/>
    <x v="0"/>
    <x v="0"/>
    <x v="1"/>
    <x v="8"/>
    <x v="1"/>
    <x v="0"/>
    <n v="1"/>
    <s v="Tuesday"/>
    <x v="1"/>
    <x v="1"/>
    <n v="0.32"/>
    <x v="0"/>
    <n v="0.31819999999999998"/>
    <s v="Pleasant"/>
    <n v="1"/>
    <x v="0"/>
    <n v="0"/>
    <x v="0"/>
    <x v="18"/>
    <n v="223"/>
    <n v="230"/>
    <s v="Very High Demand"/>
  </r>
  <r>
    <n v="839"/>
    <x v="37"/>
    <x v="0"/>
    <x v="0"/>
    <x v="1"/>
    <x v="9"/>
    <x v="1"/>
    <x v="0"/>
    <n v="1"/>
    <s v="Tuesday"/>
    <x v="0"/>
    <x v="0"/>
    <n v="0.34"/>
    <x v="0"/>
    <n v="0.33329999999999999"/>
    <s v="Pleasant"/>
    <n v="0.8"/>
    <x v="0"/>
    <n v="0"/>
    <x v="0"/>
    <x v="0"/>
    <n v="115"/>
    <n v="118"/>
    <s v="Medium Demand"/>
  </r>
  <r>
    <n v="840"/>
    <x v="37"/>
    <x v="0"/>
    <x v="0"/>
    <x v="1"/>
    <x v="10"/>
    <x v="1"/>
    <x v="0"/>
    <n v="1"/>
    <s v="Tuesday"/>
    <x v="0"/>
    <x v="0"/>
    <n v="0.32"/>
    <x v="0"/>
    <n v="0.34849999999999998"/>
    <s v="Pleasant"/>
    <n v="0.75"/>
    <x v="1"/>
    <n v="0.1045"/>
    <x v="0"/>
    <x v="15"/>
    <n v="49"/>
    <n v="55"/>
    <s v="Low Demand"/>
  </r>
  <r>
    <n v="841"/>
    <x v="37"/>
    <x v="0"/>
    <x v="0"/>
    <x v="1"/>
    <x v="11"/>
    <x v="1"/>
    <x v="0"/>
    <n v="1"/>
    <s v="Tuesday"/>
    <x v="0"/>
    <x v="0"/>
    <n v="0.32"/>
    <x v="0"/>
    <n v="0.33329999999999999"/>
    <s v="Pleasant"/>
    <n v="0.65"/>
    <x v="1"/>
    <n v="8.9599999999999999E-2"/>
    <x v="0"/>
    <x v="16"/>
    <n v="36"/>
    <n v="47"/>
    <s v="Low Demand"/>
  </r>
  <r>
    <n v="842"/>
    <x v="37"/>
    <x v="0"/>
    <x v="0"/>
    <x v="1"/>
    <x v="12"/>
    <x v="2"/>
    <x v="0"/>
    <n v="1"/>
    <s v="Tuesday"/>
    <x v="1"/>
    <x v="1"/>
    <n v="0.32"/>
    <x v="0"/>
    <n v="0.34849999999999998"/>
    <s v="Pleasant"/>
    <n v="0.62"/>
    <x v="1"/>
    <n v="0"/>
    <x v="0"/>
    <x v="18"/>
    <n v="59"/>
    <n v="66"/>
    <s v="Low Demand"/>
  </r>
  <r>
    <n v="843"/>
    <x v="37"/>
    <x v="0"/>
    <x v="0"/>
    <x v="1"/>
    <x v="13"/>
    <x v="2"/>
    <x v="0"/>
    <n v="1"/>
    <s v="Tuesday"/>
    <x v="1"/>
    <x v="1"/>
    <n v="0.28000000000000003"/>
    <x v="0"/>
    <n v="0.30299999999999999"/>
    <s v="Pleasant"/>
    <n v="0.56999999999999995"/>
    <x v="1"/>
    <n v="8.9599999999999999E-2"/>
    <x v="0"/>
    <x v="22"/>
    <n v="54"/>
    <n v="64"/>
    <s v="Low Demand"/>
  </r>
  <r>
    <n v="844"/>
    <x v="37"/>
    <x v="0"/>
    <x v="0"/>
    <x v="1"/>
    <x v="14"/>
    <x v="2"/>
    <x v="0"/>
    <n v="1"/>
    <s v="Tuesday"/>
    <x v="1"/>
    <x v="1"/>
    <n v="0.3"/>
    <x v="0"/>
    <n v="0.33329999999999999"/>
    <s v="Pleasant"/>
    <n v="0.56999999999999995"/>
    <x v="1"/>
    <n v="8.9599999999999999E-2"/>
    <x v="0"/>
    <x v="1"/>
    <n v="52"/>
    <n v="60"/>
    <s v="Low Demand"/>
  </r>
  <r>
    <n v="845"/>
    <x v="37"/>
    <x v="0"/>
    <x v="0"/>
    <x v="1"/>
    <x v="15"/>
    <x v="2"/>
    <x v="0"/>
    <n v="1"/>
    <s v="Tuesday"/>
    <x v="1"/>
    <x v="1"/>
    <n v="0.28000000000000003"/>
    <x v="0"/>
    <n v="0.31819999999999998"/>
    <s v="Pleasant"/>
    <n v="0.54"/>
    <x v="1"/>
    <n v="8.9599999999999999E-2"/>
    <x v="0"/>
    <x v="17"/>
    <n v="46"/>
    <n v="50"/>
    <s v="Low Demand"/>
  </r>
  <r>
    <n v="846"/>
    <x v="37"/>
    <x v="0"/>
    <x v="0"/>
    <x v="1"/>
    <x v="16"/>
    <x v="2"/>
    <x v="0"/>
    <n v="1"/>
    <s v="Tuesday"/>
    <x v="1"/>
    <x v="1"/>
    <n v="0.28000000000000003"/>
    <x v="0"/>
    <n v="0.31819999999999998"/>
    <s v="Pleasant"/>
    <n v="0.56999999999999995"/>
    <x v="1"/>
    <n v="0.1343"/>
    <x v="0"/>
    <x v="19"/>
    <n v="98"/>
    <n v="114"/>
    <s v="Medium Demand"/>
  </r>
  <r>
    <n v="847"/>
    <x v="37"/>
    <x v="0"/>
    <x v="0"/>
    <x v="1"/>
    <x v="17"/>
    <x v="2"/>
    <x v="0"/>
    <n v="1"/>
    <s v="Tuesday"/>
    <x v="1"/>
    <x v="1"/>
    <n v="0.26"/>
    <x v="0"/>
    <n v="0.2727"/>
    <s v="Cold"/>
    <n v="0.7"/>
    <x v="1"/>
    <n v="0.16420000000000001"/>
    <x v="1"/>
    <x v="14"/>
    <n v="207"/>
    <n v="216"/>
    <s v="High Demand"/>
  </r>
  <r>
    <n v="848"/>
    <x v="37"/>
    <x v="0"/>
    <x v="0"/>
    <x v="1"/>
    <x v="18"/>
    <x v="3"/>
    <x v="0"/>
    <n v="1"/>
    <s v="Tuesday"/>
    <x v="1"/>
    <x v="1"/>
    <n v="0.28000000000000003"/>
    <x v="0"/>
    <n v="0.2727"/>
    <s v="Cold"/>
    <n v="0.66"/>
    <x v="1"/>
    <n v="0.1343"/>
    <x v="0"/>
    <x v="2"/>
    <n v="170"/>
    <n v="175"/>
    <s v="High Demand"/>
  </r>
  <r>
    <n v="849"/>
    <x v="37"/>
    <x v="0"/>
    <x v="0"/>
    <x v="1"/>
    <x v="19"/>
    <x v="3"/>
    <x v="0"/>
    <n v="1"/>
    <s v="Tuesday"/>
    <x v="1"/>
    <x v="1"/>
    <n v="0.26"/>
    <x v="0"/>
    <n v="0.2576"/>
    <s v="Cold"/>
    <n v="0.7"/>
    <x v="1"/>
    <n v="0"/>
    <x v="0"/>
    <x v="2"/>
    <n v="123"/>
    <n v="128"/>
    <s v="Medium Demand"/>
  </r>
  <r>
    <n v="850"/>
    <x v="37"/>
    <x v="0"/>
    <x v="0"/>
    <x v="1"/>
    <x v="20"/>
    <x v="3"/>
    <x v="0"/>
    <n v="1"/>
    <s v="Tuesday"/>
    <x v="1"/>
    <x v="1"/>
    <n v="0.26"/>
    <x v="0"/>
    <n v="0.2273"/>
    <s v="Cold"/>
    <n v="0.7"/>
    <x v="1"/>
    <n v="0.1045"/>
    <x v="0"/>
    <x v="15"/>
    <n v="82"/>
    <n v="88"/>
    <s v="Medium Demand"/>
  </r>
  <r>
    <n v="851"/>
    <x v="37"/>
    <x v="0"/>
    <x v="0"/>
    <x v="1"/>
    <x v="21"/>
    <x v="3"/>
    <x v="0"/>
    <n v="1"/>
    <s v="Tuesday"/>
    <x v="0"/>
    <x v="0"/>
    <n v="0.26"/>
    <x v="0"/>
    <n v="0.2273"/>
    <s v="Cold"/>
    <n v="0.7"/>
    <x v="1"/>
    <n v="0"/>
    <x v="0"/>
    <x v="0"/>
    <n v="75"/>
    <n v="78"/>
    <s v="Medium Demand"/>
  </r>
  <r>
    <n v="852"/>
    <x v="37"/>
    <x v="0"/>
    <x v="0"/>
    <x v="1"/>
    <x v="22"/>
    <x v="3"/>
    <x v="0"/>
    <n v="1"/>
    <s v="Tuesday"/>
    <x v="0"/>
    <x v="0"/>
    <n v="0.24"/>
    <x v="0"/>
    <n v="0.19700000000000001"/>
    <s v="Cold"/>
    <n v="0.81"/>
    <x v="0"/>
    <n v="8.9599999999999999E-2"/>
    <x v="0"/>
    <x v="0"/>
    <n v="34"/>
    <n v="37"/>
    <s v="Low Demand"/>
  </r>
  <r>
    <n v="853"/>
    <x v="37"/>
    <x v="0"/>
    <x v="0"/>
    <x v="1"/>
    <x v="23"/>
    <x v="3"/>
    <x v="0"/>
    <n v="1"/>
    <s v="Tuesday"/>
    <x v="1"/>
    <x v="1"/>
    <n v="0.24"/>
    <x v="0"/>
    <n v="0.19700000000000001"/>
    <s v="Cold"/>
    <n v="0.81"/>
    <x v="0"/>
    <n v="0"/>
    <x v="0"/>
    <x v="15"/>
    <n v="19"/>
    <n v="25"/>
    <s v="Low Demand"/>
  </r>
  <r>
    <n v="854"/>
    <x v="38"/>
    <x v="0"/>
    <x v="0"/>
    <x v="1"/>
    <x v="0"/>
    <x v="0"/>
    <x v="0"/>
    <n v="2"/>
    <s v="Wednesday"/>
    <x v="1"/>
    <x v="1"/>
    <n v="0.24"/>
    <x v="0"/>
    <n v="0.19700000000000001"/>
    <s v="Cold"/>
    <n v="0.87"/>
    <x v="0"/>
    <n v="0"/>
    <x v="0"/>
    <x v="17"/>
    <n v="6"/>
    <n v="10"/>
    <s v="Low Demand"/>
  </r>
  <r>
    <n v="855"/>
    <x v="38"/>
    <x v="0"/>
    <x v="0"/>
    <x v="1"/>
    <x v="1"/>
    <x v="0"/>
    <x v="0"/>
    <n v="2"/>
    <s v="Wednesday"/>
    <x v="1"/>
    <x v="1"/>
    <n v="0.22"/>
    <x v="0"/>
    <n v="0.18179999999999999"/>
    <s v="Cold"/>
    <n v="0.87"/>
    <x v="0"/>
    <n v="0"/>
    <x v="0"/>
    <x v="3"/>
    <n v="4"/>
    <n v="4"/>
    <s v="Low Demand"/>
  </r>
  <r>
    <n v="856"/>
    <x v="38"/>
    <x v="0"/>
    <x v="0"/>
    <x v="1"/>
    <x v="2"/>
    <x v="0"/>
    <x v="0"/>
    <n v="2"/>
    <s v="Wednesday"/>
    <x v="1"/>
    <x v="1"/>
    <n v="0.22"/>
    <x v="0"/>
    <n v="0.18179999999999999"/>
    <s v="Cold"/>
    <n v="0.93"/>
    <x v="0"/>
    <n v="0.1045"/>
    <x v="0"/>
    <x v="5"/>
    <n v="1"/>
    <n v="2"/>
    <s v="Low Demand"/>
  </r>
  <r>
    <n v="857"/>
    <x v="38"/>
    <x v="0"/>
    <x v="0"/>
    <x v="1"/>
    <x v="3"/>
    <x v="0"/>
    <x v="0"/>
    <n v="2"/>
    <s v="Wednesday"/>
    <x v="2"/>
    <x v="2"/>
    <n v="0.24"/>
    <x v="0"/>
    <n v="0.19700000000000001"/>
    <s v="Cold"/>
    <n v="0.93"/>
    <x v="0"/>
    <n v="0.16420000000000001"/>
    <x v="1"/>
    <x v="3"/>
    <n v="1"/>
    <n v="1"/>
    <s v="Low Demand"/>
  </r>
  <r>
    <n v="858"/>
    <x v="38"/>
    <x v="0"/>
    <x v="0"/>
    <x v="1"/>
    <x v="4"/>
    <x v="0"/>
    <x v="0"/>
    <n v="2"/>
    <s v="Wednesday"/>
    <x v="0"/>
    <x v="0"/>
    <n v="0.24"/>
    <x v="0"/>
    <n v="0.19700000000000001"/>
    <s v="Cold"/>
    <n v="0.93"/>
    <x v="0"/>
    <n v="0.16420000000000001"/>
    <x v="1"/>
    <x v="3"/>
    <n v="3"/>
    <n v="3"/>
    <s v="Low Demand"/>
  </r>
  <r>
    <n v="859"/>
    <x v="38"/>
    <x v="0"/>
    <x v="0"/>
    <x v="1"/>
    <x v="5"/>
    <x v="0"/>
    <x v="0"/>
    <n v="2"/>
    <s v="Wednesday"/>
    <x v="0"/>
    <x v="0"/>
    <n v="0.22"/>
    <x v="0"/>
    <n v="0.19700000000000001"/>
    <s v="Cold"/>
    <n v="0.81"/>
    <x v="0"/>
    <n v="0.32840000000000003"/>
    <x v="2"/>
    <x v="3"/>
    <n v="2"/>
    <n v="2"/>
    <s v="Low Demand"/>
  </r>
  <r>
    <n v="860"/>
    <x v="38"/>
    <x v="0"/>
    <x v="0"/>
    <x v="1"/>
    <x v="6"/>
    <x v="1"/>
    <x v="0"/>
    <n v="2"/>
    <s v="Wednesday"/>
    <x v="0"/>
    <x v="0"/>
    <n v="0.22"/>
    <x v="0"/>
    <n v="0.19700000000000001"/>
    <s v="Cold"/>
    <n v="0.7"/>
    <x v="1"/>
    <n v="0.32840000000000003"/>
    <x v="2"/>
    <x v="3"/>
    <n v="39"/>
    <n v="39"/>
    <s v="Low Demand"/>
  </r>
  <r>
    <n v="861"/>
    <x v="38"/>
    <x v="0"/>
    <x v="0"/>
    <x v="1"/>
    <x v="7"/>
    <x v="1"/>
    <x v="0"/>
    <n v="2"/>
    <s v="Wednesday"/>
    <x v="0"/>
    <x v="0"/>
    <n v="0.22"/>
    <x v="0"/>
    <n v="0.18179999999999999"/>
    <s v="Cold"/>
    <n v="0.65"/>
    <x v="1"/>
    <n v="0.41789999999999999"/>
    <x v="2"/>
    <x v="0"/>
    <n v="97"/>
    <n v="100"/>
    <s v="Medium Demand"/>
  </r>
  <r>
    <n v="862"/>
    <x v="38"/>
    <x v="0"/>
    <x v="0"/>
    <x v="1"/>
    <x v="8"/>
    <x v="1"/>
    <x v="0"/>
    <n v="2"/>
    <s v="Wednesday"/>
    <x v="0"/>
    <x v="0"/>
    <n v="0.22"/>
    <x v="0"/>
    <n v="0.18179999999999999"/>
    <s v="Cold"/>
    <n v="0.56000000000000005"/>
    <x v="1"/>
    <n v="0.49249999999999999"/>
    <x v="3"/>
    <x v="18"/>
    <n v="236"/>
    <n v="243"/>
    <s v="Very High Demand"/>
  </r>
  <r>
    <n v="863"/>
    <x v="38"/>
    <x v="0"/>
    <x v="0"/>
    <x v="1"/>
    <x v="9"/>
    <x v="1"/>
    <x v="0"/>
    <n v="2"/>
    <s v="Wednesday"/>
    <x v="0"/>
    <x v="0"/>
    <n v="0.2"/>
    <x v="1"/>
    <n v="0.18179999999999999"/>
    <s v="Cold"/>
    <n v="0.52"/>
    <x v="1"/>
    <n v="0.49249999999999999"/>
    <x v="3"/>
    <x v="18"/>
    <n v="128"/>
    <n v="135"/>
    <s v="Medium Demand"/>
  </r>
  <r>
    <n v="864"/>
    <x v="38"/>
    <x v="0"/>
    <x v="0"/>
    <x v="1"/>
    <x v="10"/>
    <x v="1"/>
    <x v="0"/>
    <n v="2"/>
    <s v="Wednesday"/>
    <x v="0"/>
    <x v="0"/>
    <n v="0.16"/>
    <x v="1"/>
    <n v="0.1212"/>
    <s v="Very Cold"/>
    <n v="0.47"/>
    <x v="2"/>
    <n v="0.55220000000000002"/>
    <x v="3"/>
    <x v="17"/>
    <n v="44"/>
    <n v="48"/>
    <s v="Low Demand"/>
  </r>
  <r>
    <n v="865"/>
    <x v="38"/>
    <x v="0"/>
    <x v="0"/>
    <x v="1"/>
    <x v="11"/>
    <x v="1"/>
    <x v="0"/>
    <n v="2"/>
    <s v="Wednesday"/>
    <x v="0"/>
    <x v="0"/>
    <n v="0.16"/>
    <x v="1"/>
    <n v="0.13639999999999999"/>
    <s v="Very Cold"/>
    <n v="0.47"/>
    <x v="2"/>
    <n v="0.4627"/>
    <x v="3"/>
    <x v="5"/>
    <n v="49"/>
    <n v="50"/>
    <s v="Low Demand"/>
  </r>
  <r>
    <n v="866"/>
    <x v="38"/>
    <x v="0"/>
    <x v="0"/>
    <x v="1"/>
    <x v="12"/>
    <x v="2"/>
    <x v="0"/>
    <n v="2"/>
    <s v="Wednesday"/>
    <x v="0"/>
    <x v="0"/>
    <n v="0.14000000000000001"/>
    <x v="1"/>
    <n v="0.1061"/>
    <s v="Very Cold"/>
    <n v="0.38"/>
    <x v="2"/>
    <n v="0.49249999999999999"/>
    <x v="3"/>
    <x v="4"/>
    <n v="63"/>
    <n v="65"/>
    <s v="Low Demand"/>
  </r>
  <r>
    <n v="867"/>
    <x v="38"/>
    <x v="0"/>
    <x v="0"/>
    <x v="1"/>
    <x v="13"/>
    <x v="2"/>
    <x v="0"/>
    <n v="2"/>
    <s v="Wednesday"/>
    <x v="1"/>
    <x v="1"/>
    <n v="0.12"/>
    <x v="1"/>
    <n v="0.1061"/>
    <s v="Very Cold"/>
    <n v="0.32"/>
    <x v="2"/>
    <n v="0.44779999999999998"/>
    <x v="2"/>
    <x v="4"/>
    <n v="48"/>
    <n v="50"/>
    <s v="Low Demand"/>
  </r>
  <r>
    <n v="868"/>
    <x v="38"/>
    <x v="0"/>
    <x v="0"/>
    <x v="1"/>
    <x v="14"/>
    <x v="2"/>
    <x v="0"/>
    <n v="2"/>
    <s v="Wednesday"/>
    <x v="0"/>
    <x v="0"/>
    <n v="0.12"/>
    <x v="1"/>
    <n v="0.1061"/>
    <s v="Very Cold"/>
    <n v="0.37"/>
    <x v="2"/>
    <n v="0.41789999999999999"/>
    <x v="2"/>
    <x v="0"/>
    <n v="61"/>
    <n v="64"/>
    <s v="Low Demand"/>
  </r>
  <r>
    <n v="869"/>
    <x v="38"/>
    <x v="0"/>
    <x v="0"/>
    <x v="1"/>
    <x v="15"/>
    <x v="2"/>
    <x v="0"/>
    <n v="2"/>
    <s v="Wednesday"/>
    <x v="0"/>
    <x v="0"/>
    <n v="0.1"/>
    <x v="1"/>
    <n v="7.5800000000000006E-2"/>
    <s v="Very Cold"/>
    <n v="0.35"/>
    <x v="2"/>
    <n v="0.3881"/>
    <x v="2"/>
    <x v="15"/>
    <n v="45"/>
    <n v="51"/>
    <s v="Low Demand"/>
  </r>
  <r>
    <n v="870"/>
    <x v="38"/>
    <x v="0"/>
    <x v="0"/>
    <x v="1"/>
    <x v="16"/>
    <x v="2"/>
    <x v="0"/>
    <n v="2"/>
    <s v="Wednesday"/>
    <x v="0"/>
    <x v="0"/>
    <n v="0.1"/>
    <x v="1"/>
    <n v="0.1061"/>
    <s v="Very Cold"/>
    <n v="0.35"/>
    <x v="2"/>
    <n v="0.52239999999999998"/>
    <x v="3"/>
    <x v="17"/>
    <n v="79"/>
    <n v="83"/>
    <s v="Medium Demand"/>
  </r>
  <r>
    <n v="871"/>
    <x v="38"/>
    <x v="0"/>
    <x v="0"/>
    <x v="1"/>
    <x v="17"/>
    <x v="2"/>
    <x v="0"/>
    <n v="2"/>
    <s v="Wednesday"/>
    <x v="0"/>
    <x v="0"/>
    <n v="0.08"/>
    <x v="1"/>
    <n v="7.5800000000000006E-2"/>
    <s v="Very Cold"/>
    <n v="0.32"/>
    <x v="2"/>
    <n v="0.58209999999999995"/>
    <x v="3"/>
    <x v="17"/>
    <n v="172"/>
    <n v="176"/>
    <s v="High Demand"/>
  </r>
  <r>
    <n v="872"/>
    <x v="38"/>
    <x v="0"/>
    <x v="0"/>
    <x v="1"/>
    <x v="18"/>
    <x v="3"/>
    <x v="0"/>
    <n v="2"/>
    <s v="Wednesday"/>
    <x v="0"/>
    <x v="0"/>
    <n v="0.06"/>
    <x v="1"/>
    <n v="7.5800000000000006E-2"/>
    <s v="Very Cold"/>
    <n v="0.32"/>
    <x v="2"/>
    <n v="0.3881"/>
    <x v="2"/>
    <x v="5"/>
    <n v="151"/>
    <n v="152"/>
    <s v="High Demand"/>
  </r>
  <r>
    <n v="873"/>
    <x v="38"/>
    <x v="0"/>
    <x v="0"/>
    <x v="1"/>
    <x v="19"/>
    <x v="3"/>
    <x v="0"/>
    <n v="2"/>
    <s v="Wednesday"/>
    <x v="0"/>
    <x v="0"/>
    <n v="0.06"/>
    <x v="1"/>
    <n v="0.1061"/>
    <s v="Very Cold"/>
    <n v="0.4"/>
    <x v="2"/>
    <n v="0.4627"/>
    <x v="3"/>
    <x v="5"/>
    <n v="100"/>
    <n v="101"/>
    <s v="Medium Demand"/>
  </r>
  <r>
    <n v="874"/>
    <x v="38"/>
    <x v="0"/>
    <x v="0"/>
    <x v="1"/>
    <x v="20"/>
    <x v="3"/>
    <x v="0"/>
    <n v="2"/>
    <s v="Wednesday"/>
    <x v="0"/>
    <x v="0"/>
    <n v="0.06"/>
    <x v="1"/>
    <n v="0.1515"/>
    <s v="Cold"/>
    <n v="0.4"/>
    <x v="2"/>
    <n v="0.32840000000000003"/>
    <x v="2"/>
    <x v="0"/>
    <n v="53"/>
    <n v="56"/>
    <s v="Low Demand"/>
  </r>
  <r>
    <n v="875"/>
    <x v="38"/>
    <x v="0"/>
    <x v="0"/>
    <x v="1"/>
    <x v="21"/>
    <x v="3"/>
    <x v="0"/>
    <n v="2"/>
    <s v="Wednesday"/>
    <x v="0"/>
    <x v="0"/>
    <n v="0.06"/>
    <x v="1"/>
    <n v="0.1061"/>
    <s v="Very Cold"/>
    <n v="0.33"/>
    <x v="2"/>
    <n v="0.4627"/>
    <x v="3"/>
    <x v="1"/>
    <n v="46"/>
    <n v="54"/>
    <s v="Low Demand"/>
  </r>
  <r>
    <n v="876"/>
    <x v="38"/>
    <x v="0"/>
    <x v="0"/>
    <x v="1"/>
    <x v="22"/>
    <x v="3"/>
    <x v="0"/>
    <n v="2"/>
    <s v="Wednesday"/>
    <x v="0"/>
    <x v="0"/>
    <n v="0.1"/>
    <x v="1"/>
    <n v="0.13639999999999999"/>
    <s v="Very Cold"/>
    <n v="0.33"/>
    <x v="2"/>
    <n v="0.35820000000000002"/>
    <x v="2"/>
    <x v="3"/>
    <n v="29"/>
    <n v="29"/>
    <s v="Low Demand"/>
  </r>
  <r>
    <n v="877"/>
    <x v="38"/>
    <x v="0"/>
    <x v="0"/>
    <x v="1"/>
    <x v="23"/>
    <x v="3"/>
    <x v="0"/>
    <n v="2"/>
    <s v="Wednesday"/>
    <x v="0"/>
    <x v="0"/>
    <n v="0.12"/>
    <x v="1"/>
    <n v="0.13639999999999999"/>
    <s v="Very Cold"/>
    <n v="0.33"/>
    <x v="2"/>
    <n v="0.32840000000000003"/>
    <x v="2"/>
    <x v="0"/>
    <n v="9"/>
    <n v="12"/>
    <s v="Low Demand"/>
  </r>
  <r>
    <n v="878"/>
    <x v="39"/>
    <x v="0"/>
    <x v="0"/>
    <x v="1"/>
    <x v="0"/>
    <x v="0"/>
    <x v="0"/>
    <n v="3"/>
    <s v="Thursday"/>
    <x v="0"/>
    <x v="0"/>
    <n v="0.14000000000000001"/>
    <x v="1"/>
    <n v="0.18179999999999999"/>
    <s v="Cold"/>
    <n v="0.36"/>
    <x v="2"/>
    <n v="0.35820000000000002"/>
    <x v="2"/>
    <x v="3"/>
    <n v="17"/>
    <n v="17"/>
    <s v="Low Demand"/>
  </r>
  <r>
    <n v="879"/>
    <x v="39"/>
    <x v="0"/>
    <x v="0"/>
    <x v="1"/>
    <x v="1"/>
    <x v="0"/>
    <x v="0"/>
    <n v="3"/>
    <s v="Thursday"/>
    <x v="0"/>
    <x v="0"/>
    <n v="0.14000000000000001"/>
    <x v="1"/>
    <n v="0.1515"/>
    <s v="Cold"/>
    <n v="0.36"/>
    <x v="2"/>
    <n v="0.22389999999999999"/>
    <x v="1"/>
    <x v="3"/>
    <n v="7"/>
    <n v="7"/>
    <s v="Low Demand"/>
  </r>
  <r>
    <n v="880"/>
    <x v="39"/>
    <x v="0"/>
    <x v="0"/>
    <x v="1"/>
    <x v="2"/>
    <x v="0"/>
    <x v="0"/>
    <n v="3"/>
    <s v="Thursday"/>
    <x v="0"/>
    <x v="0"/>
    <n v="0.18"/>
    <x v="1"/>
    <n v="0.18179999999999999"/>
    <s v="Cold"/>
    <n v="0.38"/>
    <x v="2"/>
    <n v="0.28360000000000002"/>
    <x v="1"/>
    <x v="5"/>
    <n v="2"/>
    <n v="3"/>
    <s v="Low Demand"/>
  </r>
  <r>
    <n v="881"/>
    <x v="39"/>
    <x v="0"/>
    <x v="0"/>
    <x v="1"/>
    <x v="3"/>
    <x v="0"/>
    <x v="0"/>
    <n v="3"/>
    <s v="Thursday"/>
    <x v="0"/>
    <x v="0"/>
    <n v="0.18"/>
    <x v="1"/>
    <n v="0.16669999999999999"/>
    <s v="Cold"/>
    <n v="0.45"/>
    <x v="2"/>
    <n v="0.1343"/>
    <x v="0"/>
    <x v="3"/>
    <n v="2"/>
    <n v="2"/>
    <s v="Low Demand"/>
  </r>
  <r>
    <n v="882"/>
    <x v="39"/>
    <x v="0"/>
    <x v="0"/>
    <x v="1"/>
    <x v="5"/>
    <x v="0"/>
    <x v="0"/>
    <n v="3"/>
    <s v="Thursday"/>
    <x v="0"/>
    <x v="0"/>
    <n v="0.2"/>
    <x v="1"/>
    <n v="0.18179999999999999"/>
    <s v="Cold"/>
    <n v="0.45"/>
    <x v="2"/>
    <n v="0.1045"/>
    <x v="0"/>
    <x v="3"/>
    <n v="7"/>
    <n v="7"/>
    <s v="Low Demand"/>
  </r>
  <r>
    <n v="883"/>
    <x v="39"/>
    <x v="0"/>
    <x v="0"/>
    <x v="1"/>
    <x v="6"/>
    <x v="1"/>
    <x v="0"/>
    <n v="3"/>
    <s v="Thursday"/>
    <x v="0"/>
    <x v="0"/>
    <n v="0.2"/>
    <x v="1"/>
    <n v="0.18179999999999999"/>
    <s v="Cold"/>
    <n v="0.45"/>
    <x v="2"/>
    <n v="0"/>
    <x v="0"/>
    <x v="3"/>
    <n v="43"/>
    <n v="43"/>
    <s v="Low Demand"/>
  </r>
  <r>
    <n v="884"/>
    <x v="39"/>
    <x v="0"/>
    <x v="0"/>
    <x v="1"/>
    <x v="7"/>
    <x v="1"/>
    <x v="0"/>
    <n v="3"/>
    <s v="Thursday"/>
    <x v="0"/>
    <x v="0"/>
    <n v="0.2"/>
    <x v="1"/>
    <n v="0.19700000000000001"/>
    <s v="Cold"/>
    <n v="0.49"/>
    <x v="2"/>
    <n v="0.1045"/>
    <x v="0"/>
    <x v="17"/>
    <n v="95"/>
    <n v="99"/>
    <s v="Medium Demand"/>
  </r>
  <r>
    <n v="885"/>
    <x v="39"/>
    <x v="0"/>
    <x v="0"/>
    <x v="1"/>
    <x v="8"/>
    <x v="1"/>
    <x v="0"/>
    <n v="3"/>
    <s v="Thursday"/>
    <x v="0"/>
    <x v="0"/>
    <n v="0.2"/>
    <x v="1"/>
    <n v="0.19700000000000001"/>
    <s v="Cold"/>
    <n v="0.42"/>
    <x v="2"/>
    <n v="0"/>
    <x v="0"/>
    <x v="5"/>
    <n v="198"/>
    <n v="199"/>
    <s v="High Demand"/>
  </r>
  <r>
    <n v="886"/>
    <x v="39"/>
    <x v="0"/>
    <x v="0"/>
    <x v="1"/>
    <x v="9"/>
    <x v="1"/>
    <x v="0"/>
    <n v="3"/>
    <s v="Thursday"/>
    <x v="0"/>
    <x v="0"/>
    <n v="0.18"/>
    <x v="1"/>
    <n v="0.16669999999999999"/>
    <s v="Cold"/>
    <n v="0.39"/>
    <x v="2"/>
    <n v="0.16420000000000001"/>
    <x v="1"/>
    <x v="17"/>
    <n v="119"/>
    <n v="123"/>
    <s v="Medium Demand"/>
  </r>
  <r>
    <n v="887"/>
    <x v="39"/>
    <x v="0"/>
    <x v="0"/>
    <x v="1"/>
    <x v="10"/>
    <x v="1"/>
    <x v="0"/>
    <n v="3"/>
    <s v="Thursday"/>
    <x v="0"/>
    <x v="0"/>
    <n v="0.14000000000000001"/>
    <x v="1"/>
    <n v="0.1212"/>
    <s v="Very Cold"/>
    <n v="0.36"/>
    <x v="2"/>
    <n v="0"/>
    <x v="0"/>
    <x v="1"/>
    <n v="51"/>
    <n v="59"/>
    <s v="Low Demand"/>
  </r>
  <r>
    <n v="888"/>
    <x v="39"/>
    <x v="0"/>
    <x v="0"/>
    <x v="1"/>
    <x v="11"/>
    <x v="1"/>
    <x v="0"/>
    <n v="3"/>
    <s v="Thursday"/>
    <x v="1"/>
    <x v="1"/>
    <n v="0.14000000000000001"/>
    <x v="1"/>
    <n v="0.1515"/>
    <s v="Cold"/>
    <n v="0.43"/>
    <x v="2"/>
    <n v="0.16420000000000001"/>
    <x v="1"/>
    <x v="5"/>
    <n v="40"/>
    <n v="41"/>
    <s v="Low Demand"/>
  </r>
  <r>
    <n v="889"/>
    <x v="39"/>
    <x v="0"/>
    <x v="0"/>
    <x v="1"/>
    <x v="12"/>
    <x v="2"/>
    <x v="0"/>
    <n v="3"/>
    <s v="Thursday"/>
    <x v="1"/>
    <x v="1"/>
    <n v="0.14000000000000001"/>
    <x v="1"/>
    <n v="0.1515"/>
    <s v="Cold"/>
    <n v="0.4"/>
    <x v="2"/>
    <n v="0.22389999999999999"/>
    <x v="1"/>
    <x v="17"/>
    <n v="57"/>
    <n v="61"/>
    <s v="Low Demand"/>
  </r>
  <r>
    <n v="890"/>
    <x v="39"/>
    <x v="0"/>
    <x v="0"/>
    <x v="1"/>
    <x v="13"/>
    <x v="2"/>
    <x v="0"/>
    <n v="3"/>
    <s v="Thursday"/>
    <x v="0"/>
    <x v="0"/>
    <n v="0.16"/>
    <x v="1"/>
    <n v="0.16669999999999999"/>
    <s v="Cold"/>
    <n v="0.4"/>
    <x v="2"/>
    <n v="0.25369999999999998"/>
    <x v="1"/>
    <x v="4"/>
    <n v="67"/>
    <n v="69"/>
    <s v="Low Demand"/>
  </r>
  <r>
    <n v="891"/>
    <x v="39"/>
    <x v="0"/>
    <x v="0"/>
    <x v="1"/>
    <x v="14"/>
    <x v="2"/>
    <x v="0"/>
    <n v="3"/>
    <s v="Thursday"/>
    <x v="0"/>
    <x v="0"/>
    <n v="0.16"/>
    <x v="1"/>
    <n v="0.1515"/>
    <s v="Cold"/>
    <n v="0.34"/>
    <x v="2"/>
    <n v="0.29849999999999999"/>
    <x v="1"/>
    <x v="4"/>
    <n v="56"/>
    <n v="58"/>
    <s v="Low Demand"/>
  </r>
  <r>
    <n v="892"/>
    <x v="39"/>
    <x v="0"/>
    <x v="0"/>
    <x v="1"/>
    <x v="15"/>
    <x v="2"/>
    <x v="0"/>
    <n v="3"/>
    <s v="Thursday"/>
    <x v="1"/>
    <x v="1"/>
    <n v="0.14000000000000001"/>
    <x v="1"/>
    <n v="0.13639999999999999"/>
    <s v="Very Cold"/>
    <n v="0.34"/>
    <x v="2"/>
    <n v="0.28360000000000002"/>
    <x v="1"/>
    <x v="0"/>
    <n v="61"/>
    <n v="64"/>
    <s v="Low Demand"/>
  </r>
  <r>
    <n v="893"/>
    <x v="39"/>
    <x v="0"/>
    <x v="0"/>
    <x v="1"/>
    <x v="16"/>
    <x v="2"/>
    <x v="0"/>
    <n v="3"/>
    <s v="Thursday"/>
    <x v="1"/>
    <x v="1"/>
    <n v="0.14000000000000001"/>
    <x v="1"/>
    <n v="0.1515"/>
    <s v="Cold"/>
    <n v="0.37"/>
    <x v="2"/>
    <n v="0.25369999999999998"/>
    <x v="1"/>
    <x v="18"/>
    <n v="72"/>
    <n v="79"/>
    <s v="Medium Demand"/>
  </r>
  <r>
    <n v="894"/>
    <x v="39"/>
    <x v="0"/>
    <x v="0"/>
    <x v="1"/>
    <x v="17"/>
    <x v="2"/>
    <x v="0"/>
    <n v="3"/>
    <s v="Thursday"/>
    <x v="1"/>
    <x v="1"/>
    <n v="0.14000000000000001"/>
    <x v="1"/>
    <n v="0.1515"/>
    <s v="Cold"/>
    <n v="0.34"/>
    <x v="2"/>
    <n v="0.25369999999999998"/>
    <x v="1"/>
    <x v="14"/>
    <n v="157"/>
    <n v="166"/>
    <s v="High Demand"/>
  </r>
  <r>
    <n v="895"/>
    <x v="39"/>
    <x v="0"/>
    <x v="0"/>
    <x v="1"/>
    <x v="18"/>
    <x v="3"/>
    <x v="0"/>
    <n v="3"/>
    <s v="Thursday"/>
    <x v="1"/>
    <x v="1"/>
    <n v="0.14000000000000001"/>
    <x v="1"/>
    <n v="0.13639999999999999"/>
    <s v="Very Cold"/>
    <n v="0.47"/>
    <x v="2"/>
    <n v="0.29849999999999999"/>
    <x v="1"/>
    <x v="4"/>
    <n v="168"/>
    <n v="170"/>
    <s v="High Demand"/>
  </r>
  <r>
    <n v="896"/>
    <x v="39"/>
    <x v="0"/>
    <x v="0"/>
    <x v="1"/>
    <x v="19"/>
    <x v="3"/>
    <x v="0"/>
    <n v="3"/>
    <s v="Thursday"/>
    <x v="2"/>
    <x v="2"/>
    <n v="0.12"/>
    <x v="1"/>
    <n v="0.1212"/>
    <s v="Very Cold"/>
    <n v="0.86"/>
    <x v="0"/>
    <n v="0.25369999999999998"/>
    <x v="1"/>
    <x v="5"/>
    <n v="87"/>
    <n v="88"/>
    <s v="Medium Demand"/>
  </r>
  <r>
    <n v="897"/>
    <x v="39"/>
    <x v="0"/>
    <x v="0"/>
    <x v="1"/>
    <x v="20"/>
    <x v="3"/>
    <x v="0"/>
    <n v="3"/>
    <s v="Thursday"/>
    <x v="2"/>
    <x v="2"/>
    <n v="0.12"/>
    <x v="1"/>
    <n v="0.1212"/>
    <s v="Very Cold"/>
    <n v="0.86"/>
    <x v="0"/>
    <n v="0.16420000000000001"/>
    <x v="1"/>
    <x v="3"/>
    <n v="84"/>
    <n v="84"/>
    <s v="Medium Demand"/>
  </r>
  <r>
    <n v="898"/>
    <x v="39"/>
    <x v="0"/>
    <x v="0"/>
    <x v="1"/>
    <x v="21"/>
    <x v="3"/>
    <x v="0"/>
    <n v="3"/>
    <s v="Thursday"/>
    <x v="1"/>
    <x v="1"/>
    <n v="0.1"/>
    <x v="1"/>
    <n v="7.5800000000000006E-2"/>
    <s v="Very Cold"/>
    <n v="0.86"/>
    <x v="0"/>
    <n v="0.16420000000000001"/>
    <x v="1"/>
    <x v="3"/>
    <n v="83"/>
    <n v="83"/>
    <s v="Medium Demand"/>
  </r>
  <r>
    <n v="899"/>
    <x v="39"/>
    <x v="0"/>
    <x v="0"/>
    <x v="1"/>
    <x v="22"/>
    <x v="3"/>
    <x v="0"/>
    <n v="3"/>
    <s v="Thursday"/>
    <x v="2"/>
    <x v="2"/>
    <n v="0.1"/>
    <x v="1"/>
    <n v="7.5800000000000006E-2"/>
    <s v="Very Cold"/>
    <n v="0.8"/>
    <x v="0"/>
    <n v="0.16420000000000001"/>
    <x v="1"/>
    <x v="17"/>
    <n v="42"/>
    <n v="46"/>
    <s v="Low Demand"/>
  </r>
  <r>
    <n v="900"/>
    <x v="39"/>
    <x v="0"/>
    <x v="0"/>
    <x v="1"/>
    <x v="23"/>
    <x v="3"/>
    <x v="0"/>
    <n v="3"/>
    <s v="Thursday"/>
    <x v="2"/>
    <x v="2"/>
    <n v="0.12"/>
    <x v="1"/>
    <n v="0.1061"/>
    <s v="Very Cold"/>
    <n v="0.8"/>
    <x v="0"/>
    <n v="0.19400000000000001"/>
    <x v="1"/>
    <x v="3"/>
    <n v="37"/>
    <n v="37"/>
    <s v="Low Demand"/>
  </r>
  <r>
    <n v="901"/>
    <x v="40"/>
    <x v="0"/>
    <x v="0"/>
    <x v="1"/>
    <x v="0"/>
    <x v="0"/>
    <x v="0"/>
    <n v="4"/>
    <s v="Friday"/>
    <x v="2"/>
    <x v="2"/>
    <n v="0.12"/>
    <x v="1"/>
    <n v="0.1061"/>
    <s v="Very Cold"/>
    <n v="0.86"/>
    <x v="0"/>
    <n v="0.19400000000000001"/>
    <x v="1"/>
    <x v="3"/>
    <n v="16"/>
    <n v="16"/>
    <s v="Low Demand"/>
  </r>
  <r>
    <n v="902"/>
    <x v="40"/>
    <x v="0"/>
    <x v="0"/>
    <x v="1"/>
    <x v="1"/>
    <x v="0"/>
    <x v="0"/>
    <n v="4"/>
    <s v="Friday"/>
    <x v="2"/>
    <x v="2"/>
    <n v="0.14000000000000001"/>
    <x v="1"/>
    <n v="0.1212"/>
    <s v="Very Cold"/>
    <n v="0.8"/>
    <x v="0"/>
    <n v="0.1343"/>
    <x v="0"/>
    <x v="3"/>
    <n v="7"/>
    <n v="7"/>
    <s v="Low Demand"/>
  </r>
  <r>
    <n v="903"/>
    <x v="40"/>
    <x v="0"/>
    <x v="0"/>
    <x v="1"/>
    <x v="2"/>
    <x v="0"/>
    <x v="0"/>
    <n v="4"/>
    <s v="Friday"/>
    <x v="2"/>
    <x v="2"/>
    <n v="0.16"/>
    <x v="1"/>
    <n v="0.13639999999999999"/>
    <s v="Very Cold"/>
    <n v="0.8"/>
    <x v="0"/>
    <n v="0.1343"/>
    <x v="0"/>
    <x v="3"/>
    <n v="3"/>
    <n v="3"/>
    <s v="Low Demand"/>
  </r>
  <r>
    <n v="904"/>
    <x v="40"/>
    <x v="0"/>
    <x v="0"/>
    <x v="1"/>
    <x v="4"/>
    <x v="0"/>
    <x v="0"/>
    <n v="4"/>
    <s v="Friday"/>
    <x v="1"/>
    <x v="1"/>
    <n v="0.18"/>
    <x v="1"/>
    <n v="0.16669999999999999"/>
    <s v="Cold"/>
    <n v="0.59"/>
    <x v="1"/>
    <n v="0.22389999999999999"/>
    <x v="1"/>
    <x v="3"/>
    <n v="1"/>
    <n v="1"/>
    <s v="Low Demand"/>
  </r>
  <r>
    <n v="905"/>
    <x v="40"/>
    <x v="0"/>
    <x v="0"/>
    <x v="1"/>
    <x v="5"/>
    <x v="0"/>
    <x v="0"/>
    <n v="4"/>
    <s v="Friday"/>
    <x v="1"/>
    <x v="1"/>
    <n v="0.2"/>
    <x v="1"/>
    <n v="0.18179999999999999"/>
    <s v="Cold"/>
    <n v="0.5"/>
    <x v="2"/>
    <n v="0.22389999999999999"/>
    <x v="1"/>
    <x v="3"/>
    <n v="6"/>
    <n v="6"/>
    <s v="Low Demand"/>
  </r>
  <r>
    <n v="906"/>
    <x v="40"/>
    <x v="0"/>
    <x v="0"/>
    <x v="1"/>
    <x v="6"/>
    <x v="1"/>
    <x v="0"/>
    <n v="4"/>
    <s v="Friday"/>
    <x v="1"/>
    <x v="1"/>
    <n v="0.2"/>
    <x v="1"/>
    <n v="0.19700000000000001"/>
    <s v="Cold"/>
    <n v="0.54"/>
    <x v="1"/>
    <n v="0.28360000000000002"/>
    <x v="1"/>
    <x v="3"/>
    <n v="26"/>
    <n v="26"/>
    <s v="Low Demand"/>
  </r>
  <r>
    <n v="907"/>
    <x v="40"/>
    <x v="0"/>
    <x v="0"/>
    <x v="1"/>
    <x v="7"/>
    <x v="1"/>
    <x v="0"/>
    <n v="4"/>
    <s v="Friday"/>
    <x v="0"/>
    <x v="0"/>
    <n v="0.2"/>
    <x v="1"/>
    <n v="0.18179999999999999"/>
    <s v="Cold"/>
    <n v="0.5"/>
    <x v="2"/>
    <n v="0.41789999999999999"/>
    <x v="2"/>
    <x v="3"/>
    <n v="99"/>
    <n v="99"/>
    <s v="Medium Demand"/>
  </r>
  <r>
    <n v="908"/>
    <x v="40"/>
    <x v="0"/>
    <x v="0"/>
    <x v="1"/>
    <x v="8"/>
    <x v="1"/>
    <x v="0"/>
    <n v="4"/>
    <s v="Friday"/>
    <x v="0"/>
    <x v="0"/>
    <n v="0.18"/>
    <x v="1"/>
    <n v="0.18179999999999999"/>
    <s v="Cold"/>
    <n v="0.49"/>
    <x v="2"/>
    <n v="0.32840000000000003"/>
    <x v="2"/>
    <x v="2"/>
    <n v="173"/>
    <n v="178"/>
    <s v="High Demand"/>
  </r>
  <r>
    <n v="909"/>
    <x v="40"/>
    <x v="0"/>
    <x v="0"/>
    <x v="1"/>
    <x v="9"/>
    <x v="1"/>
    <x v="0"/>
    <n v="4"/>
    <s v="Friday"/>
    <x v="0"/>
    <x v="0"/>
    <n v="0.16"/>
    <x v="1"/>
    <n v="0.18179999999999999"/>
    <s v="Cold"/>
    <n v="0.42"/>
    <x v="2"/>
    <n v="0.35820000000000002"/>
    <x v="2"/>
    <x v="5"/>
    <n v="121"/>
    <n v="122"/>
    <s v="Medium Demand"/>
  </r>
  <r>
    <n v="910"/>
    <x v="40"/>
    <x v="0"/>
    <x v="0"/>
    <x v="1"/>
    <x v="10"/>
    <x v="1"/>
    <x v="0"/>
    <n v="4"/>
    <s v="Friday"/>
    <x v="0"/>
    <x v="0"/>
    <n v="0.14000000000000001"/>
    <x v="1"/>
    <n v="0.16669999999999999"/>
    <s v="Cold"/>
    <n v="0.42"/>
    <x v="2"/>
    <n v="0.29849999999999999"/>
    <x v="1"/>
    <x v="5"/>
    <n v="34"/>
    <n v="35"/>
    <s v="Low Demand"/>
  </r>
  <r>
    <n v="911"/>
    <x v="40"/>
    <x v="0"/>
    <x v="0"/>
    <x v="1"/>
    <x v="11"/>
    <x v="1"/>
    <x v="0"/>
    <n v="4"/>
    <s v="Friday"/>
    <x v="0"/>
    <x v="0"/>
    <n v="0.14000000000000001"/>
    <x v="1"/>
    <n v="0.18179999999999999"/>
    <s v="Cold"/>
    <n v="0.39"/>
    <x v="2"/>
    <n v="0.35820000000000002"/>
    <x v="2"/>
    <x v="5"/>
    <n v="44"/>
    <n v="45"/>
    <s v="Low Demand"/>
  </r>
  <r>
    <n v="912"/>
    <x v="40"/>
    <x v="0"/>
    <x v="0"/>
    <x v="1"/>
    <x v="12"/>
    <x v="2"/>
    <x v="0"/>
    <n v="4"/>
    <s v="Friday"/>
    <x v="0"/>
    <x v="0"/>
    <n v="0.14000000000000001"/>
    <x v="1"/>
    <n v="0.21210000000000001"/>
    <s v="Cold"/>
    <n v="0.34"/>
    <x v="2"/>
    <n v="0.3881"/>
    <x v="2"/>
    <x v="17"/>
    <n v="65"/>
    <n v="69"/>
    <s v="Low Demand"/>
  </r>
  <r>
    <n v="913"/>
    <x v="40"/>
    <x v="0"/>
    <x v="0"/>
    <x v="1"/>
    <x v="13"/>
    <x v="2"/>
    <x v="0"/>
    <n v="4"/>
    <s v="Friday"/>
    <x v="0"/>
    <x v="0"/>
    <n v="0.12"/>
    <x v="1"/>
    <n v="0.19700000000000001"/>
    <s v="Cold"/>
    <n v="0.28999999999999998"/>
    <x v="2"/>
    <n v="0.29849999999999999"/>
    <x v="1"/>
    <x v="0"/>
    <n v="59"/>
    <n v="62"/>
    <s v="Low Demand"/>
  </r>
  <r>
    <n v="914"/>
    <x v="40"/>
    <x v="0"/>
    <x v="0"/>
    <x v="1"/>
    <x v="14"/>
    <x v="2"/>
    <x v="0"/>
    <n v="4"/>
    <s v="Friday"/>
    <x v="0"/>
    <x v="0"/>
    <n v="0.12"/>
    <x v="1"/>
    <n v="0.1515"/>
    <s v="Cold"/>
    <n v="0.27"/>
    <x v="2"/>
    <n v="0.28360000000000002"/>
    <x v="1"/>
    <x v="15"/>
    <n v="42"/>
    <n v="48"/>
    <s v="Low Demand"/>
  </r>
  <r>
    <n v="915"/>
    <x v="40"/>
    <x v="0"/>
    <x v="0"/>
    <x v="1"/>
    <x v="15"/>
    <x v="2"/>
    <x v="0"/>
    <n v="4"/>
    <s v="Friday"/>
    <x v="0"/>
    <x v="0"/>
    <n v="0.1"/>
    <x v="1"/>
    <n v="0.13639999999999999"/>
    <s v="Very Cold"/>
    <n v="0.25"/>
    <x v="3"/>
    <n v="0.25369999999999998"/>
    <x v="1"/>
    <x v="3"/>
    <n v="50"/>
    <n v="50"/>
    <s v="Low Demand"/>
  </r>
  <r>
    <n v="916"/>
    <x v="40"/>
    <x v="0"/>
    <x v="0"/>
    <x v="1"/>
    <x v="16"/>
    <x v="2"/>
    <x v="0"/>
    <n v="4"/>
    <s v="Friday"/>
    <x v="0"/>
    <x v="0"/>
    <n v="0.1"/>
    <x v="1"/>
    <n v="0.13639999999999999"/>
    <s v="Very Cold"/>
    <n v="0.27"/>
    <x v="2"/>
    <n v="0.29849999999999999"/>
    <x v="1"/>
    <x v="17"/>
    <n v="76"/>
    <n v="80"/>
    <s v="Medium Demand"/>
  </r>
  <r>
    <n v="917"/>
    <x v="40"/>
    <x v="0"/>
    <x v="0"/>
    <x v="1"/>
    <x v="17"/>
    <x v="2"/>
    <x v="0"/>
    <n v="4"/>
    <s v="Friday"/>
    <x v="0"/>
    <x v="0"/>
    <n v="0.1"/>
    <x v="1"/>
    <n v="0.13639999999999999"/>
    <s v="Very Cold"/>
    <n v="0.26"/>
    <x v="2"/>
    <n v="0.19400000000000001"/>
    <x v="1"/>
    <x v="15"/>
    <n v="159"/>
    <n v="165"/>
    <s v="High Demand"/>
  </r>
  <r>
    <n v="918"/>
    <x v="40"/>
    <x v="0"/>
    <x v="0"/>
    <x v="1"/>
    <x v="18"/>
    <x v="3"/>
    <x v="0"/>
    <n v="4"/>
    <s v="Friday"/>
    <x v="0"/>
    <x v="0"/>
    <n v="0.08"/>
    <x v="1"/>
    <n v="0.1212"/>
    <s v="Very Cold"/>
    <n v="0.28000000000000003"/>
    <x v="2"/>
    <n v="0.1343"/>
    <x v="0"/>
    <x v="0"/>
    <n v="157"/>
    <n v="160"/>
    <s v="High Demand"/>
  </r>
  <r>
    <n v="919"/>
    <x v="40"/>
    <x v="0"/>
    <x v="0"/>
    <x v="1"/>
    <x v="19"/>
    <x v="3"/>
    <x v="0"/>
    <n v="4"/>
    <s v="Friday"/>
    <x v="0"/>
    <x v="0"/>
    <n v="0.1"/>
    <x v="1"/>
    <n v="0.18179999999999999"/>
    <s v="Cold"/>
    <n v="0.28000000000000003"/>
    <x v="2"/>
    <n v="0.1045"/>
    <x v="0"/>
    <x v="4"/>
    <n v="110"/>
    <n v="112"/>
    <s v="Medium Demand"/>
  </r>
  <r>
    <n v="920"/>
    <x v="40"/>
    <x v="0"/>
    <x v="0"/>
    <x v="1"/>
    <x v="20"/>
    <x v="3"/>
    <x v="0"/>
    <n v="4"/>
    <s v="Friday"/>
    <x v="0"/>
    <x v="0"/>
    <n v="0.08"/>
    <x v="1"/>
    <n v="0.16669999999999999"/>
    <s v="Cold"/>
    <n v="0.31"/>
    <x v="2"/>
    <n v="8.9599999999999999E-2"/>
    <x v="0"/>
    <x v="17"/>
    <n v="93"/>
    <n v="97"/>
    <s v="Medium Demand"/>
  </r>
  <r>
    <n v="921"/>
    <x v="40"/>
    <x v="0"/>
    <x v="0"/>
    <x v="1"/>
    <x v="21"/>
    <x v="3"/>
    <x v="0"/>
    <n v="4"/>
    <s v="Friday"/>
    <x v="0"/>
    <x v="0"/>
    <n v="0.1"/>
    <x v="1"/>
    <n v="0.1212"/>
    <s v="Very Cold"/>
    <n v="0.39"/>
    <x v="2"/>
    <n v="0"/>
    <x v="0"/>
    <x v="4"/>
    <n v="70"/>
    <n v="72"/>
    <s v="Low Demand"/>
  </r>
  <r>
    <n v="922"/>
    <x v="40"/>
    <x v="0"/>
    <x v="0"/>
    <x v="1"/>
    <x v="22"/>
    <x v="3"/>
    <x v="0"/>
    <n v="4"/>
    <s v="Friday"/>
    <x v="0"/>
    <x v="0"/>
    <n v="0.12"/>
    <x v="1"/>
    <n v="0.1212"/>
    <s v="Very Cold"/>
    <n v="0.39"/>
    <x v="2"/>
    <n v="0"/>
    <x v="0"/>
    <x v="17"/>
    <n v="47"/>
    <n v="51"/>
    <s v="Low Demand"/>
  </r>
  <r>
    <n v="923"/>
    <x v="40"/>
    <x v="0"/>
    <x v="0"/>
    <x v="1"/>
    <x v="23"/>
    <x v="3"/>
    <x v="0"/>
    <n v="4"/>
    <s v="Friday"/>
    <x v="0"/>
    <x v="0"/>
    <n v="0.14000000000000001"/>
    <x v="1"/>
    <n v="0.13639999999999999"/>
    <s v="Very Cold"/>
    <n v="0.42"/>
    <x v="2"/>
    <n v="0.1045"/>
    <x v="0"/>
    <x v="5"/>
    <n v="33"/>
    <n v="34"/>
    <s v="Low Demand"/>
  </r>
  <r>
    <n v="924"/>
    <x v="41"/>
    <x v="0"/>
    <x v="0"/>
    <x v="1"/>
    <x v="0"/>
    <x v="0"/>
    <x v="0"/>
    <n v="5"/>
    <s v="Saturday"/>
    <x v="0"/>
    <x v="0"/>
    <n v="0.22"/>
    <x v="0"/>
    <n v="0.2273"/>
    <s v="Cold"/>
    <n v="0.49"/>
    <x v="2"/>
    <n v="0.1045"/>
    <x v="0"/>
    <x v="4"/>
    <n v="12"/>
    <n v="14"/>
    <s v="Low Demand"/>
  </r>
  <r>
    <n v="925"/>
    <x v="41"/>
    <x v="0"/>
    <x v="0"/>
    <x v="1"/>
    <x v="1"/>
    <x v="0"/>
    <x v="0"/>
    <n v="5"/>
    <s v="Saturday"/>
    <x v="0"/>
    <x v="0"/>
    <n v="0.22"/>
    <x v="0"/>
    <n v="0.2273"/>
    <s v="Cold"/>
    <n v="0.54"/>
    <x v="1"/>
    <n v="8.9599999999999999E-2"/>
    <x v="0"/>
    <x v="5"/>
    <n v="6"/>
    <n v="7"/>
    <s v="Low Demand"/>
  </r>
  <r>
    <n v="926"/>
    <x v="41"/>
    <x v="0"/>
    <x v="0"/>
    <x v="1"/>
    <x v="2"/>
    <x v="0"/>
    <x v="0"/>
    <n v="5"/>
    <s v="Saturday"/>
    <x v="0"/>
    <x v="0"/>
    <n v="0.24"/>
    <x v="0"/>
    <n v="0.2273"/>
    <s v="Cold"/>
    <n v="0.54"/>
    <x v="1"/>
    <n v="8.9599999999999999E-2"/>
    <x v="0"/>
    <x v="3"/>
    <n v="3"/>
    <n v="3"/>
    <s v="Low Demand"/>
  </r>
  <r>
    <n v="927"/>
    <x v="41"/>
    <x v="0"/>
    <x v="0"/>
    <x v="1"/>
    <x v="5"/>
    <x v="0"/>
    <x v="0"/>
    <n v="5"/>
    <s v="Saturday"/>
    <x v="0"/>
    <x v="0"/>
    <n v="0.3"/>
    <x v="0"/>
    <n v="0.28789999999999999"/>
    <s v="Cold"/>
    <n v="0.63"/>
    <x v="1"/>
    <n v="8.9599999999999999E-2"/>
    <x v="0"/>
    <x v="3"/>
    <n v="4"/>
    <n v="4"/>
    <s v="Low Demand"/>
  </r>
  <r>
    <n v="928"/>
    <x v="41"/>
    <x v="0"/>
    <x v="0"/>
    <x v="1"/>
    <x v="6"/>
    <x v="1"/>
    <x v="0"/>
    <n v="5"/>
    <s v="Saturday"/>
    <x v="0"/>
    <x v="0"/>
    <n v="0.32"/>
    <x v="0"/>
    <n v="0.31819999999999998"/>
    <s v="Pleasant"/>
    <n v="0.68"/>
    <x v="1"/>
    <n v="0"/>
    <x v="0"/>
    <x v="5"/>
    <n v="23"/>
    <n v="24"/>
    <s v="Low Demand"/>
  </r>
  <r>
    <n v="929"/>
    <x v="41"/>
    <x v="0"/>
    <x v="0"/>
    <x v="1"/>
    <x v="7"/>
    <x v="1"/>
    <x v="0"/>
    <n v="5"/>
    <s v="Saturday"/>
    <x v="0"/>
    <x v="0"/>
    <n v="0.3"/>
    <x v="0"/>
    <n v="0.28789999999999999"/>
    <s v="Cold"/>
    <n v="0.73"/>
    <x v="1"/>
    <n v="0"/>
    <x v="0"/>
    <x v="5"/>
    <n v="73"/>
    <n v="74"/>
    <s v="Low Demand"/>
  </r>
  <r>
    <n v="930"/>
    <x v="41"/>
    <x v="0"/>
    <x v="0"/>
    <x v="1"/>
    <x v="8"/>
    <x v="1"/>
    <x v="0"/>
    <n v="5"/>
    <s v="Saturday"/>
    <x v="0"/>
    <x v="0"/>
    <n v="0.3"/>
    <x v="0"/>
    <n v="0.33329999999999999"/>
    <s v="Pleasant"/>
    <n v="0.74"/>
    <x v="1"/>
    <n v="0.16420000000000001"/>
    <x v="1"/>
    <x v="17"/>
    <n v="212"/>
    <n v="216"/>
    <s v="High Demand"/>
  </r>
  <r>
    <n v="931"/>
    <x v="41"/>
    <x v="0"/>
    <x v="0"/>
    <x v="1"/>
    <x v="9"/>
    <x v="1"/>
    <x v="0"/>
    <n v="5"/>
    <s v="Saturday"/>
    <x v="0"/>
    <x v="0"/>
    <n v="0.28000000000000003"/>
    <x v="0"/>
    <n v="0.31819999999999998"/>
    <s v="Pleasant"/>
    <n v="0.74"/>
    <x v="1"/>
    <n v="0.22389999999999999"/>
    <x v="1"/>
    <x v="1"/>
    <n v="132"/>
    <n v="140"/>
    <s v="Medium Demand"/>
  </r>
  <r>
    <n v="932"/>
    <x v="41"/>
    <x v="0"/>
    <x v="0"/>
    <x v="1"/>
    <x v="10"/>
    <x v="1"/>
    <x v="0"/>
    <n v="5"/>
    <s v="Saturday"/>
    <x v="0"/>
    <x v="0"/>
    <n v="0.26"/>
    <x v="0"/>
    <n v="0.30299999999999999"/>
    <s v="Pleasant"/>
    <n v="0.69"/>
    <x v="1"/>
    <n v="0.19400000000000001"/>
    <x v="1"/>
    <x v="2"/>
    <n v="39"/>
    <n v="44"/>
    <s v="Low Demand"/>
  </r>
  <r>
    <n v="933"/>
    <x v="41"/>
    <x v="0"/>
    <x v="0"/>
    <x v="1"/>
    <x v="11"/>
    <x v="1"/>
    <x v="0"/>
    <n v="5"/>
    <s v="Saturday"/>
    <x v="0"/>
    <x v="0"/>
    <n v="0.22"/>
    <x v="0"/>
    <n v="0.2273"/>
    <s v="Cold"/>
    <n v="0.47"/>
    <x v="2"/>
    <n v="0.1343"/>
    <x v="0"/>
    <x v="6"/>
    <n v="52"/>
    <n v="64"/>
    <s v="Low Demand"/>
  </r>
  <r>
    <n v="934"/>
    <x v="41"/>
    <x v="0"/>
    <x v="0"/>
    <x v="1"/>
    <x v="12"/>
    <x v="2"/>
    <x v="0"/>
    <n v="5"/>
    <s v="Saturday"/>
    <x v="0"/>
    <x v="0"/>
    <n v="0.2"/>
    <x v="1"/>
    <n v="0.21210000000000001"/>
    <s v="Cold"/>
    <n v="0.47"/>
    <x v="2"/>
    <n v="0.1343"/>
    <x v="0"/>
    <x v="18"/>
    <n v="64"/>
    <n v="71"/>
    <s v="Low Demand"/>
  </r>
  <r>
    <n v="935"/>
    <x v="41"/>
    <x v="0"/>
    <x v="0"/>
    <x v="1"/>
    <x v="13"/>
    <x v="2"/>
    <x v="0"/>
    <n v="5"/>
    <s v="Saturday"/>
    <x v="0"/>
    <x v="0"/>
    <n v="0.2"/>
    <x v="1"/>
    <n v="0.2273"/>
    <s v="Cold"/>
    <n v="0.35"/>
    <x v="2"/>
    <n v="0.19400000000000001"/>
    <x v="1"/>
    <x v="27"/>
    <n v="89"/>
    <n v="110"/>
    <s v="Medium Demand"/>
  </r>
  <r>
    <n v="936"/>
    <x v="41"/>
    <x v="0"/>
    <x v="0"/>
    <x v="1"/>
    <x v="14"/>
    <x v="2"/>
    <x v="0"/>
    <n v="5"/>
    <s v="Saturday"/>
    <x v="0"/>
    <x v="0"/>
    <n v="0.18"/>
    <x v="1"/>
    <n v="0.2424"/>
    <s v="Cold"/>
    <n v="0.26"/>
    <x v="2"/>
    <n v="0.25369999999999998"/>
    <x v="1"/>
    <x v="26"/>
    <n v="67"/>
    <n v="84"/>
    <s v="Medium Demand"/>
  </r>
  <r>
    <n v="937"/>
    <x v="41"/>
    <x v="0"/>
    <x v="0"/>
    <x v="1"/>
    <x v="15"/>
    <x v="2"/>
    <x v="0"/>
    <n v="5"/>
    <s v="Saturday"/>
    <x v="0"/>
    <x v="0"/>
    <n v="0.16"/>
    <x v="1"/>
    <n v="0.19700000000000001"/>
    <s v="Cold"/>
    <n v="0.21"/>
    <x v="3"/>
    <n v="0.16420000000000001"/>
    <x v="1"/>
    <x v="6"/>
    <n v="62"/>
    <n v="74"/>
    <s v="Low Demand"/>
  </r>
  <r>
    <n v="938"/>
    <x v="41"/>
    <x v="0"/>
    <x v="0"/>
    <x v="1"/>
    <x v="16"/>
    <x v="2"/>
    <x v="0"/>
    <n v="5"/>
    <s v="Saturday"/>
    <x v="0"/>
    <x v="0"/>
    <n v="0.14000000000000001"/>
    <x v="1"/>
    <n v="0.21210000000000001"/>
    <s v="Cold"/>
    <n v="0.28000000000000003"/>
    <x v="2"/>
    <n v="0.19400000000000001"/>
    <x v="1"/>
    <x v="24"/>
    <n v="111"/>
    <n v="125"/>
    <s v="Medium Demand"/>
  </r>
  <r>
    <n v="939"/>
    <x v="41"/>
    <x v="0"/>
    <x v="0"/>
    <x v="1"/>
    <x v="17"/>
    <x v="2"/>
    <x v="0"/>
    <n v="5"/>
    <s v="Saturday"/>
    <x v="0"/>
    <x v="0"/>
    <n v="0.14000000000000001"/>
    <x v="1"/>
    <n v="0.21210000000000001"/>
    <s v="Cold"/>
    <n v="0.24"/>
    <x v="3"/>
    <n v="0"/>
    <x v="0"/>
    <x v="25"/>
    <n v="193"/>
    <n v="211"/>
    <s v="High Demand"/>
  </r>
  <r>
    <n v="940"/>
    <x v="41"/>
    <x v="0"/>
    <x v="0"/>
    <x v="1"/>
    <x v="18"/>
    <x v="3"/>
    <x v="0"/>
    <n v="5"/>
    <s v="Saturday"/>
    <x v="0"/>
    <x v="0"/>
    <n v="0.12"/>
    <x v="1"/>
    <n v="0.19700000000000001"/>
    <s v="Cold"/>
    <n v="0.28000000000000003"/>
    <x v="2"/>
    <n v="0"/>
    <x v="0"/>
    <x v="14"/>
    <n v="165"/>
    <n v="174"/>
    <s v="High Demand"/>
  </r>
  <r>
    <n v="941"/>
    <x v="41"/>
    <x v="0"/>
    <x v="0"/>
    <x v="1"/>
    <x v="19"/>
    <x v="3"/>
    <x v="0"/>
    <n v="5"/>
    <s v="Saturday"/>
    <x v="0"/>
    <x v="0"/>
    <n v="0.12"/>
    <x v="1"/>
    <n v="0.16669999999999999"/>
    <s v="Cold"/>
    <n v="0.33"/>
    <x v="2"/>
    <n v="0"/>
    <x v="0"/>
    <x v="18"/>
    <n v="94"/>
    <n v="101"/>
    <s v="Medium Demand"/>
  </r>
  <r>
    <n v="942"/>
    <x v="41"/>
    <x v="0"/>
    <x v="0"/>
    <x v="1"/>
    <x v="20"/>
    <x v="3"/>
    <x v="0"/>
    <n v="5"/>
    <s v="Saturday"/>
    <x v="0"/>
    <x v="0"/>
    <n v="0.12"/>
    <x v="1"/>
    <n v="0.16669999999999999"/>
    <s v="Cold"/>
    <n v="0.55000000000000004"/>
    <x v="1"/>
    <n v="0.1343"/>
    <x v="0"/>
    <x v="4"/>
    <n v="61"/>
    <n v="63"/>
    <s v="Low Demand"/>
  </r>
  <r>
    <n v="943"/>
    <x v="41"/>
    <x v="0"/>
    <x v="0"/>
    <x v="1"/>
    <x v="21"/>
    <x v="3"/>
    <x v="0"/>
    <n v="5"/>
    <s v="Saturday"/>
    <x v="0"/>
    <x v="0"/>
    <n v="0.12"/>
    <x v="1"/>
    <n v="0.13639999999999999"/>
    <s v="Very Cold"/>
    <n v="0.59"/>
    <x v="1"/>
    <n v="0.1343"/>
    <x v="0"/>
    <x v="5"/>
    <n v="46"/>
    <n v="47"/>
    <s v="Low Demand"/>
  </r>
  <r>
    <n v="944"/>
    <x v="41"/>
    <x v="0"/>
    <x v="0"/>
    <x v="1"/>
    <x v="22"/>
    <x v="3"/>
    <x v="0"/>
    <n v="5"/>
    <s v="Saturday"/>
    <x v="0"/>
    <x v="0"/>
    <n v="0.12"/>
    <x v="1"/>
    <n v="0.1515"/>
    <s v="Cold"/>
    <n v="0.64"/>
    <x v="1"/>
    <n v="8.9599999999999999E-2"/>
    <x v="0"/>
    <x v="4"/>
    <n v="41"/>
    <n v="43"/>
    <s v="Low Demand"/>
  </r>
  <r>
    <n v="945"/>
    <x v="41"/>
    <x v="0"/>
    <x v="0"/>
    <x v="1"/>
    <x v="23"/>
    <x v="3"/>
    <x v="0"/>
    <n v="5"/>
    <s v="Saturday"/>
    <x v="0"/>
    <x v="0"/>
    <n v="0.14000000000000001"/>
    <x v="1"/>
    <n v="0.1515"/>
    <s v="Cold"/>
    <n v="0.69"/>
    <x v="1"/>
    <n v="0"/>
    <x v="0"/>
    <x v="2"/>
    <n v="48"/>
    <n v="53"/>
    <s v="Low Demand"/>
  </r>
  <r>
    <n v="946"/>
    <x v="42"/>
    <x v="0"/>
    <x v="0"/>
    <x v="1"/>
    <x v="0"/>
    <x v="0"/>
    <x v="0"/>
    <n v="6"/>
    <s v="Sunday"/>
    <x v="0"/>
    <x v="0"/>
    <n v="0.16"/>
    <x v="1"/>
    <n v="0.18179999999999999"/>
    <s v="Cold"/>
    <n v="0.69"/>
    <x v="1"/>
    <n v="8.9599999999999999E-2"/>
    <x v="0"/>
    <x v="0"/>
    <n v="27"/>
    <n v="30"/>
    <s v="Low Demand"/>
  </r>
  <r>
    <n v="947"/>
    <x v="42"/>
    <x v="0"/>
    <x v="0"/>
    <x v="1"/>
    <x v="1"/>
    <x v="0"/>
    <x v="0"/>
    <n v="6"/>
    <s v="Sunday"/>
    <x v="0"/>
    <x v="0"/>
    <n v="0.22"/>
    <x v="0"/>
    <n v="0.21210000000000001"/>
    <s v="Cold"/>
    <n v="0.86"/>
    <x v="0"/>
    <n v="0"/>
    <x v="0"/>
    <x v="4"/>
    <n v="22"/>
    <n v="24"/>
    <s v="Low Demand"/>
  </r>
  <r>
    <n v="948"/>
    <x v="42"/>
    <x v="0"/>
    <x v="0"/>
    <x v="1"/>
    <x v="2"/>
    <x v="0"/>
    <x v="0"/>
    <n v="6"/>
    <s v="Sunday"/>
    <x v="0"/>
    <x v="0"/>
    <n v="0.3"/>
    <x v="0"/>
    <n v="0.2727"/>
    <s v="Cold"/>
    <n v="0.8"/>
    <x v="0"/>
    <n v="0"/>
    <x v="0"/>
    <x v="4"/>
    <n v="13"/>
    <n v="15"/>
    <s v="Low Demand"/>
  </r>
  <r>
    <n v="949"/>
    <x v="42"/>
    <x v="0"/>
    <x v="0"/>
    <x v="1"/>
    <x v="3"/>
    <x v="0"/>
    <x v="0"/>
    <n v="6"/>
    <s v="Sunday"/>
    <x v="0"/>
    <x v="0"/>
    <n v="0.3"/>
    <x v="0"/>
    <n v="0.2727"/>
    <s v="Cold"/>
    <n v="0.8"/>
    <x v="0"/>
    <n v="0"/>
    <x v="0"/>
    <x v="0"/>
    <n v="7"/>
    <n v="10"/>
    <s v="Low Demand"/>
  </r>
  <r>
    <n v="950"/>
    <x v="42"/>
    <x v="0"/>
    <x v="0"/>
    <x v="1"/>
    <x v="4"/>
    <x v="0"/>
    <x v="0"/>
    <n v="6"/>
    <s v="Sunday"/>
    <x v="0"/>
    <x v="0"/>
    <n v="0.3"/>
    <x v="0"/>
    <n v="0.2727"/>
    <s v="Cold"/>
    <n v="0.74"/>
    <x v="1"/>
    <n v="8.9599999999999999E-2"/>
    <x v="0"/>
    <x v="3"/>
    <n v="4"/>
    <n v="4"/>
    <s v="Low Demand"/>
  </r>
  <r>
    <n v="951"/>
    <x v="42"/>
    <x v="0"/>
    <x v="0"/>
    <x v="1"/>
    <x v="5"/>
    <x v="0"/>
    <x v="0"/>
    <n v="6"/>
    <s v="Sunday"/>
    <x v="0"/>
    <x v="0"/>
    <n v="0.34"/>
    <x v="0"/>
    <n v="0.31819999999999998"/>
    <s v="Pleasant"/>
    <n v="0.74"/>
    <x v="1"/>
    <n v="8.9599999999999999E-2"/>
    <x v="0"/>
    <x v="3"/>
    <n v="1"/>
    <n v="1"/>
    <s v="Low Demand"/>
  </r>
  <r>
    <n v="952"/>
    <x v="42"/>
    <x v="0"/>
    <x v="0"/>
    <x v="1"/>
    <x v="6"/>
    <x v="1"/>
    <x v="0"/>
    <n v="6"/>
    <s v="Sunday"/>
    <x v="0"/>
    <x v="0"/>
    <n v="0.34"/>
    <x v="0"/>
    <n v="0.30299999999999999"/>
    <s v="Pleasant"/>
    <n v="0.93"/>
    <x v="0"/>
    <n v="0.19400000000000001"/>
    <x v="1"/>
    <x v="5"/>
    <n v="1"/>
    <n v="2"/>
    <s v="Low Demand"/>
  </r>
  <r>
    <n v="953"/>
    <x v="42"/>
    <x v="0"/>
    <x v="0"/>
    <x v="1"/>
    <x v="7"/>
    <x v="1"/>
    <x v="0"/>
    <n v="6"/>
    <s v="Sunday"/>
    <x v="0"/>
    <x v="0"/>
    <n v="0.34"/>
    <x v="0"/>
    <n v="0.30299999999999999"/>
    <s v="Pleasant"/>
    <n v="0.8"/>
    <x v="0"/>
    <n v="0.1045"/>
    <x v="0"/>
    <x v="4"/>
    <n v="9"/>
    <n v="11"/>
    <s v="Low Demand"/>
  </r>
  <r>
    <n v="954"/>
    <x v="42"/>
    <x v="0"/>
    <x v="0"/>
    <x v="1"/>
    <x v="8"/>
    <x v="1"/>
    <x v="0"/>
    <n v="6"/>
    <s v="Sunday"/>
    <x v="0"/>
    <x v="0"/>
    <n v="0.32"/>
    <x v="0"/>
    <n v="0.28789999999999999"/>
    <s v="Cold"/>
    <n v="0.86"/>
    <x v="0"/>
    <n v="0.1343"/>
    <x v="0"/>
    <x v="4"/>
    <n v="28"/>
    <n v="30"/>
    <s v="Low Demand"/>
  </r>
  <r>
    <n v="955"/>
    <x v="42"/>
    <x v="0"/>
    <x v="0"/>
    <x v="1"/>
    <x v="9"/>
    <x v="1"/>
    <x v="0"/>
    <n v="6"/>
    <s v="Sunday"/>
    <x v="0"/>
    <x v="0"/>
    <n v="0.28000000000000003"/>
    <x v="0"/>
    <n v="0.2576"/>
    <s v="Cold"/>
    <n v="0.64"/>
    <x v="1"/>
    <n v="0.1343"/>
    <x v="0"/>
    <x v="2"/>
    <n v="38"/>
    <n v="43"/>
    <s v="Low Demand"/>
  </r>
  <r>
    <n v="956"/>
    <x v="42"/>
    <x v="0"/>
    <x v="0"/>
    <x v="1"/>
    <x v="10"/>
    <x v="1"/>
    <x v="0"/>
    <n v="6"/>
    <s v="Sunday"/>
    <x v="0"/>
    <x v="0"/>
    <n v="0.28000000000000003"/>
    <x v="0"/>
    <n v="0.2727"/>
    <s v="Cold"/>
    <n v="0.41"/>
    <x v="2"/>
    <n v="0.25369999999999998"/>
    <x v="1"/>
    <x v="23"/>
    <n v="71"/>
    <n v="84"/>
    <s v="Medium Demand"/>
  </r>
  <r>
    <n v="957"/>
    <x v="42"/>
    <x v="0"/>
    <x v="0"/>
    <x v="1"/>
    <x v="11"/>
    <x v="1"/>
    <x v="0"/>
    <n v="6"/>
    <s v="Sunday"/>
    <x v="0"/>
    <x v="0"/>
    <n v="0.26"/>
    <x v="0"/>
    <n v="0.2576"/>
    <s v="Cold"/>
    <n v="0.28000000000000003"/>
    <x v="2"/>
    <n v="0.32840000000000003"/>
    <x v="2"/>
    <x v="36"/>
    <n v="84"/>
    <n v="114"/>
    <s v="Medium Demand"/>
  </r>
  <r>
    <n v="958"/>
    <x v="42"/>
    <x v="0"/>
    <x v="0"/>
    <x v="1"/>
    <x v="12"/>
    <x v="2"/>
    <x v="0"/>
    <n v="6"/>
    <s v="Sunday"/>
    <x v="0"/>
    <x v="0"/>
    <n v="0.26"/>
    <x v="0"/>
    <n v="0.30299999999999999"/>
    <s v="Pleasant"/>
    <n v="0.39"/>
    <x v="2"/>
    <n v="0.4627"/>
    <x v="3"/>
    <x v="37"/>
    <n v="93"/>
    <n v="120"/>
    <s v="Medium Demand"/>
  </r>
  <r>
    <n v="959"/>
    <x v="42"/>
    <x v="0"/>
    <x v="0"/>
    <x v="1"/>
    <x v="13"/>
    <x v="2"/>
    <x v="0"/>
    <n v="6"/>
    <s v="Sunday"/>
    <x v="0"/>
    <x v="0"/>
    <n v="0.24"/>
    <x v="0"/>
    <n v="0.2576"/>
    <s v="Cold"/>
    <n v="0.39"/>
    <x v="2"/>
    <n v="0.41789999999999999"/>
    <x v="2"/>
    <x v="38"/>
    <n v="103"/>
    <n v="135"/>
    <s v="Medium Demand"/>
  </r>
  <r>
    <n v="960"/>
    <x v="42"/>
    <x v="0"/>
    <x v="0"/>
    <x v="1"/>
    <x v="14"/>
    <x v="2"/>
    <x v="0"/>
    <n v="6"/>
    <s v="Sunday"/>
    <x v="0"/>
    <x v="0"/>
    <n v="0.22"/>
    <x v="0"/>
    <n v="0.2273"/>
    <s v="Cold"/>
    <n v="0.31"/>
    <x v="2"/>
    <n v="0.28360000000000002"/>
    <x v="1"/>
    <x v="36"/>
    <n v="90"/>
    <n v="120"/>
    <s v="Medium Demand"/>
  </r>
  <r>
    <n v="961"/>
    <x v="42"/>
    <x v="0"/>
    <x v="0"/>
    <x v="1"/>
    <x v="15"/>
    <x v="2"/>
    <x v="0"/>
    <n v="6"/>
    <s v="Sunday"/>
    <x v="0"/>
    <x v="0"/>
    <n v="0.2"/>
    <x v="1"/>
    <n v="0.2273"/>
    <s v="Cold"/>
    <n v="0.28999999999999998"/>
    <x v="2"/>
    <n v="0.41789999999999999"/>
    <x v="2"/>
    <x v="9"/>
    <n v="127"/>
    <n v="174"/>
    <s v="High Demand"/>
  </r>
  <r>
    <n v="962"/>
    <x v="42"/>
    <x v="0"/>
    <x v="0"/>
    <x v="1"/>
    <x v="16"/>
    <x v="2"/>
    <x v="0"/>
    <n v="6"/>
    <s v="Sunday"/>
    <x v="0"/>
    <x v="0"/>
    <n v="0.2"/>
    <x v="1"/>
    <n v="0.2273"/>
    <s v="Cold"/>
    <n v="0.28999999999999998"/>
    <x v="2"/>
    <n v="0.41789999999999999"/>
    <x v="2"/>
    <x v="35"/>
    <n v="103"/>
    <n v="145"/>
    <s v="Medium Demand"/>
  </r>
  <r>
    <n v="963"/>
    <x v="42"/>
    <x v="0"/>
    <x v="0"/>
    <x v="1"/>
    <x v="17"/>
    <x v="2"/>
    <x v="0"/>
    <n v="6"/>
    <s v="Sunday"/>
    <x v="0"/>
    <x v="0"/>
    <n v="0.2"/>
    <x v="1"/>
    <n v="0.2273"/>
    <s v="Cold"/>
    <n v="0.31"/>
    <x v="2"/>
    <n v="0.52239999999999998"/>
    <x v="3"/>
    <x v="31"/>
    <n v="113"/>
    <n v="137"/>
    <s v="Medium Demand"/>
  </r>
  <r>
    <n v="964"/>
    <x v="42"/>
    <x v="0"/>
    <x v="0"/>
    <x v="1"/>
    <x v="18"/>
    <x v="3"/>
    <x v="0"/>
    <n v="6"/>
    <s v="Sunday"/>
    <x v="0"/>
    <x v="0"/>
    <n v="0.2"/>
    <x v="1"/>
    <n v="0.2273"/>
    <s v="Cold"/>
    <n v="0.38"/>
    <x v="2"/>
    <n v="0.32840000000000003"/>
    <x v="2"/>
    <x v="17"/>
    <n v="60"/>
    <n v="64"/>
    <s v="Low Demand"/>
  </r>
  <r>
    <n v="965"/>
    <x v="42"/>
    <x v="0"/>
    <x v="0"/>
    <x v="1"/>
    <x v="19"/>
    <x v="3"/>
    <x v="0"/>
    <n v="6"/>
    <s v="Sunday"/>
    <x v="0"/>
    <x v="0"/>
    <n v="0.2"/>
    <x v="1"/>
    <n v="0.21210000000000001"/>
    <s v="Cold"/>
    <n v="0.38"/>
    <x v="2"/>
    <n v="0.16420000000000001"/>
    <x v="1"/>
    <x v="4"/>
    <n v="39"/>
    <n v="41"/>
    <s v="Low Demand"/>
  </r>
  <r>
    <n v="966"/>
    <x v="42"/>
    <x v="0"/>
    <x v="0"/>
    <x v="1"/>
    <x v="20"/>
    <x v="3"/>
    <x v="0"/>
    <n v="6"/>
    <s v="Sunday"/>
    <x v="0"/>
    <x v="0"/>
    <n v="0.2"/>
    <x v="1"/>
    <n v="0.21210000000000001"/>
    <s v="Cold"/>
    <n v="0.41"/>
    <x v="2"/>
    <n v="0.22389999999999999"/>
    <x v="1"/>
    <x v="5"/>
    <n v="39"/>
    <n v="40"/>
    <s v="Low Demand"/>
  </r>
  <r>
    <n v="967"/>
    <x v="42"/>
    <x v="0"/>
    <x v="0"/>
    <x v="1"/>
    <x v="21"/>
    <x v="3"/>
    <x v="0"/>
    <n v="6"/>
    <s v="Sunday"/>
    <x v="0"/>
    <x v="0"/>
    <n v="0.22"/>
    <x v="0"/>
    <n v="0.2727"/>
    <s v="Cold"/>
    <n v="0.41"/>
    <x v="2"/>
    <n v="0"/>
    <x v="0"/>
    <x v="14"/>
    <n v="42"/>
    <n v="51"/>
    <s v="Low Demand"/>
  </r>
  <r>
    <n v="968"/>
    <x v="42"/>
    <x v="0"/>
    <x v="0"/>
    <x v="1"/>
    <x v="22"/>
    <x v="3"/>
    <x v="0"/>
    <n v="6"/>
    <s v="Sunday"/>
    <x v="0"/>
    <x v="0"/>
    <n v="0.22"/>
    <x v="0"/>
    <n v="0.2273"/>
    <s v="Cold"/>
    <n v="0.44"/>
    <x v="2"/>
    <n v="8.9599999999999999E-2"/>
    <x v="0"/>
    <x v="15"/>
    <n v="39"/>
    <n v="45"/>
    <s v="Low Demand"/>
  </r>
  <r>
    <n v="969"/>
    <x v="42"/>
    <x v="0"/>
    <x v="0"/>
    <x v="1"/>
    <x v="23"/>
    <x v="3"/>
    <x v="0"/>
    <n v="6"/>
    <s v="Sunday"/>
    <x v="0"/>
    <x v="0"/>
    <n v="0.24"/>
    <x v="0"/>
    <n v="0.2273"/>
    <s v="Cold"/>
    <n v="0.51"/>
    <x v="1"/>
    <n v="0.1343"/>
    <x v="0"/>
    <x v="5"/>
    <n v="31"/>
    <n v="32"/>
    <s v="Low Demand"/>
  </r>
  <r>
    <n v="970"/>
    <x v="43"/>
    <x v="0"/>
    <x v="0"/>
    <x v="1"/>
    <x v="0"/>
    <x v="0"/>
    <x v="0"/>
    <n v="0"/>
    <s v="Monday"/>
    <x v="0"/>
    <x v="0"/>
    <n v="0.3"/>
    <x v="0"/>
    <n v="0.2727"/>
    <s v="Cold"/>
    <n v="0.64"/>
    <x v="1"/>
    <n v="0.1045"/>
    <x v="0"/>
    <x v="2"/>
    <n v="34"/>
    <n v="39"/>
    <s v="Low Demand"/>
  </r>
  <r>
    <n v="971"/>
    <x v="43"/>
    <x v="0"/>
    <x v="0"/>
    <x v="1"/>
    <x v="1"/>
    <x v="0"/>
    <x v="0"/>
    <n v="0"/>
    <s v="Monday"/>
    <x v="0"/>
    <x v="0"/>
    <n v="0.32"/>
    <x v="0"/>
    <n v="0.28789999999999999"/>
    <s v="Cold"/>
    <n v="0.59"/>
    <x v="1"/>
    <n v="8.9599999999999999E-2"/>
    <x v="0"/>
    <x v="5"/>
    <n v="23"/>
    <n v="24"/>
    <s v="Low Demand"/>
  </r>
  <r>
    <n v="972"/>
    <x v="43"/>
    <x v="0"/>
    <x v="0"/>
    <x v="1"/>
    <x v="2"/>
    <x v="0"/>
    <x v="0"/>
    <n v="0"/>
    <s v="Monday"/>
    <x v="1"/>
    <x v="1"/>
    <n v="0.36"/>
    <x v="0"/>
    <n v="0.31819999999999998"/>
    <s v="Pleasant"/>
    <n v="0.75"/>
    <x v="1"/>
    <n v="8.9599999999999999E-2"/>
    <x v="0"/>
    <x v="5"/>
    <n v="19"/>
    <n v="20"/>
    <s v="Low Demand"/>
  </r>
  <r>
    <n v="973"/>
    <x v="43"/>
    <x v="0"/>
    <x v="0"/>
    <x v="1"/>
    <x v="3"/>
    <x v="0"/>
    <x v="0"/>
    <n v="0"/>
    <s v="Monday"/>
    <x v="1"/>
    <x v="1"/>
    <n v="0.38"/>
    <x v="0"/>
    <n v="0.39389999999999997"/>
    <s v="Pleasant"/>
    <n v="0.69"/>
    <x v="1"/>
    <n v="0.1045"/>
    <x v="0"/>
    <x v="17"/>
    <n v="8"/>
    <n v="12"/>
    <s v="Low Demand"/>
  </r>
  <r>
    <n v="974"/>
    <x v="43"/>
    <x v="0"/>
    <x v="0"/>
    <x v="1"/>
    <x v="4"/>
    <x v="0"/>
    <x v="0"/>
    <n v="0"/>
    <s v="Monday"/>
    <x v="1"/>
    <x v="1"/>
    <n v="0.4"/>
    <x v="0"/>
    <n v="0.40910000000000002"/>
    <s v="Pleasant"/>
    <n v="0.69"/>
    <x v="1"/>
    <n v="0.16420000000000001"/>
    <x v="1"/>
    <x v="3"/>
    <n v="2"/>
    <n v="2"/>
    <s v="Low Demand"/>
  </r>
  <r>
    <n v="975"/>
    <x v="43"/>
    <x v="0"/>
    <x v="0"/>
    <x v="1"/>
    <x v="6"/>
    <x v="1"/>
    <x v="0"/>
    <n v="0"/>
    <s v="Monday"/>
    <x v="1"/>
    <x v="1"/>
    <n v="0.4"/>
    <x v="0"/>
    <n v="0.40910000000000002"/>
    <s v="Pleasant"/>
    <n v="0.69"/>
    <x v="1"/>
    <n v="0.1343"/>
    <x v="0"/>
    <x v="4"/>
    <n v="3"/>
    <n v="5"/>
    <s v="Low Demand"/>
  </r>
  <r>
    <n v="976"/>
    <x v="43"/>
    <x v="0"/>
    <x v="0"/>
    <x v="1"/>
    <x v="7"/>
    <x v="1"/>
    <x v="0"/>
    <n v="0"/>
    <s v="Monday"/>
    <x v="1"/>
    <x v="1"/>
    <n v="0.42"/>
    <x v="2"/>
    <n v="0.42420000000000002"/>
    <s v="Pleasant"/>
    <n v="0.55000000000000004"/>
    <x v="1"/>
    <n v="0"/>
    <x v="0"/>
    <x v="3"/>
    <n v="3"/>
    <n v="3"/>
    <s v="Low Demand"/>
  </r>
  <r>
    <n v="977"/>
    <x v="43"/>
    <x v="0"/>
    <x v="0"/>
    <x v="1"/>
    <x v="8"/>
    <x v="1"/>
    <x v="0"/>
    <n v="0"/>
    <s v="Monday"/>
    <x v="1"/>
    <x v="1"/>
    <n v="0.42"/>
    <x v="2"/>
    <n v="0.42420000000000002"/>
    <s v="Pleasant"/>
    <n v="0.64"/>
    <x v="1"/>
    <n v="0.19400000000000001"/>
    <x v="1"/>
    <x v="5"/>
    <n v="11"/>
    <n v="12"/>
    <s v="Low Demand"/>
  </r>
  <r>
    <n v="978"/>
    <x v="43"/>
    <x v="0"/>
    <x v="0"/>
    <x v="1"/>
    <x v="9"/>
    <x v="1"/>
    <x v="0"/>
    <n v="0"/>
    <s v="Monday"/>
    <x v="1"/>
    <x v="1"/>
    <n v="0.4"/>
    <x v="0"/>
    <n v="0.40910000000000002"/>
    <s v="Pleasant"/>
    <n v="0.6"/>
    <x v="1"/>
    <n v="0.22389999999999999"/>
    <x v="1"/>
    <x v="6"/>
    <n v="35"/>
    <n v="47"/>
    <s v="Low Demand"/>
  </r>
  <r>
    <n v="979"/>
    <x v="43"/>
    <x v="0"/>
    <x v="0"/>
    <x v="1"/>
    <x v="10"/>
    <x v="1"/>
    <x v="0"/>
    <n v="0"/>
    <s v="Monday"/>
    <x v="0"/>
    <x v="0"/>
    <n v="0.4"/>
    <x v="0"/>
    <n v="0.40910000000000002"/>
    <s v="Pleasant"/>
    <n v="0.45"/>
    <x v="2"/>
    <n v="0.32840000000000003"/>
    <x v="2"/>
    <x v="21"/>
    <n v="86"/>
    <n v="105"/>
    <s v="Medium Demand"/>
  </r>
  <r>
    <n v="980"/>
    <x v="43"/>
    <x v="0"/>
    <x v="0"/>
    <x v="1"/>
    <x v="11"/>
    <x v="1"/>
    <x v="0"/>
    <n v="0"/>
    <s v="Monday"/>
    <x v="0"/>
    <x v="0"/>
    <n v="0.4"/>
    <x v="0"/>
    <n v="0.40910000000000002"/>
    <s v="Pleasant"/>
    <n v="0.39"/>
    <x v="2"/>
    <n v="0.44779999999999998"/>
    <x v="2"/>
    <x v="7"/>
    <n v="86"/>
    <n v="112"/>
    <s v="Medium Demand"/>
  </r>
  <r>
    <n v="981"/>
    <x v="43"/>
    <x v="0"/>
    <x v="0"/>
    <x v="1"/>
    <x v="12"/>
    <x v="2"/>
    <x v="0"/>
    <n v="0"/>
    <s v="Monday"/>
    <x v="0"/>
    <x v="0"/>
    <n v="0.4"/>
    <x v="0"/>
    <n v="0.40910000000000002"/>
    <s v="Pleasant"/>
    <n v="0.32"/>
    <x v="2"/>
    <n v="0.4627"/>
    <x v="3"/>
    <x v="39"/>
    <n v="94"/>
    <n v="152"/>
    <s v="High Demand"/>
  </r>
  <r>
    <n v="982"/>
    <x v="43"/>
    <x v="0"/>
    <x v="0"/>
    <x v="1"/>
    <x v="13"/>
    <x v="2"/>
    <x v="0"/>
    <n v="0"/>
    <s v="Monday"/>
    <x v="0"/>
    <x v="0"/>
    <n v="0.4"/>
    <x v="0"/>
    <n v="0.40910000000000002"/>
    <s v="Pleasant"/>
    <n v="0.28999999999999998"/>
    <x v="2"/>
    <n v="0.35820000000000002"/>
    <x v="2"/>
    <x v="40"/>
    <n v="92"/>
    <n v="154"/>
    <s v="High Demand"/>
  </r>
  <r>
    <n v="983"/>
    <x v="43"/>
    <x v="0"/>
    <x v="0"/>
    <x v="1"/>
    <x v="14"/>
    <x v="2"/>
    <x v="0"/>
    <n v="0"/>
    <s v="Monday"/>
    <x v="1"/>
    <x v="1"/>
    <n v="0.4"/>
    <x v="0"/>
    <n v="0.40910000000000002"/>
    <s v="Pleasant"/>
    <n v="0.3"/>
    <x v="2"/>
    <n v="0.41789999999999999"/>
    <x v="2"/>
    <x v="41"/>
    <n v="110"/>
    <n v="161"/>
    <s v="High Demand"/>
  </r>
  <r>
    <n v="984"/>
    <x v="43"/>
    <x v="0"/>
    <x v="0"/>
    <x v="1"/>
    <x v="15"/>
    <x v="2"/>
    <x v="0"/>
    <n v="0"/>
    <s v="Monday"/>
    <x v="1"/>
    <x v="1"/>
    <n v="0.38"/>
    <x v="0"/>
    <n v="0.39389999999999997"/>
    <s v="Pleasant"/>
    <n v="0.3"/>
    <x v="2"/>
    <n v="0.29849999999999999"/>
    <x v="1"/>
    <x v="11"/>
    <n v="122"/>
    <n v="162"/>
    <s v="High Demand"/>
  </r>
  <r>
    <n v="985"/>
    <x v="43"/>
    <x v="0"/>
    <x v="0"/>
    <x v="1"/>
    <x v="16"/>
    <x v="2"/>
    <x v="0"/>
    <n v="0"/>
    <s v="Monday"/>
    <x v="1"/>
    <x v="1"/>
    <n v="0.38"/>
    <x v="0"/>
    <n v="0.39389999999999997"/>
    <s v="Pleasant"/>
    <n v="0.28000000000000003"/>
    <x v="2"/>
    <n v="0.32840000000000003"/>
    <x v="2"/>
    <x v="32"/>
    <n v="106"/>
    <n v="134"/>
    <s v="Medium Demand"/>
  </r>
  <r>
    <n v="986"/>
    <x v="43"/>
    <x v="0"/>
    <x v="0"/>
    <x v="1"/>
    <x v="17"/>
    <x v="2"/>
    <x v="0"/>
    <n v="0"/>
    <s v="Monday"/>
    <x v="0"/>
    <x v="0"/>
    <n v="0.36"/>
    <x v="0"/>
    <n v="0.33329999999999999"/>
    <s v="Pleasant"/>
    <n v="0.28000000000000003"/>
    <x v="2"/>
    <n v="0.32840000000000003"/>
    <x v="2"/>
    <x v="36"/>
    <n v="95"/>
    <n v="125"/>
    <s v="Medium Demand"/>
  </r>
  <r>
    <n v="987"/>
    <x v="43"/>
    <x v="0"/>
    <x v="0"/>
    <x v="1"/>
    <x v="18"/>
    <x v="3"/>
    <x v="0"/>
    <n v="0"/>
    <s v="Monday"/>
    <x v="0"/>
    <x v="0"/>
    <n v="0.34"/>
    <x v="0"/>
    <n v="0.31819999999999998"/>
    <s v="Pleasant"/>
    <n v="0.32"/>
    <x v="2"/>
    <n v="0.29849999999999999"/>
    <x v="1"/>
    <x v="26"/>
    <n v="78"/>
    <n v="95"/>
    <s v="Medium Demand"/>
  </r>
  <r>
    <n v="988"/>
    <x v="43"/>
    <x v="0"/>
    <x v="0"/>
    <x v="1"/>
    <x v="19"/>
    <x v="3"/>
    <x v="0"/>
    <n v="0"/>
    <s v="Monday"/>
    <x v="0"/>
    <x v="0"/>
    <n v="0.32"/>
    <x v="0"/>
    <n v="0.30299999999999999"/>
    <s v="Pleasant"/>
    <n v="0.35"/>
    <x v="2"/>
    <n v="0.28360000000000002"/>
    <x v="1"/>
    <x v="16"/>
    <n v="50"/>
    <n v="61"/>
    <s v="Low Demand"/>
  </r>
  <r>
    <n v="989"/>
    <x v="43"/>
    <x v="0"/>
    <x v="0"/>
    <x v="1"/>
    <x v="20"/>
    <x v="3"/>
    <x v="0"/>
    <n v="0"/>
    <s v="Monday"/>
    <x v="0"/>
    <x v="0"/>
    <n v="0.32"/>
    <x v="0"/>
    <n v="0.30299999999999999"/>
    <s v="Pleasant"/>
    <n v="0.35"/>
    <x v="2"/>
    <n v="0.32840000000000003"/>
    <x v="2"/>
    <x v="13"/>
    <n v="32"/>
    <n v="47"/>
    <s v="Low Demand"/>
  </r>
  <r>
    <n v="990"/>
    <x v="43"/>
    <x v="0"/>
    <x v="0"/>
    <x v="1"/>
    <x v="21"/>
    <x v="3"/>
    <x v="0"/>
    <n v="0"/>
    <s v="Monday"/>
    <x v="0"/>
    <x v="0"/>
    <n v="0.34"/>
    <x v="0"/>
    <n v="0.30299999999999999"/>
    <s v="Pleasant"/>
    <n v="0.35"/>
    <x v="2"/>
    <n v="0.35820000000000002"/>
    <x v="2"/>
    <x v="15"/>
    <n v="45"/>
    <n v="51"/>
    <s v="Low Demand"/>
  </r>
  <r>
    <n v="991"/>
    <x v="43"/>
    <x v="0"/>
    <x v="0"/>
    <x v="1"/>
    <x v="22"/>
    <x v="3"/>
    <x v="0"/>
    <n v="0"/>
    <s v="Monday"/>
    <x v="0"/>
    <x v="0"/>
    <n v="0.34"/>
    <x v="0"/>
    <n v="0.30299999999999999"/>
    <s v="Pleasant"/>
    <n v="0.35"/>
    <x v="2"/>
    <n v="0.29849999999999999"/>
    <x v="1"/>
    <x v="2"/>
    <n v="31"/>
    <n v="36"/>
    <s v="Low Demand"/>
  </r>
  <r>
    <n v="992"/>
    <x v="43"/>
    <x v="0"/>
    <x v="0"/>
    <x v="1"/>
    <x v="23"/>
    <x v="3"/>
    <x v="0"/>
    <n v="0"/>
    <s v="Monday"/>
    <x v="0"/>
    <x v="0"/>
    <n v="0.22"/>
    <x v="0"/>
    <n v="0.2727"/>
    <s v="Cold"/>
    <n v="0.35"/>
    <x v="2"/>
    <n v="0.35820000000000002"/>
    <x v="2"/>
    <x v="0"/>
    <n v="27"/>
    <n v="30"/>
    <s v="Low Demand"/>
  </r>
  <r>
    <n v="993"/>
    <x v="44"/>
    <x v="0"/>
    <x v="0"/>
    <x v="1"/>
    <x v="0"/>
    <x v="0"/>
    <x v="0"/>
    <n v="1"/>
    <s v="Tuesday"/>
    <x v="0"/>
    <x v="0"/>
    <n v="0.24"/>
    <x v="0"/>
    <n v="0.2424"/>
    <s v="Cold"/>
    <n v="0.37"/>
    <x v="2"/>
    <n v="0.35820000000000002"/>
    <x v="2"/>
    <x v="0"/>
    <n v="8"/>
    <n v="11"/>
    <s v="Low Demand"/>
  </r>
  <r>
    <n v="994"/>
    <x v="44"/>
    <x v="0"/>
    <x v="0"/>
    <x v="1"/>
    <x v="1"/>
    <x v="0"/>
    <x v="0"/>
    <n v="1"/>
    <s v="Tuesday"/>
    <x v="0"/>
    <x v="0"/>
    <n v="0.24"/>
    <x v="0"/>
    <n v="0.2273"/>
    <s v="Cold"/>
    <n v="0.37"/>
    <x v="2"/>
    <n v="0.35820000000000002"/>
    <x v="2"/>
    <x v="5"/>
    <n v="6"/>
    <n v="7"/>
    <s v="Low Demand"/>
  </r>
  <r>
    <n v="995"/>
    <x v="44"/>
    <x v="0"/>
    <x v="0"/>
    <x v="1"/>
    <x v="2"/>
    <x v="0"/>
    <x v="0"/>
    <n v="1"/>
    <s v="Tuesday"/>
    <x v="0"/>
    <x v="0"/>
    <n v="0.24"/>
    <x v="0"/>
    <n v="0.2424"/>
    <s v="Cold"/>
    <n v="0.4"/>
    <x v="2"/>
    <n v="0.29849999999999999"/>
    <x v="1"/>
    <x v="3"/>
    <n v="2"/>
    <n v="2"/>
    <s v="Low Demand"/>
  </r>
  <r>
    <n v="996"/>
    <x v="44"/>
    <x v="0"/>
    <x v="0"/>
    <x v="1"/>
    <x v="3"/>
    <x v="0"/>
    <x v="0"/>
    <n v="1"/>
    <s v="Tuesday"/>
    <x v="0"/>
    <x v="0"/>
    <n v="0.24"/>
    <x v="0"/>
    <n v="0.2273"/>
    <s v="Cold"/>
    <n v="0.46"/>
    <x v="2"/>
    <n v="0.22389999999999999"/>
    <x v="1"/>
    <x v="5"/>
    <n v="1"/>
    <n v="2"/>
    <s v="Low Demand"/>
  </r>
  <r>
    <n v="997"/>
    <x v="44"/>
    <x v="0"/>
    <x v="0"/>
    <x v="1"/>
    <x v="4"/>
    <x v="0"/>
    <x v="0"/>
    <n v="1"/>
    <s v="Tuesday"/>
    <x v="0"/>
    <x v="0"/>
    <n v="0.22"/>
    <x v="0"/>
    <n v="0.2273"/>
    <s v="Cold"/>
    <n v="0.53"/>
    <x v="1"/>
    <n v="0.28360000000000002"/>
    <x v="1"/>
    <x v="3"/>
    <n v="2"/>
    <n v="2"/>
    <s v="Low Demand"/>
  </r>
  <r>
    <n v="998"/>
    <x v="44"/>
    <x v="0"/>
    <x v="0"/>
    <x v="1"/>
    <x v="5"/>
    <x v="0"/>
    <x v="0"/>
    <n v="1"/>
    <s v="Tuesday"/>
    <x v="0"/>
    <x v="0"/>
    <n v="0.24"/>
    <x v="0"/>
    <n v="0.21210000000000001"/>
    <s v="Cold"/>
    <n v="0.53"/>
    <x v="1"/>
    <n v="0.28360000000000002"/>
    <x v="1"/>
    <x v="3"/>
    <n v="3"/>
    <n v="3"/>
    <s v="Low Demand"/>
  </r>
  <r>
    <n v="999"/>
    <x v="44"/>
    <x v="0"/>
    <x v="0"/>
    <x v="1"/>
    <x v="6"/>
    <x v="1"/>
    <x v="0"/>
    <n v="1"/>
    <s v="Tuesday"/>
    <x v="0"/>
    <x v="0"/>
    <n v="0.24"/>
    <x v="0"/>
    <n v="0.2273"/>
    <s v="Cold"/>
    <n v="0.46"/>
    <x v="2"/>
    <n v="0.29849999999999999"/>
    <x v="1"/>
    <x v="5"/>
    <n v="25"/>
    <n v="26"/>
    <s v="Low Demand"/>
  </r>
  <r>
    <n v="1000"/>
    <x v="44"/>
    <x v="0"/>
    <x v="0"/>
    <x v="1"/>
    <x v="7"/>
    <x v="1"/>
    <x v="0"/>
    <n v="1"/>
    <s v="Tuesday"/>
    <x v="0"/>
    <x v="0"/>
    <n v="0.22"/>
    <x v="0"/>
    <n v="0.19700000000000001"/>
    <s v="Cold"/>
    <n v="0.46"/>
    <x v="2"/>
    <n v="0.29849999999999999"/>
    <x v="1"/>
    <x v="4"/>
    <n v="96"/>
    <n v="98"/>
    <s v="Medium Demand"/>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15B5AD57-3002-4456-93CF-C5F99284B7EC}" sourceName="hour">
  <data>
    <tabular pivotCacheId="43700371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D4036D-94A9-45CC-88A9-B3657D6C460B}" sourceName="Month">
  <data>
    <tabular pivotCacheId="4370037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Day" xr10:uid="{04437D2B-BA4C-4FAD-BF7F-ACF948C1DFEC}" sourceName="Date Day">
  <data>
    <tabular pivotCacheId="437003715">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or_not" xr10:uid="{22B66D0E-9687-4DDF-B735-50455A5BED5F}" sourceName="holiday or not">
  <data>
    <tabular pivotCacheId="43700371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9280DEE3-48BE-41A6-8493-8E3B34816A60}" sourceName="weather situation">
  <data>
    <tabular pivotCacheId="4370037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 xr10:uid="{CA9AF746-1D4A-4AC0-9A31-AB376FBAD49F}" cache="Slicer_hour" caption="hour" rowHeight="241300"/>
  <slicer name="Month" xr10:uid="{A23B6489-AAD9-462F-8E92-268E00F2D18E}" cache="Slicer_Month" caption="Month" rowHeight="241300"/>
  <slicer name="Date Day" xr10:uid="{C6DCCBBD-6E94-427A-B75B-98B21AD9E9D5}" cache="Slicer_Date_Day" caption="Date Day" rowHeight="241300"/>
  <slicer name="holiday or not" xr10:uid="{CB812AF6-F49B-44C7-9047-42F975C828BE}" cache="Slicer_holiday_or_not" caption="holiday or not" rowHeight="241300"/>
  <slicer name="weather situation" xr10:uid="{C47BE9A7-736C-4E8E-BE53-CE982140F0F9}" cache="Slicer_weather_situation" caption="weather situ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188C-ABCE-4E8C-AE0F-E65AE4230CCC}">
  <dimension ref="A3:M100"/>
  <sheetViews>
    <sheetView tabSelected="1" zoomScale="64" zoomScaleNormal="29" workbookViewId="0">
      <selection activeCell="I19" sqref="I19"/>
    </sheetView>
  </sheetViews>
  <sheetFormatPr defaultRowHeight="15" x14ac:dyDescent="0.25"/>
  <cols>
    <col min="1" max="1" width="23.42578125" style="1" customWidth="1"/>
    <col min="2" max="2" width="9.140625" style="1"/>
    <col min="3" max="3" width="30" style="1" customWidth="1"/>
    <col min="4" max="4" width="7" style="1" customWidth="1"/>
    <col min="5" max="5" width="35.42578125" style="1" customWidth="1"/>
    <col min="6" max="6" width="9.140625" style="1"/>
    <col min="7" max="7" width="44.28515625" style="1" customWidth="1"/>
    <col min="8" max="8" width="12.85546875" style="1" customWidth="1"/>
    <col min="9" max="9" width="29.7109375" style="1" customWidth="1"/>
    <col min="10" max="10" width="9.140625" style="1"/>
    <col min="11" max="11" width="30.5703125" style="1" bestFit="1" customWidth="1"/>
    <col min="12" max="16384" width="9.140625" style="1"/>
  </cols>
  <sheetData>
    <row r="3" spans="1:12" ht="33.75" x14ac:dyDescent="0.5">
      <c r="E3" s="48" t="s">
        <v>34</v>
      </c>
      <c r="F3" s="48"/>
      <c r="G3" s="48"/>
      <c r="H3" s="47"/>
    </row>
    <row r="6" spans="1:12" x14ac:dyDescent="0.25">
      <c r="A6" s="18"/>
      <c r="B6" s="34"/>
      <c r="C6" s="25" t="s">
        <v>33</v>
      </c>
      <c r="D6" s="34"/>
      <c r="E6" s="25" t="s">
        <v>32</v>
      </c>
      <c r="F6" s="34"/>
      <c r="G6" s="25" t="s">
        <v>31</v>
      </c>
      <c r="H6" s="34"/>
      <c r="I6" s="25" t="s">
        <v>30</v>
      </c>
      <c r="J6" s="34"/>
      <c r="K6" s="46" t="s">
        <v>29</v>
      </c>
      <c r="L6" s="34"/>
    </row>
    <row r="7" spans="1:12" ht="26.25" x14ac:dyDescent="0.4">
      <c r="A7" s="18"/>
      <c r="B7" s="34"/>
      <c r="C7" s="45">
        <v>58304</v>
      </c>
      <c r="D7" s="34"/>
      <c r="E7" s="44">
        <v>4921</v>
      </c>
      <c r="F7" s="34"/>
      <c r="G7" s="44">
        <v>53383</v>
      </c>
      <c r="H7" s="34"/>
      <c r="I7" s="43">
        <v>0.70833333333333337</v>
      </c>
      <c r="J7" s="34"/>
      <c r="K7" s="42" t="s">
        <v>28</v>
      </c>
      <c r="L7" s="34"/>
    </row>
    <row r="8" spans="1:12" x14ac:dyDescent="0.25">
      <c r="A8" s="18"/>
      <c r="B8" s="40"/>
      <c r="C8" s="41"/>
      <c r="D8" s="40"/>
      <c r="E8" s="39">
        <v>8.4000000000000005E-2</v>
      </c>
      <c r="F8" s="38"/>
      <c r="G8" s="37">
        <v>0.91600000000000004</v>
      </c>
      <c r="H8" s="36"/>
      <c r="I8" s="35" t="s">
        <v>27</v>
      </c>
      <c r="J8" s="36"/>
      <c r="K8" s="35" t="s">
        <v>26</v>
      </c>
      <c r="L8" s="34"/>
    </row>
    <row r="9" spans="1:12" x14ac:dyDescent="0.25">
      <c r="B9"/>
      <c r="C9" s="33"/>
      <c r="D9"/>
      <c r="E9" s="32"/>
      <c r="F9"/>
      <c r="G9" s="31"/>
      <c r="H9" s="30"/>
      <c r="I9" s="29"/>
      <c r="J9"/>
      <c r="K9" s="29"/>
      <c r="L9"/>
    </row>
    <row r="10" spans="1:12" x14ac:dyDescent="0.25">
      <c r="G10" s="28"/>
    </row>
    <row r="11" spans="1:12" x14ac:dyDescent="0.25">
      <c r="A11" s="18"/>
      <c r="B11" s="14"/>
      <c r="C11" s="25" t="s">
        <v>25</v>
      </c>
      <c r="D11" s="14"/>
      <c r="E11" s="23" t="s">
        <v>24</v>
      </c>
      <c r="F11" s="14"/>
      <c r="G11" s="23" t="s">
        <v>23</v>
      </c>
      <c r="H11" s="14"/>
      <c r="I11" s="23" t="s">
        <v>22</v>
      </c>
      <c r="J11" s="14"/>
      <c r="K11" s="23" t="s">
        <v>21</v>
      </c>
      <c r="L11" s="14"/>
    </row>
    <row r="12" spans="1:12" ht="35.25" customHeight="1" x14ac:dyDescent="0.45">
      <c r="A12" s="18"/>
      <c r="B12" s="14"/>
      <c r="C12" s="17" t="s">
        <v>20</v>
      </c>
      <c r="D12" s="14"/>
      <c r="E12" s="27">
        <v>249</v>
      </c>
      <c r="F12" s="14"/>
      <c r="G12" s="26">
        <v>1</v>
      </c>
      <c r="H12" s="14"/>
      <c r="I12" s="26">
        <v>24</v>
      </c>
      <c r="J12" s="14"/>
      <c r="K12" s="26">
        <v>976</v>
      </c>
      <c r="L12" s="14"/>
    </row>
    <row r="15" spans="1:12" x14ac:dyDescent="0.25">
      <c r="A15" s="18"/>
      <c r="B15" s="14"/>
      <c r="C15" s="25" t="s">
        <v>19</v>
      </c>
      <c r="D15" s="24"/>
      <c r="E15" s="23" t="s">
        <v>18</v>
      </c>
      <c r="F15" s="14"/>
      <c r="G15" s="23" t="s">
        <v>17</v>
      </c>
      <c r="H15" s="14"/>
      <c r="I15" s="23" t="s">
        <v>16</v>
      </c>
      <c r="J15" s="14"/>
      <c r="K15" s="23" t="s">
        <v>15</v>
      </c>
      <c r="L15" s="14"/>
    </row>
    <row r="16" spans="1:12" ht="34.5" customHeight="1" x14ac:dyDescent="0.45">
      <c r="A16" s="18"/>
      <c r="B16" s="14"/>
      <c r="C16" s="22" t="e">
        <f t="array" ref="C16">AVERAGE([1]!dataset_1[Temprature])</f>
        <v>#REF!</v>
      </c>
      <c r="D16" s="14"/>
      <c r="E16" s="22" t="e">
        <f>AVERAGE([1]!dataset_1[Humidity])</f>
        <v>#REF!</v>
      </c>
      <c r="F16" s="14"/>
      <c r="G16" s="22" t="e">
        <f>AVERAGE([1]!dataset_1[Apparent Temperature])</f>
        <v>#REF!</v>
      </c>
      <c r="H16" s="14"/>
      <c r="I16" s="22" t="e">
        <f>AVERAGE([1]!dataset_1[windspeed])</f>
        <v>#REF!</v>
      </c>
      <c r="J16" s="14"/>
      <c r="K16" s="15" t="s">
        <v>14</v>
      </c>
      <c r="L16" s="14"/>
    </row>
    <row r="19" spans="1:13" x14ac:dyDescent="0.25">
      <c r="A19" s="18"/>
      <c r="B19" s="14"/>
      <c r="C19" s="21" t="s">
        <v>13</v>
      </c>
      <c r="D19" s="20"/>
      <c r="E19" s="21" t="s">
        <v>12</v>
      </c>
      <c r="F19" s="20"/>
      <c r="G19" s="21" t="s">
        <v>11</v>
      </c>
      <c r="H19" s="20"/>
      <c r="I19" s="21" t="s">
        <v>10</v>
      </c>
      <c r="J19" s="20"/>
      <c r="K19" s="21" t="s">
        <v>9</v>
      </c>
      <c r="L19" s="20"/>
      <c r="M19" s="19"/>
    </row>
    <row r="20" spans="1:13" ht="35.25" customHeight="1" x14ac:dyDescent="0.45">
      <c r="A20" s="18"/>
      <c r="B20" s="14"/>
      <c r="C20" s="17" t="s">
        <v>8</v>
      </c>
      <c r="D20" s="14"/>
      <c r="E20" s="17" t="s">
        <v>7</v>
      </c>
      <c r="F20" s="14"/>
      <c r="G20" s="15" t="s">
        <v>6</v>
      </c>
      <c r="H20" s="14"/>
      <c r="I20" s="15" t="s">
        <v>5</v>
      </c>
      <c r="J20" s="16"/>
      <c r="K20" s="15" t="s">
        <v>4</v>
      </c>
      <c r="L20" s="14"/>
    </row>
    <row r="96" spans="2:3" ht="28.5" x14ac:dyDescent="0.45">
      <c r="B96" s="13"/>
      <c r="C96" s="12"/>
    </row>
    <row r="97" spans="2:8" ht="28.5" x14ac:dyDescent="0.45">
      <c r="B97" s="5" t="s">
        <v>3</v>
      </c>
      <c r="C97" s="11"/>
      <c r="D97" s="11"/>
      <c r="E97" s="11"/>
      <c r="F97" s="11"/>
      <c r="G97" s="10"/>
      <c r="H97" s="2"/>
    </row>
    <row r="98" spans="2:8" ht="28.5" x14ac:dyDescent="0.45">
      <c r="B98" s="5" t="s">
        <v>2</v>
      </c>
      <c r="C98" s="5"/>
      <c r="D98" s="5"/>
      <c r="E98" s="5"/>
      <c r="F98" s="3"/>
      <c r="G98" s="9"/>
      <c r="H98" s="2"/>
    </row>
    <row r="99" spans="2:8" ht="28.5" x14ac:dyDescent="0.45">
      <c r="B99" s="8" t="s">
        <v>1</v>
      </c>
      <c r="C99" s="5"/>
      <c r="D99" s="5"/>
      <c r="E99" s="5"/>
      <c r="F99" s="5"/>
      <c r="G99" s="7"/>
      <c r="H99" s="6"/>
    </row>
    <row r="100" spans="2:8" ht="28.5" x14ac:dyDescent="0.45">
      <c r="B100" s="5" t="s">
        <v>0</v>
      </c>
      <c r="C100" s="5"/>
      <c r="D100" s="5"/>
      <c r="E100" s="5"/>
      <c r="F100" s="4"/>
      <c r="G100" s="3"/>
      <c r="H10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bohra</dc:creator>
  <cp:lastModifiedBy>rahul bohra</cp:lastModifiedBy>
  <dcterms:created xsi:type="dcterms:W3CDTF">2026-07-25T21:37:42Z</dcterms:created>
  <dcterms:modified xsi:type="dcterms:W3CDTF">2026-07-25T21:38:02Z</dcterms:modified>
</cp:coreProperties>
</file>