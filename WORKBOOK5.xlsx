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0B5BC51-6CCD-4E73-AAC2-EE2AB5C2ED0B}" xr6:coauthVersionLast="47" xr6:coauthVersionMax="47" xr10:uidLastSave="{00000000-0000-0000-0000-000000000000}"/>
  <bookViews>
    <workbookView xWindow="-120" yWindow="-120" windowWidth="20730" windowHeight="11040" xr2:uid="{335C9C1C-F794-4215-9B06-9A2A912F1269}"/>
  </bookViews>
  <sheets>
    <sheet name="dataset(1+2+3)" sheetId="1" r:id="rId1"/>
  </sheets>
  <definedNames>
    <definedName name="ExternalData_1" localSheetId="0" hidden="1">'dataset(1+2+3)'!$A$1:$X$1001</definedName>
    <definedName name="ExternalData_1" localSheetId="0" hidden="1">'dataset(1+2+3)'!$A$1:$X$1001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J2" i="1"/>
  <c r="L2" i="1"/>
  <c r="N2" i="1"/>
  <c r="P2" i="1"/>
  <c r="R2" i="1"/>
  <c r="T2" i="1"/>
  <c r="X2" i="1"/>
  <c r="G3" i="1"/>
  <c r="J3" i="1"/>
  <c r="L3" i="1"/>
  <c r="N3" i="1"/>
  <c r="P3" i="1"/>
  <c r="R3" i="1"/>
  <c r="T3" i="1"/>
  <c r="X3" i="1"/>
  <c r="G4" i="1"/>
  <c r="J4" i="1"/>
  <c r="L4" i="1"/>
  <c r="N4" i="1"/>
  <c r="P4" i="1"/>
  <c r="R4" i="1"/>
  <c r="T4" i="1"/>
  <c r="X4" i="1"/>
  <c r="G5" i="1"/>
  <c r="J5" i="1"/>
  <c r="L5" i="1"/>
  <c r="N5" i="1"/>
  <c r="P5" i="1"/>
  <c r="R5" i="1"/>
  <c r="T5" i="1"/>
  <c r="X5" i="1"/>
  <c r="G6" i="1"/>
  <c r="J6" i="1"/>
  <c r="L6" i="1"/>
  <c r="N6" i="1"/>
  <c r="P6" i="1"/>
  <c r="R6" i="1"/>
  <c r="T6" i="1"/>
  <c r="X6" i="1"/>
  <c r="G7" i="1"/>
  <c r="J7" i="1"/>
  <c r="L7" i="1"/>
  <c r="N7" i="1"/>
  <c r="P7" i="1"/>
  <c r="R7" i="1"/>
  <c r="T7" i="1"/>
  <c r="X7" i="1"/>
  <c r="G8" i="1"/>
  <c r="J8" i="1"/>
  <c r="L8" i="1"/>
  <c r="N8" i="1"/>
  <c r="P8" i="1"/>
  <c r="R8" i="1"/>
  <c r="T8" i="1"/>
  <c r="X8" i="1"/>
  <c r="G9" i="1"/>
  <c r="J9" i="1"/>
  <c r="L9" i="1"/>
  <c r="N9" i="1"/>
  <c r="P9" i="1"/>
  <c r="R9" i="1"/>
  <c r="T9" i="1"/>
  <c r="X9" i="1"/>
  <c r="G10" i="1"/>
  <c r="J10" i="1"/>
  <c r="L10" i="1"/>
  <c r="N10" i="1"/>
  <c r="P10" i="1"/>
  <c r="R10" i="1"/>
  <c r="T10" i="1"/>
  <c r="X10" i="1"/>
  <c r="G11" i="1"/>
  <c r="J11" i="1"/>
  <c r="L11" i="1"/>
  <c r="N11" i="1"/>
  <c r="P11" i="1"/>
  <c r="R11" i="1"/>
  <c r="T11" i="1"/>
  <c r="X11" i="1"/>
  <c r="G12" i="1"/>
  <c r="J12" i="1"/>
  <c r="L12" i="1"/>
  <c r="N12" i="1"/>
  <c r="P12" i="1"/>
  <c r="R12" i="1"/>
  <c r="T12" i="1"/>
  <c r="X12" i="1"/>
  <c r="AE12" i="1"/>
  <c r="G13" i="1"/>
  <c r="J13" i="1"/>
  <c r="L13" i="1"/>
  <c r="N13" i="1"/>
  <c r="P13" i="1"/>
  <c r="R13" i="1"/>
  <c r="T13" i="1"/>
  <c r="X13" i="1"/>
  <c r="AE13" i="1"/>
  <c r="G14" i="1"/>
  <c r="J14" i="1"/>
  <c r="L14" i="1"/>
  <c r="N14" i="1"/>
  <c r="P14" i="1"/>
  <c r="R14" i="1"/>
  <c r="T14" i="1"/>
  <c r="X14" i="1"/>
  <c r="AE14" i="1"/>
  <c r="AF14" i="1"/>
  <c r="G15" i="1"/>
  <c r="J15" i="1"/>
  <c r="L15" i="1"/>
  <c r="N15" i="1"/>
  <c r="P15" i="1"/>
  <c r="R15" i="1"/>
  <c r="T15" i="1"/>
  <c r="X15" i="1"/>
  <c r="AF15" i="1" a="1"/>
  <c r="AF15" i="1" s="1"/>
  <c r="G16" i="1"/>
  <c r="J16" i="1"/>
  <c r="L16" i="1"/>
  <c r="N16" i="1"/>
  <c r="P16" i="1"/>
  <c r="R16" i="1"/>
  <c r="T16" i="1"/>
  <c r="X16" i="1"/>
  <c r="AF16" i="1"/>
  <c r="G17" i="1"/>
  <c r="J17" i="1"/>
  <c r="L17" i="1"/>
  <c r="N17" i="1"/>
  <c r="P17" i="1"/>
  <c r="R17" i="1"/>
  <c r="T17" i="1"/>
  <c r="X17" i="1"/>
  <c r="AF17" i="1"/>
  <c r="G18" i="1"/>
  <c r="J18" i="1"/>
  <c r="L18" i="1"/>
  <c r="N18" i="1"/>
  <c r="P18" i="1"/>
  <c r="R18" i="1"/>
  <c r="T18" i="1"/>
  <c r="X18" i="1"/>
  <c r="AE18" i="1"/>
  <c r="G19" i="1"/>
  <c r="J19" i="1"/>
  <c r="L19" i="1"/>
  <c r="N19" i="1"/>
  <c r="P19" i="1"/>
  <c r="R19" i="1"/>
  <c r="T19" i="1"/>
  <c r="X19" i="1"/>
  <c r="AE19" i="1"/>
  <c r="G20" i="1"/>
  <c r="J20" i="1"/>
  <c r="L20" i="1"/>
  <c r="N20" i="1"/>
  <c r="P20" i="1"/>
  <c r="R20" i="1"/>
  <c r="T20" i="1"/>
  <c r="X20" i="1"/>
  <c r="AF20" i="1"/>
  <c r="G21" i="1"/>
  <c r="J21" i="1"/>
  <c r="L21" i="1"/>
  <c r="N21" i="1"/>
  <c r="P21" i="1"/>
  <c r="R21" i="1"/>
  <c r="T21" i="1"/>
  <c r="X21" i="1"/>
  <c r="G22" i="1"/>
  <c r="J22" i="1"/>
  <c r="L22" i="1"/>
  <c r="N22" i="1"/>
  <c r="P22" i="1"/>
  <c r="R22" i="1"/>
  <c r="T22" i="1"/>
  <c r="X22" i="1"/>
  <c r="G23" i="1"/>
  <c r="J23" i="1"/>
  <c r="L23" i="1"/>
  <c r="N23" i="1"/>
  <c r="P23" i="1"/>
  <c r="R23" i="1"/>
  <c r="T23" i="1"/>
  <c r="X23" i="1"/>
  <c r="G24" i="1"/>
  <c r="J24" i="1"/>
  <c r="L24" i="1"/>
  <c r="N24" i="1"/>
  <c r="P24" i="1"/>
  <c r="R24" i="1"/>
  <c r="T24" i="1"/>
  <c r="X24" i="1"/>
  <c r="G25" i="1"/>
  <c r="J25" i="1"/>
  <c r="L25" i="1"/>
  <c r="N25" i="1"/>
  <c r="P25" i="1"/>
  <c r="R25" i="1"/>
  <c r="T25" i="1"/>
  <c r="X25" i="1"/>
  <c r="G26" i="1"/>
  <c r="J26" i="1"/>
  <c r="L26" i="1"/>
  <c r="N26" i="1"/>
  <c r="P26" i="1"/>
  <c r="R26" i="1"/>
  <c r="T26" i="1"/>
  <c r="X26" i="1"/>
  <c r="G27" i="1"/>
  <c r="J27" i="1"/>
  <c r="L27" i="1"/>
  <c r="N27" i="1"/>
  <c r="P27" i="1"/>
  <c r="R27" i="1"/>
  <c r="T27" i="1"/>
  <c r="X27" i="1"/>
  <c r="G28" i="1"/>
  <c r="J28" i="1"/>
  <c r="L28" i="1"/>
  <c r="N28" i="1"/>
  <c r="P28" i="1"/>
  <c r="R28" i="1"/>
  <c r="T28" i="1"/>
  <c r="X28" i="1"/>
  <c r="G29" i="1"/>
  <c r="J29" i="1"/>
  <c r="L29" i="1"/>
  <c r="N29" i="1"/>
  <c r="P29" i="1"/>
  <c r="R29" i="1"/>
  <c r="T29" i="1"/>
  <c r="X29" i="1"/>
  <c r="G30" i="1"/>
  <c r="J30" i="1"/>
  <c r="L30" i="1"/>
  <c r="N30" i="1"/>
  <c r="P30" i="1"/>
  <c r="R30" i="1"/>
  <c r="T30" i="1"/>
  <c r="X30" i="1"/>
  <c r="G31" i="1"/>
  <c r="J31" i="1"/>
  <c r="L31" i="1"/>
  <c r="N31" i="1"/>
  <c r="P31" i="1"/>
  <c r="R31" i="1"/>
  <c r="T31" i="1"/>
  <c r="X31" i="1"/>
  <c r="G32" i="1"/>
  <c r="J32" i="1"/>
  <c r="L32" i="1"/>
  <c r="N32" i="1"/>
  <c r="P32" i="1"/>
  <c r="R32" i="1"/>
  <c r="T32" i="1"/>
  <c r="X32" i="1"/>
  <c r="G33" i="1"/>
  <c r="J33" i="1"/>
  <c r="L33" i="1"/>
  <c r="N33" i="1"/>
  <c r="P33" i="1"/>
  <c r="R33" i="1"/>
  <c r="T33" i="1"/>
  <c r="X33" i="1"/>
  <c r="G34" i="1"/>
  <c r="J34" i="1"/>
  <c r="L34" i="1"/>
  <c r="N34" i="1"/>
  <c r="P34" i="1"/>
  <c r="R34" i="1"/>
  <c r="T34" i="1"/>
  <c r="X34" i="1"/>
  <c r="G35" i="1"/>
  <c r="J35" i="1"/>
  <c r="L35" i="1"/>
  <c r="N35" i="1"/>
  <c r="P35" i="1"/>
  <c r="R35" i="1"/>
  <c r="T35" i="1"/>
  <c r="X35" i="1"/>
  <c r="G36" i="1"/>
  <c r="J36" i="1"/>
  <c r="L36" i="1"/>
  <c r="N36" i="1"/>
  <c r="P36" i="1"/>
  <c r="R36" i="1"/>
  <c r="T36" i="1"/>
  <c r="X36" i="1"/>
  <c r="G37" i="1"/>
  <c r="J37" i="1"/>
  <c r="L37" i="1"/>
  <c r="N37" i="1"/>
  <c r="P37" i="1"/>
  <c r="R37" i="1"/>
  <c r="T37" i="1"/>
  <c r="X37" i="1"/>
  <c r="G38" i="1"/>
  <c r="J38" i="1"/>
  <c r="L38" i="1"/>
  <c r="N38" i="1"/>
  <c r="P38" i="1"/>
  <c r="R38" i="1"/>
  <c r="T38" i="1"/>
  <c r="X38" i="1"/>
  <c r="X1002" i="1" s="1"/>
  <c r="G39" i="1"/>
  <c r="J39" i="1"/>
  <c r="L39" i="1"/>
  <c r="N39" i="1"/>
  <c r="P39" i="1"/>
  <c r="R39" i="1"/>
  <c r="T39" i="1"/>
  <c r="X39" i="1"/>
  <c r="G40" i="1"/>
  <c r="J40" i="1"/>
  <c r="L40" i="1"/>
  <c r="N40" i="1"/>
  <c r="P40" i="1"/>
  <c r="R40" i="1"/>
  <c r="T40" i="1"/>
  <c r="X40" i="1"/>
  <c r="G41" i="1"/>
  <c r="J41" i="1"/>
  <c r="L41" i="1"/>
  <c r="N41" i="1"/>
  <c r="P41" i="1"/>
  <c r="R41" i="1"/>
  <c r="T41" i="1"/>
  <c r="X41" i="1"/>
  <c r="G42" i="1"/>
  <c r="J42" i="1"/>
  <c r="L42" i="1"/>
  <c r="N42" i="1"/>
  <c r="P42" i="1"/>
  <c r="R42" i="1"/>
  <c r="T42" i="1"/>
  <c r="X42" i="1"/>
  <c r="G43" i="1"/>
  <c r="J43" i="1"/>
  <c r="L43" i="1"/>
  <c r="N43" i="1"/>
  <c r="P43" i="1"/>
  <c r="R43" i="1"/>
  <c r="T43" i="1"/>
  <c r="X43" i="1"/>
  <c r="G44" i="1"/>
  <c r="J44" i="1"/>
  <c r="L44" i="1"/>
  <c r="N44" i="1"/>
  <c r="P44" i="1"/>
  <c r="R44" i="1"/>
  <c r="T44" i="1"/>
  <c r="X44" i="1"/>
  <c r="G45" i="1"/>
  <c r="J45" i="1"/>
  <c r="L45" i="1"/>
  <c r="N45" i="1"/>
  <c r="P45" i="1"/>
  <c r="R45" i="1"/>
  <c r="T45" i="1"/>
  <c r="X45" i="1"/>
  <c r="G46" i="1"/>
  <c r="J46" i="1"/>
  <c r="L46" i="1"/>
  <c r="N46" i="1"/>
  <c r="P46" i="1"/>
  <c r="R46" i="1"/>
  <c r="T46" i="1"/>
  <c r="X46" i="1"/>
  <c r="G47" i="1"/>
  <c r="J47" i="1"/>
  <c r="L47" i="1"/>
  <c r="N47" i="1"/>
  <c r="P47" i="1"/>
  <c r="R47" i="1"/>
  <c r="T47" i="1"/>
  <c r="X47" i="1"/>
  <c r="G48" i="1"/>
  <c r="J48" i="1"/>
  <c r="L48" i="1"/>
  <c r="N48" i="1"/>
  <c r="P48" i="1"/>
  <c r="R48" i="1"/>
  <c r="T48" i="1"/>
  <c r="X48" i="1"/>
  <c r="G49" i="1"/>
  <c r="J49" i="1"/>
  <c r="L49" i="1"/>
  <c r="N49" i="1"/>
  <c r="P49" i="1"/>
  <c r="R49" i="1"/>
  <c r="T49" i="1"/>
  <c r="X49" i="1"/>
  <c r="G50" i="1"/>
  <c r="J50" i="1"/>
  <c r="L50" i="1"/>
  <c r="N50" i="1"/>
  <c r="P50" i="1"/>
  <c r="R50" i="1"/>
  <c r="T50" i="1"/>
  <c r="X50" i="1"/>
  <c r="G51" i="1"/>
  <c r="J51" i="1"/>
  <c r="L51" i="1"/>
  <c r="N51" i="1"/>
  <c r="P51" i="1"/>
  <c r="R51" i="1"/>
  <c r="T51" i="1"/>
  <c r="X51" i="1"/>
  <c r="G52" i="1"/>
  <c r="J52" i="1"/>
  <c r="L52" i="1"/>
  <c r="N52" i="1"/>
  <c r="P52" i="1"/>
  <c r="R52" i="1"/>
  <c r="T52" i="1"/>
  <c r="X52" i="1"/>
  <c r="G53" i="1"/>
  <c r="J53" i="1"/>
  <c r="L53" i="1"/>
  <c r="N53" i="1"/>
  <c r="P53" i="1"/>
  <c r="R53" i="1"/>
  <c r="T53" i="1"/>
  <c r="X53" i="1"/>
  <c r="G54" i="1"/>
  <c r="J54" i="1"/>
  <c r="L54" i="1"/>
  <c r="N54" i="1"/>
  <c r="P54" i="1"/>
  <c r="R54" i="1"/>
  <c r="T54" i="1"/>
  <c r="X54" i="1"/>
  <c r="G55" i="1"/>
  <c r="J55" i="1"/>
  <c r="L55" i="1"/>
  <c r="N55" i="1"/>
  <c r="P55" i="1"/>
  <c r="R55" i="1"/>
  <c r="T55" i="1"/>
  <c r="X55" i="1"/>
  <c r="G56" i="1"/>
  <c r="J56" i="1"/>
  <c r="L56" i="1"/>
  <c r="N56" i="1"/>
  <c r="P56" i="1"/>
  <c r="R56" i="1"/>
  <c r="T56" i="1"/>
  <c r="X56" i="1"/>
  <c r="G57" i="1"/>
  <c r="J57" i="1"/>
  <c r="L57" i="1"/>
  <c r="N57" i="1"/>
  <c r="P57" i="1"/>
  <c r="R57" i="1"/>
  <c r="T57" i="1"/>
  <c r="X57" i="1"/>
  <c r="G58" i="1"/>
  <c r="J58" i="1"/>
  <c r="L58" i="1"/>
  <c r="N58" i="1"/>
  <c r="P58" i="1"/>
  <c r="R58" i="1"/>
  <c r="T58" i="1"/>
  <c r="X58" i="1"/>
  <c r="G59" i="1"/>
  <c r="J59" i="1"/>
  <c r="L59" i="1"/>
  <c r="N59" i="1"/>
  <c r="P59" i="1"/>
  <c r="R59" i="1"/>
  <c r="T59" i="1"/>
  <c r="X59" i="1"/>
  <c r="G60" i="1"/>
  <c r="J60" i="1"/>
  <c r="L60" i="1"/>
  <c r="N60" i="1"/>
  <c r="P60" i="1"/>
  <c r="R60" i="1"/>
  <c r="T60" i="1"/>
  <c r="X60" i="1"/>
  <c r="G61" i="1"/>
  <c r="J61" i="1"/>
  <c r="L61" i="1"/>
  <c r="N61" i="1"/>
  <c r="P61" i="1"/>
  <c r="R61" i="1"/>
  <c r="T61" i="1"/>
  <c r="X61" i="1"/>
  <c r="G62" i="1"/>
  <c r="J62" i="1"/>
  <c r="L62" i="1"/>
  <c r="N62" i="1"/>
  <c r="P62" i="1"/>
  <c r="R62" i="1"/>
  <c r="T62" i="1"/>
  <c r="X62" i="1"/>
  <c r="G63" i="1"/>
  <c r="J63" i="1"/>
  <c r="L63" i="1"/>
  <c r="N63" i="1"/>
  <c r="P63" i="1"/>
  <c r="R63" i="1"/>
  <c r="T63" i="1"/>
  <c r="X63" i="1"/>
  <c r="G64" i="1"/>
  <c r="J64" i="1"/>
  <c r="L64" i="1"/>
  <c r="N64" i="1"/>
  <c r="P64" i="1"/>
  <c r="R64" i="1"/>
  <c r="T64" i="1"/>
  <c r="X64" i="1"/>
  <c r="G65" i="1"/>
  <c r="J65" i="1"/>
  <c r="L65" i="1"/>
  <c r="N65" i="1"/>
  <c r="P65" i="1"/>
  <c r="R65" i="1"/>
  <c r="T65" i="1"/>
  <c r="X65" i="1"/>
  <c r="G66" i="1"/>
  <c r="J66" i="1"/>
  <c r="L66" i="1"/>
  <c r="N66" i="1"/>
  <c r="P66" i="1"/>
  <c r="R66" i="1"/>
  <c r="T66" i="1"/>
  <c r="X66" i="1"/>
  <c r="G67" i="1"/>
  <c r="J67" i="1"/>
  <c r="L67" i="1"/>
  <c r="N67" i="1"/>
  <c r="P67" i="1"/>
  <c r="R67" i="1"/>
  <c r="T67" i="1"/>
  <c r="X67" i="1"/>
  <c r="G68" i="1"/>
  <c r="J68" i="1"/>
  <c r="L68" i="1"/>
  <c r="N68" i="1"/>
  <c r="P68" i="1"/>
  <c r="R68" i="1"/>
  <c r="T68" i="1"/>
  <c r="X68" i="1"/>
  <c r="G69" i="1"/>
  <c r="J69" i="1"/>
  <c r="L69" i="1"/>
  <c r="N69" i="1"/>
  <c r="P69" i="1"/>
  <c r="R69" i="1"/>
  <c r="T69" i="1"/>
  <c r="X69" i="1"/>
  <c r="G70" i="1"/>
  <c r="J70" i="1"/>
  <c r="L70" i="1"/>
  <c r="N70" i="1"/>
  <c r="P70" i="1"/>
  <c r="R70" i="1"/>
  <c r="T70" i="1"/>
  <c r="X70" i="1"/>
  <c r="G71" i="1"/>
  <c r="J71" i="1"/>
  <c r="L71" i="1"/>
  <c r="N71" i="1"/>
  <c r="P71" i="1"/>
  <c r="R71" i="1"/>
  <c r="T71" i="1"/>
  <c r="X71" i="1"/>
  <c r="G72" i="1"/>
  <c r="J72" i="1"/>
  <c r="L72" i="1"/>
  <c r="N72" i="1"/>
  <c r="P72" i="1"/>
  <c r="R72" i="1"/>
  <c r="T72" i="1"/>
  <c r="X72" i="1"/>
  <c r="G73" i="1"/>
  <c r="J73" i="1"/>
  <c r="L73" i="1"/>
  <c r="N73" i="1"/>
  <c r="P73" i="1"/>
  <c r="R73" i="1"/>
  <c r="T73" i="1"/>
  <c r="X73" i="1"/>
  <c r="G74" i="1"/>
  <c r="J74" i="1"/>
  <c r="L74" i="1"/>
  <c r="N74" i="1"/>
  <c r="P74" i="1"/>
  <c r="R74" i="1"/>
  <c r="T74" i="1"/>
  <c r="X74" i="1"/>
  <c r="G75" i="1"/>
  <c r="J75" i="1"/>
  <c r="L75" i="1"/>
  <c r="N75" i="1"/>
  <c r="P75" i="1"/>
  <c r="R75" i="1"/>
  <c r="T75" i="1"/>
  <c r="X75" i="1"/>
  <c r="G76" i="1"/>
  <c r="J76" i="1"/>
  <c r="L76" i="1"/>
  <c r="N76" i="1"/>
  <c r="P76" i="1"/>
  <c r="R76" i="1"/>
  <c r="T76" i="1"/>
  <c r="X76" i="1"/>
  <c r="G77" i="1"/>
  <c r="J77" i="1"/>
  <c r="L77" i="1"/>
  <c r="N77" i="1"/>
  <c r="P77" i="1"/>
  <c r="R77" i="1"/>
  <c r="T77" i="1"/>
  <c r="X77" i="1"/>
  <c r="G78" i="1"/>
  <c r="J78" i="1"/>
  <c r="L78" i="1"/>
  <c r="N78" i="1"/>
  <c r="P78" i="1"/>
  <c r="R78" i="1"/>
  <c r="T78" i="1"/>
  <c r="X78" i="1"/>
  <c r="G79" i="1"/>
  <c r="J79" i="1"/>
  <c r="L79" i="1"/>
  <c r="N79" i="1"/>
  <c r="P79" i="1"/>
  <c r="R79" i="1"/>
  <c r="T79" i="1"/>
  <c r="X79" i="1"/>
  <c r="G80" i="1"/>
  <c r="J80" i="1"/>
  <c r="L80" i="1"/>
  <c r="N80" i="1"/>
  <c r="P80" i="1"/>
  <c r="R80" i="1"/>
  <c r="T80" i="1"/>
  <c r="X80" i="1"/>
  <c r="G81" i="1"/>
  <c r="J81" i="1"/>
  <c r="L81" i="1"/>
  <c r="N81" i="1"/>
  <c r="P81" i="1"/>
  <c r="R81" i="1"/>
  <c r="T81" i="1"/>
  <c r="X81" i="1"/>
  <c r="G82" i="1"/>
  <c r="J82" i="1"/>
  <c r="L82" i="1"/>
  <c r="N82" i="1"/>
  <c r="P82" i="1"/>
  <c r="R82" i="1"/>
  <c r="T82" i="1"/>
  <c r="X82" i="1"/>
  <c r="G83" i="1"/>
  <c r="J83" i="1"/>
  <c r="L83" i="1"/>
  <c r="N83" i="1"/>
  <c r="P83" i="1"/>
  <c r="R83" i="1"/>
  <c r="T83" i="1"/>
  <c r="X83" i="1"/>
  <c r="G84" i="1"/>
  <c r="J84" i="1"/>
  <c r="L84" i="1"/>
  <c r="N84" i="1"/>
  <c r="P84" i="1"/>
  <c r="R84" i="1"/>
  <c r="T84" i="1"/>
  <c r="X84" i="1"/>
  <c r="G85" i="1"/>
  <c r="J85" i="1"/>
  <c r="L85" i="1"/>
  <c r="N85" i="1"/>
  <c r="P85" i="1"/>
  <c r="R85" i="1"/>
  <c r="T85" i="1"/>
  <c r="X85" i="1"/>
  <c r="G86" i="1"/>
  <c r="J86" i="1"/>
  <c r="L86" i="1"/>
  <c r="N86" i="1"/>
  <c r="P86" i="1"/>
  <c r="R86" i="1"/>
  <c r="T86" i="1"/>
  <c r="X86" i="1"/>
  <c r="G87" i="1"/>
  <c r="J87" i="1"/>
  <c r="L87" i="1"/>
  <c r="N87" i="1"/>
  <c r="P87" i="1"/>
  <c r="R87" i="1"/>
  <c r="T87" i="1"/>
  <c r="X87" i="1"/>
  <c r="G88" i="1"/>
  <c r="J88" i="1"/>
  <c r="L88" i="1"/>
  <c r="N88" i="1"/>
  <c r="P88" i="1"/>
  <c r="R88" i="1"/>
  <c r="T88" i="1"/>
  <c r="X88" i="1"/>
  <c r="G89" i="1"/>
  <c r="J89" i="1"/>
  <c r="L89" i="1"/>
  <c r="N89" i="1"/>
  <c r="P89" i="1"/>
  <c r="R89" i="1"/>
  <c r="T89" i="1"/>
  <c r="X89" i="1"/>
  <c r="G90" i="1"/>
  <c r="J90" i="1"/>
  <c r="L90" i="1"/>
  <c r="N90" i="1"/>
  <c r="P90" i="1"/>
  <c r="R90" i="1"/>
  <c r="T90" i="1"/>
  <c r="X90" i="1"/>
  <c r="G91" i="1"/>
  <c r="J91" i="1"/>
  <c r="L91" i="1"/>
  <c r="N91" i="1"/>
  <c r="P91" i="1"/>
  <c r="R91" i="1"/>
  <c r="T91" i="1"/>
  <c r="X91" i="1"/>
  <c r="G92" i="1"/>
  <c r="J92" i="1"/>
  <c r="L92" i="1"/>
  <c r="N92" i="1"/>
  <c r="P92" i="1"/>
  <c r="R92" i="1"/>
  <c r="T92" i="1"/>
  <c r="X92" i="1"/>
  <c r="G93" i="1"/>
  <c r="J93" i="1"/>
  <c r="L93" i="1"/>
  <c r="N93" i="1"/>
  <c r="P93" i="1"/>
  <c r="R93" i="1"/>
  <c r="T93" i="1"/>
  <c r="X93" i="1"/>
  <c r="G94" i="1"/>
  <c r="J94" i="1"/>
  <c r="L94" i="1"/>
  <c r="N94" i="1"/>
  <c r="P94" i="1"/>
  <c r="R94" i="1"/>
  <c r="T94" i="1"/>
  <c r="X94" i="1"/>
  <c r="G95" i="1"/>
  <c r="J95" i="1"/>
  <c r="L95" i="1"/>
  <c r="N95" i="1"/>
  <c r="P95" i="1"/>
  <c r="R95" i="1"/>
  <c r="T95" i="1"/>
  <c r="X95" i="1"/>
  <c r="G96" i="1"/>
  <c r="J96" i="1"/>
  <c r="L96" i="1"/>
  <c r="N96" i="1"/>
  <c r="P96" i="1"/>
  <c r="R96" i="1"/>
  <c r="T96" i="1"/>
  <c r="X96" i="1"/>
  <c r="G97" i="1"/>
  <c r="J97" i="1"/>
  <c r="L97" i="1"/>
  <c r="N97" i="1"/>
  <c r="P97" i="1"/>
  <c r="R97" i="1"/>
  <c r="T97" i="1"/>
  <c r="X97" i="1"/>
  <c r="G98" i="1"/>
  <c r="J98" i="1"/>
  <c r="L98" i="1"/>
  <c r="N98" i="1"/>
  <c r="P98" i="1"/>
  <c r="R98" i="1"/>
  <c r="T98" i="1"/>
  <c r="X98" i="1"/>
  <c r="G99" i="1"/>
  <c r="J99" i="1"/>
  <c r="L99" i="1"/>
  <c r="N99" i="1"/>
  <c r="P99" i="1"/>
  <c r="R99" i="1"/>
  <c r="T99" i="1"/>
  <c r="X99" i="1"/>
  <c r="G100" i="1"/>
  <c r="J100" i="1"/>
  <c r="L100" i="1"/>
  <c r="N100" i="1"/>
  <c r="P100" i="1"/>
  <c r="R100" i="1"/>
  <c r="T100" i="1"/>
  <c r="X100" i="1"/>
  <c r="G101" i="1"/>
  <c r="J101" i="1"/>
  <c r="L101" i="1"/>
  <c r="N101" i="1"/>
  <c r="P101" i="1"/>
  <c r="R101" i="1"/>
  <c r="T101" i="1"/>
  <c r="X101" i="1"/>
  <c r="G102" i="1"/>
  <c r="J102" i="1"/>
  <c r="L102" i="1"/>
  <c r="N102" i="1"/>
  <c r="P102" i="1"/>
  <c r="R102" i="1"/>
  <c r="T102" i="1"/>
  <c r="X102" i="1"/>
  <c r="G103" i="1"/>
  <c r="J103" i="1"/>
  <c r="L103" i="1"/>
  <c r="N103" i="1"/>
  <c r="P103" i="1"/>
  <c r="R103" i="1"/>
  <c r="T103" i="1"/>
  <c r="X103" i="1"/>
  <c r="G104" i="1"/>
  <c r="J104" i="1"/>
  <c r="L104" i="1"/>
  <c r="N104" i="1"/>
  <c r="P104" i="1"/>
  <c r="R104" i="1"/>
  <c r="T104" i="1"/>
  <c r="X104" i="1"/>
  <c r="G105" i="1"/>
  <c r="J105" i="1"/>
  <c r="L105" i="1"/>
  <c r="N105" i="1"/>
  <c r="P105" i="1"/>
  <c r="R105" i="1"/>
  <c r="T105" i="1"/>
  <c r="X105" i="1"/>
  <c r="G106" i="1"/>
  <c r="J106" i="1"/>
  <c r="L106" i="1"/>
  <c r="N106" i="1"/>
  <c r="P106" i="1"/>
  <c r="R106" i="1"/>
  <c r="T106" i="1"/>
  <c r="X106" i="1"/>
  <c r="G107" i="1"/>
  <c r="J107" i="1"/>
  <c r="L107" i="1"/>
  <c r="N107" i="1"/>
  <c r="P107" i="1"/>
  <c r="R107" i="1"/>
  <c r="T107" i="1"/>
  <c r="X107" i="1"/>
  <c r="G108" i="1"/>
  <c r="J108" i="1"/>
  <c r="L108" i="1"/>
  <c r="N108" i="1"/>
  <c r="P108" i="1"/>
  <c r="R108" i="1"/>
  <c r="T108" i="1"/>
  <c r="X108" i="1"/>
  <c r="G109" i="1"/>
  <c r="J109" i="1"/>
  <c r="L109" i="1"/>
  <c r="N109" i="1"/>
  <c r="P109" i="1"/>
  <c r="R109" i="1"/>
  <c r="T109" i="1"/>
  <c r="X109" i="1"/>
  <c r="G110" i="1"/>
  <c r="J110" i="1"/>
  <c r="L110" i="1"/>
  <c r="N110" i="1"/>
  <c r="P110" i="1"/>
  <c r="R110" i="1"/>
  <c r="T110" i="1"/>
  <c r="X110" i="1"/>
  <c r="G111" i="1"/>
  <c r="J111" i="1"/>
  <c r="L111" i="1"/>
  <c r="N111" i="1"/>
  <c r="P111" i="1"/>
  <c r="R111" i="1"/>
  <c r="T111" i="1"/>
  <c r="X111" i="1"/>
  <c r="G112" i="1"/>
  <c r="J112" i="1"/>
  <c r="L112" i="1"/>
  <c r="N112" i="1"/>
  <c r="P112" i="1"/>
  <c r="R112" i="1"/>
  <c r="T112" i="1"/>
  <c r="X112" i="1"/>
  <c r="G113" i="1"/>
  <c r="J113" i="1"/>
  <c r="L113" i="1"/>
  <c r="N113" i="1"/>
  <c r="P113" i="1"/>
  <c r="R113" i="1"/>
  <c r="T113" i="1"/>
  <c r="X113" i="1"/>
  <c r="G114" i="1"/>
  <c r="J114" i="1"/>
  <c r="L114" i="1"/>
  <c r="N114" i="1"/>
  <c r="P114" i="1"/>
  <c r="R114" i="1"/>
  <c r="T114" i="1"/>
  <c r="X114" i="1"/>
  <c r="G115" i="1"/>
  <c r="J115" i="1"/>
  <c r="L115" i="1"/>
  <c r="N115" i="1"/>
  <c r="P115" i="1"/>
  <c r="R115" i="1"/>
  <c r="T115" i="1"/>
  <c r="X115" i="1"/>
  <c r="G116" i="1"/>
  <c r="J116" i="1"/>
  <c r="L116" i="1"/>
  <c r="N116" i="1"/>
  <c r="P116" i="1"/>
  <c r="R116" i="1"/>
  <c r="T116" i="1"/>
  <c r="X116" i="1"/>
  <c r="G117" i="1"/>
  <c r="J117" i="1"/>
  <c r="L117" i="1"/>
  <c r="N117" i="1"/>
  <c r="P117" i="1"/>
  <c r="R117" i="1"/>
  <c r="T117" i="1"/>
  <c r="X117" i="1"/>
  <c r="G118" i="1"/>
  <c r="J118" i="1"/>
  <c r="L118" i="1"/>
  <c r="N118" i="1"/>
  <c r="P118" i="1"/>
  <c r="R118" i="1"/>
  <c r="T118" i="1"/>
  <c r="X118" i="1"/>
  <c r="G119" i="1"/>
  <c r="J119" i="1"/>
  <c r="L119" i="1"/>
  <c r="N119" i="1"/>
  <c r="P119" i="1"/>
  <c r="R119" i="1"/>
  <c r="T119" i="1"/>
  <c r="X119" i="1"/>
  <c r="G120" i="1"/>
  <c r="J120" i="1"/>
  <c r="L120" i="1"/>
  <c r="N120" i="1"/>
  <c r="P120" i="1"/>
  <c r="R120" i="1"/>
  <c r="T120" i="1"/>
  <c r="X120" i="1"/>
  <c r="G121" i="1"/>
  <c r="J121" i="1"/>
  <c r="L121" i="1"/>
  <c r="N121" i="1"/>
  <c r="P121" i="1"/>
  <c r="R121" i="1"/>
  <c r="T121" i="1"/>
  <c r="X121" i="1"/>
  <c r="G122" i="1"/>
  <c r="J122" i="1"/>
  <c r="L122" i="1"/>
  <c r="N122" i="1"/>
  <c r="P122" i="1"/>
  <c r="R122" i="1"/>
  <c r="T122" i="1"/>
  <c r="X122" i="1"/>
  <c r="G123" i="1"/>
  <c r="J123" i="1"/>
  <c r="L123" i="1"/>
  <c r="N123" i="1"/>
  <c r="P123" i="1"/>
  <c r="R123" i="1"/>
  <c r="T123" i="1"/>
  <c r="X123" i="1"/>
  <c r="G124" i="1"/>
  <c r="J124" i="1"/>
  <c r="L124" i="1"/>
  <c r="N124" i="1"/>
  <c r="P124" i="1"/>
  <c r="R124" i="1"/>
  <c r="T124" i="1"/>
  <c r="X124" i="1"/>
  <c r="G125" i="1"/>
  <c r="J125" i="1"/>
  <c r="L125" i="1"/>
  <c r="N125" i="1"/>
  <c r="P125" i="1"/>
  <c r="R125" i="1"/>
  <c r="T125" i="1"/>
  <c r="X125" i="1"/>
  <c r="G126" i="1"/>
  <c r="J126" i="1"/>
  <c r="L126" i="1"/>
  <c r="N126" i="1"/>
  <c r="P126" i="1"/>
  <c r="R126" i="1"/>
  <c r="T126" i="1"/>
  <c r="X126" i="1"/>
  <c r="G127" i="1"/>
  <c r="J127" i="1"/>
  <c r="L127" i="1"/>
  <c r="N127" i="1"/>
  <c r="P127" i="1"/>
  <c r="R127" i="1"/>
  <c r="T127" i="1"/>
  <c r="X127" i="1"/>
  <c r="G128" i="1"/>
  <c r="J128" i="1"/>
  <c r="L128" i="1"/>
  <c r="N128" i="1"/>
  <c r="P128" i="1"/>
  <c r="R128" i="1"/>
  <c r="T128" i="1"/>
  <c r="X128" i="1"/>
  <c r="G129" i="1"/>
  <c r="J129" i="1"/>
  <c r="L129" i="1"/>
  <c r="N129" i="1"/>
  <c r="P129" i="1"/>
  <c r="R129" i="1"/>
  <c r="T129" i="1"/>
  <c r="X129" i="1"/>
  <c r="G130" i="1"/>
  <c r="J130" i="1"/>
  <c r="L130" i="1"/>
  <c r="N130" i="1"/>
  <c r="P130" i="1"/>
  <c r="R130" i="1"/>
  <c r="T130" i="1"/>
  <c r="X130" i="1"/>
  <c r="G131" i="1"/>
  <c r="J131" i="1"/>
  <c r="L131" i="1"/>
  <c r="N131" i="1"/>
  <c r="P131" i="1"/>
  <c r="R131" i="1"/>
  <c r="T131" i="1"/>
  <c r="X131" i="1"/>
  <c r="G132" i="1"/>
  <c r="J132" i="1"/>
  <c r="L132" i="1"/>
  <c r="N132" i="1"/>
  <c r="P132" i="1"/>
  <c r="R132" i="1"/>
  <c r="T132" i="1"/>
  <c r="X132" i="1"/>
  <c r="G133" i="1"/>
  <c r="J133" i="1"/>
  <c r="L133" i="1"/>
  <c r="N133" i="1"/>
  <c r="P133" i="1"/>
  <c r="R133" i="1"/>
  <c r="T133" i="1"/>
  <c r="X133" i="1"/>
  <c r="G134" i="1"/>
  <c r="J134" i="1"/>
  <c r="L134" i="1"/>
  <c r="N134" i="1"/>
  <c r="P134" i="1"/>
  <c r="R134" i="1"/>
  <c r="T134" i="1"/>
  <c r="X134" i="1"/>
  <c r="G135" i="1"/>
  <c r="J135" i="1"/>
  <c r="L135" i="1"/>
  <c r="N135" i="1"/>
  <c r="P135" i="1"/>
  <c r="R135" i="1"/>
  <c r="T135" i="1"/>
  <c r="X135" i="1"/>
  <c r="G136" i="1"/>
  <c r="J136" i="1"/>
  <c r="L136" i="1"/>
  <c r="N136" i="1"/>
  <c r="P136" i="1"/>
  <c r="R136" i="1"/>
  <c r="T136" i="1"/>
  <c r="X136" i="1"/>
  <c r="G137" i="1"/>
  <c r="J137" i="1"/>
  <c r="L137" i="1"/>
  <c r="N137" i="1"/>
  <c r="P137" i="1"/>
  <c r="R137" i="1"/>
  <c r="T137" i="1"/>
  <c r="X137" i="1"/>
  <c r="G138" i="1"/>
  <c r="J138" i="1"/>
  <c r="L138" i="1"/>
  <c r="N138" i="1"/>
  <c r="P138" i="1"/>
  <c r="R138" i="1"/>
  <c r="T138" i="1"/>
  <c r="X138" i="1"/>
  <c r="G139" i="1"/>
  <c r="J139" i="1"/>
  <c r="L139" i="1"/>
  <c r="N139" i="1"/>
  <c r="P139" i="1"/>
  <c r="R139" i="1"/>
  <c r="T139" i="1"/>
  <c r="X139" i="1"/>
  <c r="G140" i="1"/>
  <c r="J140" i="1"/>
  <c r="L140" i="1"/>
  <c r="N140" i="1"/>
  <c r="P140" i="1"/>
  <c r="R140" i="1"/>
  <c r="T140" i="1"/>
  <c r="X140" i="1"/>
  <c r="G141" i="1"/>
  <c r="J141" i="1"/>
  <c r="L141" i="1"/>
  <c r="N141" i="1"/>
  <c r="P141" i="1"/>
  <c r="R141" i="1"/>
  <c r="T141" i="1"/>
  <c r="X141" i="1"/>
  <c r="G142" i="1"/>
  <c r="J142" i="1"/>
  <c r="L142" i="1"/>
  <c r="N142" i="1"/>
  <c r="P142" i="1"/>
  <c r="R142" i="1"/>
  <c r="T142" i="1"/>
  <c r="X142" i="1"/>
  <c r="G143" i="1"/>
  <c r="J143" i="1"/>
  <c r="L143" i="1"/>
  <c r="N143" i="1"/>
  <c r="P143" i="1"/>
  <c r="R143" i="1"/>
  <c r="T143" i="1"/>
  <c r="X143" i="1"/>
  <c r="G144" i="1"/>
  <c r="J144" i="1"/>
  <c r="L144" i="1"/>
  <c r="N144" i="1"/>
  <c r="P144" i="1"/>
  <c r="R144" i="1"/>
  <c r="T144" i="1"/>
  <c r="X144" i="1"/>
  <c r="G145" i="1"/>
  <c r="J145" i="1"/>
  <c r="L145" i="1"/>
  <c r="N145" i="1"/>
  <c r="P145" i="1"/>
  <c r="R145" i="1"/>
  <c r="T145" i="1"/>
  <c r="X145" i="1"/>
  <c r="G146" i="1"/>
  <c r="J146" i="1"/>
  <c r="L146" i="1"/>
  <c r="N146" i="1"/>
  <c r="P146" i="1"/>
  <c r="R146" i="1"/>
  <c r="T146" i="1"/>
  <c r="X146" i="1"/>
  <c r="G147" i="1"/>
  <c r="J147" i="1"/>
  <c r="L147" i="1"/>
  <c r="N147" i="1"/>
  <c r="P147" i="1"/>
  <c r="R147" i="1"/>
  <c r="T147" i="1"/>
  <c r="X147" i="1"/>
  <c r="G148" i="1"/>
  <c r="J148" i="1"/>
  <c r="L148" i="1"/>
  <c r="N148" i="1"/>
  <c r="P148" i="1"/>
  <c r="R148" i="1"/>
  <c r="T148" i="1"/>
  <c r="X148" i="1"/>
  <c r="G149" i="1"/>
  <c r="J149" i="1"/>
  <c r="L149" i="1"/>
  <c r="N149" i="1"/>
  <c r="P149" i="1"/>
  <c r="R149" i="1"/>
  <c r="T149" i="1"/>
  <c r="X149" i="1"/>
  <c r="G150" i="1"/>
  <c r="J150" i="1"/>
  <c r="L150" i="1"/>
  <c r="N150" i="1"/>
  <c r="P150" i="1"/>
  <c r="R150" i="1"/>
  <c r="T150" i="1"/>
  <c r="X150" i="1"/>
  <c r="G151" i="1"/>
  <c r="J151" i="1"/>
  <c r="L151" i="1"/>
  <c r="N151" i="1"/>
  <c r="P151" i="1"/>
  <c r="R151" i="1"/>
  <c r="T151" i="1"/>
  <c r="X151" i="1"/>
  <c r="G152" i="1"/>
  <c r="J152" i="1"/>
  <c r="L152" i="1"/>
  <c r="N152" i="1"/>
  <c r="P152" i="1"/>
  <c r="R152" i="1"/>
  <c r="T152" i="1"/>
  <c r="X152" i="1"/>
  <c r="G153" i="1"/>
  <c r="J153" i="1"/>
  <c r="L153" i="1"/>
  <c r="N153" i="1"/>
  <c r="P153" i="1"/>
  <c r="R153" i="1"/>
  <c r="T153" i="1"/>
  <c r="X153" i="1"/>
  <c r="G154" i="1"/>
  <c r="J154" i="1"/>
  <c r="L154" i="1"/>
  <c r="N154" i="1"/>
  <c r="P154" i="1"/>
  <c r="R154" i="1"/>
  <c r="T154" i="1"/>
  <c r="X154" i="1"/>
  <c r="G155" i="1"/>
  <c r="J155" i="1"/>
  <c r="L155" i="1"/>
  <c r="N155" i="1"/>
  <c r="P155" i="1"/>
  <c r="R155" i="1"/>
  <c r="T155" i="1"/>
  <c r="X155" i="1"/>
  <c r="G156" i="1"/>
  <c r="J156" i="1"/>
  <c r="L156" i="1"/>
  <c r="N156" i="1"/>
  <c r="P156" i="1"/>
  <c r="R156" i="1"/>
  <c r="T156" i="1"/>
  <c r="X156" i="1"/>
  <c r="G157" i="1"/>
  <c r="J157" i="1"/>
  <c r="L157" i="1"/>
  <c r="N157" i="1"/>
  <c r="P157" i="1"/>
  <c r="R157" i="1"/>
  <c r="T157" i="1"/>
  <c r="X157" i="1"/>
  <c r="G158" i="1"/>
  <c r="J158" i="1"/>
  <c r="L158" i="1"/>
  <c r="N158" i="1"/>
  <c r="P158" i="1"/>
  <c r="R158" i="1"/>
  <c r="T158" i="1"/>
  <c r="X158" i="1"/>
  <c r="G159" i="1"/>
  <c r="J159" i="1"/>
  <c r="L159" i="1"/>
  <c r="N159" i="1"/>
  <c r="P159" i="1"/>
  <c r="R159" i="1"/>
  <c r="T159" i="1"/>
  <c r="X159" i="1"/>
  <c r="G160" i="1"/>
  <c r="J160" i="1"/>
  <c r="L160" i="1"/>
  <c r="N160" i="1"/>
  <c r="P160" i="1"/>
  <c r="R160" i="1"/>
  <c r="T160" i="1"/>
  <c r="X160" i="1"/>
  <c r="G161" i="1"/>
  <c r="J161" i="1"/>
  <c r="L161" i="1"/>
  <c r="N161" i="1"/>
  <c r="P161" i="1"/>
  <c r="R161" i="1"/>
  <c r="T161" i="1"/>
  <c r="X161" i="1"/>
  <c r="G162" i="1"/>
  <c r="J162" i="1"/>
  <c r="L162" i="1"/>
  <c r="N162" i="1"/>
  <c r="P162" i="1"/>
  <c r="R162" i="1"/>
  <c r="T162" i="1"/>
  <c r="X162" i="1"/>
  <c r="G163" i="1"/>
  <c r="J163" i="1"/>
  <c r="L163" i="1"/>
  <c r="N163" i="1"/>
  <c r="P163" i="1"/>
  <c r="R163" i="1"/>
  <c r="T163" i="1"/>
  <c r="X163" i="1"/>
  <c r="G164" i="1"/>
  <c r="J164" i="1"/>
  <c r="L164" i="1"/>
  <c r="N164" i="1"/>
  <c r="P164" i="1"/>
  <c r="R164" i="1"/>
  <c r="T164" i="1"/>
  <c r="X164" i="1"/>
  <c r="G165" i="1"/>
  <c r="J165" i="1"/>
  <c r="L165" i="1"/>
  <c r="N165" i="1"/>
  <c r="P165" i="1"/>
  <c r="R165" i="1"/>
  <c r="T165" i="1"/>
  <c r="X165" i="1"/>
  <c r="G166" i="1"/>
  <c r="J166" i="1"/>
  <c r="L166" i="1"/>
  <c r="N166" i="1"/>
  <c r="P166" i="1"/>
  <c r="R166" i="1"/>
  <c r="T166" i="1"/>
  <c r="X166" i="1"/>
  <c r="G167" i="1"/>
  <c r="J167" i="1"/>
  <c r="L167" i="1"/>
  <c r="N167" i="1"/>
  <c r="P167" i="1"/>
  <c r="R167" i="1"/>
  <c r="T167" i="1"/>
  <c r="X167" i="1"/>
  <c r="G168" i="1"/>
  <c r="J168" i="1"/>
  <c r="L168" i="1"/>
  <c r="N168" i="1"/>
  <c r="P168" i="1"/>
  <c r="R168" i="1"/>
  <c r="T168" i="1"/>
  <c r="X168" i="1"/>
  <c r="G169" i="1"/>
  <c r="J169" i="1"/>
  <c r="L169" i="1"/>
  <c r="N169" i="1"/>
  <c r="P169" i="1"/>
  <c r="R169" i="1"/>
  <c r="T169" i="1"/>
  <c r="X169" i="1"/>
  <c r="G170" i="1"/>
  <c r="J170" i="1"/>
  <c r="L170" i="1"/>
  <c r="N170" i="1"/>
  <c r="P170" i="1"/>
  <c r="R170" i="1"/>
  <c r="T170" i="1"/>
  <c r="X170" i="1"/>
  <c r="G171" i="1"/>
  <c r="J171" i="1"/>
  <c r="L171" i="1"/>
  <c r="N171" i="1"/>
  <c r="P171" i="1"/>
  <c r="R171" i="1"/>
  <c r="T171" i="1"/>
  <c r="X171" i="1"/>
  <c r="G172" i="1"/>
  <c r="J172" i="1"/>
  <c r="L172" i="1"/>
  <c r="N172" i="1"/>
  <c r="P172" i="1"/>
  <c r="R172" i="1"/>
  <c r="T172" i="1"/>
  <c r="X172" i="1"/>
  <c r="G173" i="1"/>
  <c r="J173" i="1"/>
  <c r="L173" i="1"/>
  <c r="N173" i="1"/>
  <c r="P173" i="1"/>
  <c r="R173" i="1"/>
  <c r="T173" i="1"/>
  <c r="X173" i="1"/>
  <c r="G174" i="1"/>
  <c r="J174" i="1"/>
  <c r="L174" i="1"/>
  <c r="N174" i="1"/>
  <c r="P174" i="1"/>
  <c r="R174" i="1"/>
  <c r="T174" i="1"/>
  <c r="X174" i="1"/>
  <c r="G175" i="1"/>
  <c r="J175" i="1"/>
  <c r="L175" i="1"/>
  <c r="N175" i="1"/>
  <c r="P175" i="1"/>
  <c r="R175" i="1"/>
  <c r="T175" i="1"/>
  <c r="X175" i="1"/>
  <c r="G176" i="1"/>
  <c r="J176" i="1"/>
  <c r="L176" i="1"/>
  <c r="N176" i="1"/>
  <c r="P176" i="1"/>
  <c r="R176" i="1"/>
  <c r="T176" i="1"/>
  <c r="X176" i="1"/>
  <c r="G177" i="1"/>
  <c r="J177" i="1"/>
  <c r="L177" i="1"/>
  <c r="N177" i="1"/>
  <c r="P177" i="1"/>
  <c r="R177" i="1"/>
  <c r="T177" i="1"/>
  <c r="X177" i="1"/>
  <c r="G178" i="1"/>
  <c r="J178" i="1"/>
  <c r="L178" i="1"/>
  <c r="N178" i="1"/>
  <c r="P178" i="1"/>
  <c r="R178" i="1"/>
  <c r="T178" i="1"/>
  <c r="X178" i="1"/>
  <c r="G179" i="1"/>
  <c r="J179" i="1"/>
  <c r="L179" i="1"/>
  <c r="N179" i="1"/>
  <c r="P179" i="1"/>
  <c r="R179" i="1"/>
  <c r="T179" i="1"/>
  <c r="X179" i="1"/>
  <c r="G180" i="1"/>
  <c r="J180" i="1"/>
  <c r="L180" i="1"/>
  <c r="N180" i="1"/>
  <c r="P180" i="1"/>
  <c r="R180" i="1"/>
  <c r="T180" i="1"/>
  <c r="X180" i="1"/>
  <c r="G181" i="1"/>
  <c r="J181" i="1"/>
  <c r="L181" i="1"/>
  <c r="N181" i="1"/>
  <c r="P181" i="1"/>
  <c r="R181" i="1"/>
  <c r="T181" i="1"/>
  <c r="X181" i="1"/>
  <c r="G182" i="1"/>
  <c r="J182" i="1"/>
  <c r="L182" i="1"/>
  <c r="N182" i="1"/>
  <c r="P182" i="1"/>
  <c r="R182" i="1"/>
  <c r="T182" i="1"/>
  <c r="X182" i="1"/>
  <c r="G183" i="1"/>
  <c r="J183" i="1"/>
  <c r="L183" i="1"/>
  <c r="N183" i="1"/>
  <c r="P183" i="1"/>
  <c r="R183" i="1"/>
  <c r="T183" i="1"/>
  <c r="X183" i="1"/>
  <c r="G184" i="1"/>
  <c r="J184" i="1"/>
  <c r="L184" i="1"/>
  <c r="N184" i="1"/>
  <c r="P184" i="1"/>
  <c r="R184" i="1"/>
  <c r="T184" i="1"/>
  <c r="X184" i="1"/>
  <c r="G185" i="1"/>
  <c r="J185" i="1"/>
  <c r="L185" i="1"/>
  <c r="N185" i="1"/>
  <c r="P185" i="1"/>
  <c r="R185" i="1"/>
  <c r="T185" i="1"/>
  <c r="X185" i="1"/>
  <c r="G186" i="1"/>
  <c r="J186" i="1"/>
  <c r="L186" i="1"/>
  <c r="N186" i="1"/>
  <c r="P186" i="1"/>
  <c r="R186" i="1"/>
  <c r="T186" i="1"/>
  <c r="X186" i="1"/>
  <c r="G187" i="1"/>
  <c r="J187" i="1"/>
  <c r="L187" i="1"/>
  <c r="N187" i="1"/>
  <c r="P187" i="1"/>
  <c r="R187" i="1"/>
  <c r="T187" i="1"/>
  <c r="X187" i="1"/>
  <c r="G188" i="1"/>
  <c r="J188" i="1"/>
  <c r="L188" i="1"/>
  <c r="N188" i="1"/>
  <c r="P188" i="1"/>
  <c r="R188" i="1"/>
  <c r="T188" i="1"/>
  <c r="X188" i="1"/>
  <c r="G189" i="1"/>
  <c r="J189" i="1"/>
  <c r="L189" i="1"/>
  <c r="N189" i="1"/>
  <c r="P189" i="1"/>
  <c r="R189" i="1"/>
  <c r="T189" i="1"/>
  <c r="X189" i="1"/>
  <c r="G190" i="1"/>
  <c r="J190" i="1"/>
  <c r="L190" i="1"/>
  <c r="N190" i="1"/>
  <c r="P190" i="1"/>
  <c r="R190" i="1"/>
  <c r="T190" i="1"/>
  <c r="X190" i="1"/>
  <c r="G191" i="1"/>
  <c r="J191" i="1"/>
  <c r="L191" i="1"/>
  <c r="N191" i="1"/>
  <c r="P191" i="1"/>
  <c r="R191" i="1"/>
  <c r="T191" i="1"/>
  <c r="X191" i="1"/>
  <c r="G192" i="1"/>
  <c r="J192" i="1"/>
  <c r="L192" i="1"/>
  <c r="N192" i="1"/>
  <c r="P192" i="1"/>
  <c r="R192" i="1"/>
  <c r="T192" i="1"/>
  <c r="X192" i="1"/>
  <c r="G193" i="1"/>
  <c r="J193" i="1"/>
  <c r="L193" i="1"/>
  <c r="N193" i="1"/>
  <c r="P193" i="1"/>
  <c r="R193" i="1"/>
  <c r="T193" i="1"/>
  <c r="X193" i="1"/>
  <c r="G194" i="1"/>
  <c r="J194" i="1"/>
  <c r="L194" i="1"/>
  <c r="N194" i="1"/>
  <c r="P194" i="1"/>
  <c r="R194" i="1"/>
  <c r="T194" i="1"/>
  <c r="X194" i="1"/>
  <c r="G195" i="1"/>
  <c r="J195" i="1"/>
  <c r="L195" i="1"/>
  <c r="N195" i="1"/>
  <c r="P195" i="1"/>
  <c r="R195" i="1"/>
  <c r="T195" i="1"/>
  <c r="X195" i="1"/>
  <c r="G196" i="1"/>
  <c r="J196" i="1"/>
  <c r="L196" i="1"/>
  <c r="N196" i="1"/>
  <c r="P196" i="1"/>
  <c r="R196" i="1"/>
  <c r="T196" i="1"/>
  <c r="X196" i="1"/>
  <c r="G197" i="1"/>
  <c r="J197" i="1"/>
  <c r="L197" i="1"/>
  <c r="N197" i="1"/>
  <c r="P197" i="1"/>
  <c r="R197" i="1"/>
  <c r="T197" i="1"/>
  <c r="X197" i="1"/>
  <c r="G198" i="1"/>
  <c r="J198" i="1"/>
  <c r="L198" i="1"/>
  <c r="N198" i="1"/>
  <c r="P198" i="1"/>
  <c r="R198" i="1"/>
  <c r="T198" i="1"/>
  <c r="X198" i="1"/>
  <c r="G199" i="1"/>
  <c r="J199" i="1"/>
  <c r="L199" i="1"/>
  <c r="N199" i="1"/>
  <c r="P199" i="1"/>
  <c r="R199" i="1"/>
  <c r="T199" i="1"/>
  <c r="X199" i="1"/>
  <c r="G200" i="1"/>
  <c r="J200" i="1"/>
  <c r="L200" i="1"/>
  <c r="N200" i="1"/>
  <c r="P200" i="1"/>
  <c r="R200" i="1"/>
  <c r="T200" i="1"/>
  <c r="X200" i="1"/>
  <c r="G201" i="1"/>
  <c r="J201" i="1"/>
  <c r="L201" i="1"/>
  <c r="N201" i="1"/>
  <c r="P201" i="1"/>
  <c r="R201" i="1"/>
  <c r="T201" i="1"/>
  <c r="X201" i="1"/>
  <c r="G202" i="1"/>
  <c r="J202" i="1"/>
  <c r="L202" i="1"/>
  <c r="N202" i="1"/>
  <c r="P202" i="1"/>
  <c r="R202" i="1"/>
  <c r="T202" i="1"/>
  <c r="X202" i="1"/>
  <c r="G203" i="1"/>
  <c r="J203" i="1"/>
  <c r="L203" i="1"/>
  <c r="N203" i="1"/>
  <c r="P203" i="1"/>
  <c r="R203" i="1"/>
  <c r="T203" i="1"/>
  <c r="X203" i="1"/>
  <c r="G204" i="1"/>
  <c r="J204" i="1"/>
  <c r="L204" i="1"/>
  <c r="N204" i="1"/>
  <c r="P204" i="1"/>
  <c r="R204" i="1"/>
  <c r="T204" i="1"/>
  <c r="X204" i="1"/>
  <c r="G205" i="1"/>
  <c r="J205" i="1"/>
  <c r="L205" i="1"/>
  <c r="N205" i="1"/>
  <c r="P205" i="1"/>
  <c r="R205" i="1"/>
  <c r="T205" i="1"/>
  <c r="X205" i="1"/>
  <c r="G206" i="1"/>
  <c r="J206" i="1"/>
  <c r="L206" i="1"/>
  <c r="N206" i="1"/>
  <c r="P206" i="1"/>
  <c r="R206" i="1"/>
  <c r="T206" i="1"/>
  <c r="X206" i="1"/>
  <c r="G207" i="1"/>
  <c r="J207" i="1"/>
  <c r="L207" i="1"/>
  <c r="N207" i="1"/>
  <c r="P207" i="1"/>
  <c r="R207" i="1"/>
  <c r="T207" i="1"/>
  <c r="X207" i="1"/>
  <c r="G208" i="1"/>
  <c r="J208" i="1"/>
  <c r="L208" i="1"/>
  <c r="N208" i="1"/>
  <c r="P208" i="1"/>
  <c r="R208" i="1"/>
  <c r="T208" i="1"/>
  <c r="X208" i="1"/>
  <c r="G209" i="1"/>
  <c r="J209" i="1"/>
  <c r="L209" i="1"/>
  <c r="N209" i="1"/>
  <c r="P209" i="1"/>
  <c r="R209" i="1"/>
  <c r="T209" i="1"/>
  <c r="X209" i="1"/>
  <c r="G210" i="1"/>
  <c r="J210" i="1"/>
  <c r="L210" i="1"/>
  <c r="N210" i="1"/>
  <c r="P210" i="1"/>
  <c r="R210" i="1"/>
  <c r="T210" i="1"/>
  <c r="X210" i="1"/>
  <c r="G211" i="1"/>
  <c r="J211" i="1"/>
  <c r="L211" i="1"/>
  <c r="N211" i="1"/>
  <c r="P211" i="1"/>
  <c r="R211" i="1"/>
  <c r="T211" i="1"/>
  <c r="X211" i="1"/>
  <c r="G212" i="1"/>
  <c r="J212" i="1"/>
  <c r="L212" i="1"/>
  <c r="N212" i="1"/>
  <c r="P212" i="1"/>
  <c r="R212" i="1"/>
  <c r="T212" i="1"/>
  <c r="X212" i="1"/>
  <c r="G213" i="1"/>
  <c r="J213" i="1"/>
  <c r="L213" i="1"/>
  <c r="N213" i="1"/>
  <c r="P213" i="1"/>
  <c r="R213" i="1"/>
  <c r="T213" i="1"/>
  <c r="X213" i="1"/>
  <c r="G214" i="1"/>
  <c r="J214" i="1"/>
  <c r="L214" i="1"/>
  <c r="N214" i="1"/>
  <c r="P214" i="1"/>
  <c r="R214" i="1"/>
  <c r="T214" i="1"/>
  <c r="X214" i="1"/>
  <c r="G215" i="1"/>
  <c r="J215" i="1"/>
  <c r="L215" i="1"/>
  <c r="N215" i="1"/>
  <c r="P215" i="1"/>
  <c r="R215" i="1"/>
  <c r="T215" i="1"/>
  <c r="X215" i="1"/>
  <c r="G216" i="1"/>
  <c r="J216" i="1"/>
  <c r="L216" i="1"/>
  <c r="N216" i="1"/>
  <c r="P216" i="1"/>
  <c r="R216" i="1"/>
  <c r="T216" i="1"/>
  <c r="X216" i="1"/>
  <c r="G217" i="1"/>
  <c r="J217" i="1"/>
  <c r="L217" i="1"/>
  <c r="N217" i="1"/>
  <c r="P217" i="1"/>
  <c r="R217" i="1"/>
  <c r="T217" i="1"/>
  <c r="X217" i="1"/>
  <c r="G218" i="1"/>
  <c r="J218" i="1"/>
  <c r="L218" i="1"/>
  <c r="N218" i="1"/>
  <c r="P218" i="1"/>
  <c r="R218" i="1"/>
  <c r="T218" i="1"/>
  <c r="X218" i="1"/>
  <c r="G219" i="1"/>
  <c r="J219" i="1"/>
  <c r="L219" i="1"/>
  <c r="N219" i="1"/>
  <c r="P219" i="1"/>
  <c r="R219" i="1"/>
  <c r="T219" i="1"/>
  <c r="X219" i="1"/>
  <c r="G220" i="1"/>
  <c r="J220" i="1"/>
  <c r="L220" i="1"/>
  <c r="N220" i="1"/>
  <c r="P220" i="1"/>
  <c r="R220" i="1"/>
  <c r="T220" i="1"/>
  <c r="X220" i="1"/>
  <c r="G221" i="1"/>
  <c r="J221" i="1"/>
  <c r="L221" i="1"/>
  <c r="N221" i="1"/>
  <c r="P221" i="1"/>
  <c r="R221" i="1"/>
  <c r="T221" i="1"/>
  <c r="X221" i="1"/>
  <c r="G222" i="1"/>
  <c r="J222" i="1"/>
  <c r="L222" i="1"/>
  <c r="N222" i="1"/>
  <c r="P222" i="1"/>
  <c r="R222" i="1"/>
  <c r="T222" i="1"/>
  <c r="X222" i="1"/>
  <c r="G223" i="1"/>
  <c r="J223" i="1"/>
  <c r="L223" i="1"/>
  <c r="N223" i="1"/>
  <c r="P223" i="1"/>
  <c r="R223" i="1"/>
  <c r="T223" i="1"/>
  <c r="X223" i="1"/>
  <c r="G224" i="1"/>
  <c r="J224" i="1"/>
  <c r="L224" i="1"/>
  <c r="N224" i="1"/>
  <c r="P224" i="1"/>
  <c r="R224" i="1"/>
  <c r="T224" i="1"/>
  <c r="X224" i="1"/>
  <c r="G225" i="1"/>
  <c r="J225" i="1"/>
  <c r="L225" i="1"/>
  <c r="N225" i="1"/>
  <c r="P225" i="1"/>
  <c r="R225" i="1"/>
  <c r="T225" i="1"/>
  <c r="X225" i="1"/>
  <c r="G226" i="1"/>
  <c r="J226" i="1"/>
  <c r="L226" i="1"/>
  <c r="N226" i="1"/>
  <c r="P226" i="1"/>
  <c r="R226" i="1"/>
  <c r="T226" i="1"/>
  <c r="X226" i="1"/>
  <c r="G227" i="1"/>
  <c r="J227" i="1"/>
  <c r="L227" i="1"/>
  <c r="N227" i="1"/>
  <c r="P227" i="1"/>
  <c r="R227" i="1"/>
  <c r="T227" i="1"/>
  <c r="X227" i="1"/>
  <c r="G228" i="1"/>
  <c r="J228" i="1"/>
  <c r="L228" i="1"/>
  <c r="N228" i="1"/>
  <c r="P228" i="1"/>
  <c r="R228" i="1"/>
  <c r="T228" i="1"/>
  <c r="X228" i="1"/>
  <c r="G229" i="1"/>
  <c r="J229" i="1"/>
  <c r="L229" i="1"/>
  <c r="N229" i="1"/>
  <c r="P229" i="1"/>
  <c r="R229" i="1"/>
  <c r="T229" i="1"/>
  <c r="X229" i="1"/>
  <c r="G230" i="1"/>
  <c r="J230" i="1"/>
  <c r="L230" i="1"/>
  <c r="N230" i="1"/>
  <c r="P230" i="1"/>
  <c r="R230" i="1"/>
  <c r="T230" i="1"/>
  <c r="X230" i="1"/>
  <c r="G231" i="1"/>
  <c r="J231" i="1"/>
  <c r="L231" i="1"/>
  <c r="N231" i="1"/>
  <c r="P231" i="1"/>
  <c r="R231" i="1"/>
  <c r="T231" i="1"/>
  <c r="X231" i="1"/>
  <c r="G232" i="1"/>
  <c r="J232" i="1"/>
  <c r="L232" i="1"/>
  <c r="N232" i="1"/>
  <c r="P232" i="1"/>
  <c r="R232" i="1"/>
  <c r="T232" i="1"/>
  <c r="X232" i="1"/>
  <c r="G233" i="1"/>
  <c r="J233" i="1"/>
  <c r="L233" i="1"/>
  <c r="N233" i="1"/>
  <c r="P233" i="1"/>
  <c r="R233" i="1"/>
  <c r="T233" i="1"/>
  <c r="X233" i="1"/>
  <c r="G234" i="1"/>
  <c r="J234" i="1"/>
  <c r="L234" i="1"/>
  <c r="N234" i="1"/>
  <c r="P234" i="1"/>
  <c r="R234" i="1"/>
  <c r="T234" i="1"/>
  <c r="X234" i="1"/>
  <c r="G235" i="1"/>
  <c r="J235" i="1"/>
  <c r="L235" i="1"/>
  <c r="N235" i="1"/>
  <c r="P235" i="1"/>
  <c r="R235" i="1"/>
  <c r="T235" i="1"/>
  <c r="X235" i="1"/>
  <c r="G236" i="1"/>
  <c r="J236" i="1"/>
  <c r="L236" i="1"/>
  <c r="N236" i="1"/>
  <c r="P236" i="1"/>
  <c r="R236" i="1"/>
  <c r="T236" i="1"/>
  <c r="X236" i="1"/>
  <c r="G237" i="1"/>
  <c r="J237" i="1"/>
  <c r="L237" i="1"/>
  <c r="N237" i="1"/>
  <c r="P237" i="1"/>
  <c r="R237" i="1"/>
  <c r="T237" i="1"/>
  <c r="X237" i="1"/>
  <c r="G238" i="1"/>
  <c r="J238" i="1"/>
  <c r="L238" i="1"/>
  <c r="N238" i="1"/>
  <c r="P238" i="1"/>
  <c r="R238" i="1"/>
  <c r="T238" i="1"/>
  <c r="X238" i="1"/>
  <c r="G239" i="1"/>
  <c r="J239" i="1"/>
  <c r="L239" i="1"/>
  <c r="N239" i="1"/>
  <c r="P239" i="1"/>
  <c r="R239" i="1"/>
  <c r="T239" i="1"/>
  <c r="X239" i="1"/>
  <c r="G240" i="1"/>
  <c r="J240" i="1"/>
  <c r="L240" i="1"/>
  <c r="N240" i="1"/>
  <c r="P240" i="1"/>
  <c r="R240" i="1"/>
  <c r="T240" i="1"/>
  <c r="X240" i="1"/>
  <c r="G241" i="1"/>
  <c r="J241" i="1"/>
  <c r="L241" i="1"/>
  <c r="N241" i="1"/>
  <c r="P241" i="1"/>
  <c r="R241" i="1"/>
  <c r="T241" i="1"/>
  <c r="X241" i="1"/>
  <c r="G242" i="1"/>
  <c r="J242" i="1"/>
  <c r="L242" i="1"/>
  <c r="N242" i="1"/>
  <c r="P242" i="1"/>
  <c r="R242" i="1"/>
  <c r="T242" i="1"/>
  <c r="X242" i="1"/>
  <c r="G243" i="1"/>
  <c r="J243" i="1"/>
  <c r="L243" i="1"/>
  <c r="N243" i="1"/>
  <c r="P243" i="1"/>
  <c r="R243" i="1"/>
  <c r="T243" i="1"/>
  <c r="X243" i="1"/>
  <c r="G244" i="1"/>
  <c r="J244" i="1"/>
  <c r="L244" i="1"/>
  <c r="N244" i="1"/>
  <c r="P244" i="1"/>
  <c r="R244" i="1"/>
  <c r="T244" i="1"/>
  <c r="X244" i="1"/>
  <c r="G245" i="1"/>
  <c r="J245" i="1"/>
  <c r="L245" i="1"/>
  <c r="N245" i="1"/>
  <c r="P245" i="1"/>
  <c r="R245" i="1"/>
  <c r="T245" i="1"/>
  <c r="X245" i="1"/>
  <c r="G246" i="1"/>
  <c r="J246" i="1"/>
  <c r="L246" i="1"/>
  <c r="N246" i="1"/>
  <c r="P246" i="1"/>
  <c r="R246" i="1"/>
  <c r="T246" i="1"/>
  <c r="X246" i="1"/>
  <c r="G247" i="1"/>
  <c r="J247" i="1"/>
  <c r="L247" i="1"/>
  <c r="N247" i="1"/>
  <c r="P247" i="1"/>
  <c r="R247" i="1"/>
  <c r="T247" i="1"/>
  <c r="X247" i="1"/>
  <c r="G248" i="1"/>
  <c r="J248" i="1"/>
  <c r="L248" i="1"/>
  <c r="N248" i="1"/>
  <c r="P248" i="1"/>
  <c r="R248" i="1"/>
  <c r="T248" i="1"/>
  <c r="X248" i="1"/>
  <c r="G249" i="1"/>
  <c r="J249" i="1"/>
  <c r="L249" i="1"/>
  <c r="N249" i="1"/>
  <c r="P249" i="1"/>
  <c r="R249" i="1"/>
  <c r="T249" i="1"/>
  <c r="X249" i="1"/>
  <c r="G250" i="1"/>
  <c r="J250" i="1"/>
  <c r="L250" i="1"/>
  <c r="N250" i="1"/>
  <c r="P250" i="1"/>
  <c r="R250" i="1"/>
  <c r="T250" i="1"/>
  <c r="X250" i="1"/>
  <c r="G251" i="1"/>
  <c r="J251" i="1"/>
  <c r="L251" i="1"/>
  <c r="N251" i="1"/>
  <c r="P251" i="1"/>
  <c r="R251" i="1"/>
  <c r="T251" i="1"/>
  <c r="X251" i="1"/>
  <c r="G252" i="1"/>
  <c r="J252" i="1"/>
  <c r="L252" i="1"/>
  <c r="N252" i="1"/>
  <c r="P252" i="1"/>
  <c r="R252" i="1"/>
  <c r="T252" i="1"/>
  <c r="X252" i="1"/>
  <c r="G253" i="1"/>
  <c r="J253" i="1"/>
  <c r="L253" i="1"/>
  <c r="N253" i="1"/>
  <c r="P253" i="1"/>
  <c r="R253" i="1"/>
  <c r="T253" i="1"/>
  <c r="X253" i="1"/>
  <c r="G254" i="1"/>
  <c r="J254" i="1"/>
  <c r="L254" i="1"/>
  <c r="N254" i="1"/>
  <c r="P254" i="1"/>
  <c r="R254" i="1"/>
  <c r="T254" i="1"/>
  <c r="X254" i="1"/>
  <c r="G255" i="1"/>
  <c r="J255" i="1"/>
  <c r="L255" i="1"/>
  <c r="N255" i="1"/>
  <c r="P255" i="1"/>
  <c r="R255" i="1"/>
  <c r="T255" i="1"/>
  <c r="X255" i="1"/>
  <c r="G256" i="1"/>
  <c r="J256" i="1"/>
  <c r="L256" i="1"/>
  <c r="N256" i="1"/>
  <c r="P256" i="1"/>
  <c r="R256" i="1"/>
  <c r="T256" i="1"/>
  <c r="X256" i="1"/>
  <c r="G257" i="1"/>
  <c r="J257" i="1"/>
  <c r="L257" i="1"/>
  <c r="N257" i="1"/>
  <c r="P257" i="1"/>
  <c r="R257" i="1"/>
  <c r="T257" i="1"/>
  <c r="X257" i="1"/>
  <c r="G258" i="1"/>
  <c r="J258" i="1"/>
  <c r="L258" i="1"/>
  <c r="N258" i="1"/>
  <c r="P258" i="1"/>
  <c r="R258" i="1"/>
  <c r="T258" i="1"/>
  <c r="X258" i="1"/>
  <c r="G259" i="1"/>
  <c r="J259" i="1"/>
  <c r="L259" i="1"/>
  <c r="N259" i="1"/>
  <c r="P259" i="1"/>
  <c r="R259" i="1"/>
  <c r="T259" i="1"/>
  <c r="X259" i="1"/>
  <c r="G260" i="1"/>
  <c r="J260" i="1"/>
  <c r="L260" i="1"/>
  <c r="N260" i="1"/>
  <c r="P260" i="1"/>
  <c r="R260" i="1"/>
  <c r="T260" i="1"/>
  <c r="X260" i="1"/>
  <c r="G261" i="1"/>
  <c r="J261" i="1"/>
  <c r="L261" i="1"/>
  <c r="N261" i="1"/>
  <c r="P261" i="1"/>
  <c r="R261" i="1"/>
  <c r="T261" i="1"/>
  <c r="X261" i="1"/>
  <c r="G262" i="1"/>
  <c r="J262" i="1"/>
  <c r="L262" i="1"/>
  <c r="N262" i="1"/>
  <c r="P262" i="1"/>
  <c r="R262" i="1"/>
  <c r="T262" i="1"/>
  <c r="X262" i="1"/>
  <c r="G263" i="1"/>
  <c r="J263" i="1"/>
  <c r="L263" i="1"/>
  <c r="N263" i="1"/>
  <c r="P263" i="1"/>
  <c r="R263" i="1"/>
  <c r="T263" i="1"/>
  <c r="X263" i="1"/>
  <c r="G264" i="1"/>
  <c r="J264" i="1"/>
  <c r="L264" i="1"/>
  <c r="N264" i="1"/>
  <c r="P264" i="1"/>
  <c r="R264" i="1"/>
  <c r="T264" i="1"/>
  <c r="X264" i="1"/>
  <c r="G265" i="1"/>
  <c r="J265" i="1"/>
  <c r="L265" i="1"/>
  <c r="N265" i="1"/>
  <c r="P265" i="1"/>
  <c r="R265" i="1"/>
  <c r="T265" i="1"/>
  <c r="X265" i="1"/>
  <c r="G266" i="1"/>
  <c r="J266" i="1"/>
  <c r="L266" i="1"/>
  <c r="N266" i="1"/>
  <c r="P266" i="1"/>
  <c r="R266" i="1"/>
  <c r="T266" i="1"/>
  <c r="X266" i="1"/>
  <c r="G267" i="1"/>
  <c r="J267" i="1"/>
  <c r="L267" i="1"/>
  <c r="N267" i="1"/>
  <c r="P267" i="1"/>
  <c r="R267" i="1"/>
  <c r="T267" i="1"/>
  <c r="X267" i="1"/>
  <c r="G268" i="1"/>
  <c r="J268" i="1"/>
  <c r="L268" i="1"/>
  <c r="N268" i="1"/>
  <c r="P268" i="1"/>
  <c r="R268" i="1"/>
  <c r="T268" i="1"/>
  <c r="X268" i="1"/>
  <c r="G269" i="1"/>
  <c r="J269" i="1"/>
  <c r="L269" i="1"/>
  <c r="N269" i="1"/>
  <c r="P269" i="1"/>
  <c r="R269" i="1"/>
  <c r="T269" i="1"/>
  <c r="X269" i="1"/>
  <c r="G270" i="1"/>
  <c r="J270" i="1"/>
  <c r="L270" i="1"/>
  <c r="N270" i="1"/>
  <c r="P270" i="1"/>
  <c r="R270" i="1"/>
  <c r="T270" i="1"/>
  <c r="X270" i="1"/>
  <c r="G271" i="1"/>
  <c r="J271" i="1"/>
  <c r="L271" i="1"/>
  <c r="N271" i="1"/>
  <c r="P271" i="1"/>
  <c r="R271" i="1"/>
  <c r="T271" i="1"/>
  <c r="X271" i="1"/>
  <c r="G272" i="1"/>
  <c r="J272" i="1"/>
  <c r="L272" i="1"/>
  <c r="N272" i="1"/>
  <c r="P272" i="1"/>
  <c r="R272" i="1"/>
  <c r="T272" i="1"/>
  <c r="X272" i="1"/>
  <c r="G273" i="1"/>
  <c r="J273" i="1"/>
  <c r="L273" i="1"/>
  <c r="N273" i="1"/>
  <c r="P273" i="1"/>
  <c r="R273" i="1"/>
  <c r="T273" i="1"/>
  <c r="X273" i="1"/>
  <c r="G274" i="1"/>
  <c r="J274" i="1"/>
  <c r="L274" i="1"/>
  <c r="N274" i="1"/>
  <c r="P274" i="1"/>
  <c r="R274" i="1"/>
  <c r="T274" i="1"/>
  <c r="X274" i="1"/>
  <c r="G275" i="1"/>
  <c r="J275" i="1"/>
  <c r="L275" i="1"/>
  <c r="N275" i="1"/>
  <c r="P275" i="1"/>
  <c r="R275" i="1"/>
  <c r="T275" i="1"/>
  <c r="X275" i="1"/>
  <c r="G276" i="1"/>
  <c r="J276" i="1"/>
  <c r="L276" i="1"/>
  <c r="N276" i="1"/>
  <c r="P276" i="1"/>
  <c r="R276" i="1"/>
  <c r="T276" i="1"/>
  <c r="X276" i="1"/>
  <c r="G277" i="1"/>
  <c r="J277" i="1"/>
  <c r="L277" i="1"/>
  <c r="N277" i="1"/>
  <c r="P277" i="1"/>
  <c r="R277" i="1"/>
  <c r="T277" i="1"/>
  <c r="X277" i="1"/>
  <c r="G278" i="1"/>
  <c r="J278" i="1"/>
  <c r="L278" i="1"/>
  <c r="N278" i="1"/>
  <c r="P278" i="1"/>
  <c r="R278" i="1"/>
  <c r="T278" i="1"/>
  <c r="X278" i="1"/>
  <c r="G279" i="1"/>
  <c r="J279" i="1"/>
  <c r="L279" i="1"/>
  <c r="N279" i="1"/>
  <c r="P279" i="1"/>
  <c r="R279" i="1"/>
  <c r="T279" i="1"/>
  <c r="X279" i="1"/>
  <c r="G280" i="1"/>
  <c r="J280" i="1"/>
  <c r="L280" i="1"/>
  <c r="N280" i="1"/>
  <c r="P280" i="1"/>
  <c r="R280" i="1"/>
  <c r="T280" i="1"/>
  <c r="X280" i="1"/>
  <c r="G281" i="1"/>
  <c r="J281" i="1"/>
  <c r="L281" i="1"/>
  <c r="N281" i="1"/>
  <c r="P281" i="1"/>
  <c r="R281" i="1"/>
  <c r="T281" i="1"/>
  <c r="X281" i="1"/>
  <c r="G282" i="1"/>
  <c r="J282" i="1"/>
  <c r="L282" i="1"/>
  <c r="N282" i="1"/>
  <c r="P282" i="1"/>
  <c r="R282" i="1"/>
  <c r="T282" i="1"/>
  <c r="X282" i="1"/>
  <c r="G283" i="1"/>
  <c r="J283" i="1"/>
  <c r="L283" i="1"/>
  <c r="N283" i="1"/>
  <c r="P283" i="1"/>
  <c r="R283" i="1"/>
  <c r="T283" i="1"/>
  <c r="X283" i="1"/>
  <c r="G284" i="1"/>
  <c r="J284" i="1"/>
  <c r="L284" i="1"/>
  <c r="N284" i="1"/>
  <c r="P284" i="1"/>
  <c r="R284" i="1"/>
  <c r="T284" i="1"/>
  <c r="X284" i="1"/>
  <c r="G285" i="1"/>
  <c r="J285" i="1"/>
  <c r="L285" i="1"/>
  <c r="N285" i="1"/>
  <c r="P285" i="1"/>
  <c r="R285" i="1"/>
  <c r="T285" i="1"/>
  <c r="X285" i="1"/>
  <c r="G286" i="1"/>
  <c r="J286" i="1"/>
  <c r="L286" i="1"/>
  <c r="N286" i="1"/>
  <c r="P286" i="1"/>
  <c r="R286" i="1"/>
  <c r="T286" i="1"/>
  <c r="X286" i="1"/>
  <c r="G287" i="1"/>
  <c r="J287" i="1"/>
  <c r="L287" i="1"/>
  <c r="N287" i="1"/>
  <c r="P287" i="1"/>
  <c r="R287" i="1"/>
  <c r="T287" i="1"/>
  <c r="X287" i="1"/>
  <c r="G288" i="1"/>
  <c r="J288" i="1"/>
  <c r="L288" i="1"/>
  <c r="N288" i="1"/>
  <c r="P288" i="1"/>
  <c r="R288" i="1"/>
  <c r="T288" i="1"/>
  <c r="X288" i="1"/>
  <c r="G289" i="1"/>
  <c r="J289" i="1"/>
  <c r="L289" i="1"/>
  <c r="N289" i="1"/>
  <c r="P289" i="1"/>
  <c r="R289" i="1"/>
  <c r="T289" i="1"/>
  <c r="X289" i="1"/>
  <c r="G290" i="1"/>
  <c r="J290" i="1"/>
  <c r="L290" i="1"/>
  <c r="N290" i="1"/>
  <c r="P290" i="1"/>
  <c r="R290" i="1"/>
  <c r="T290" i="1"/>
  <c r="X290" i="1"/>
  <c r="G291" i="1"/>
  <c r="J291" i="1"/>
  <c r="L291" i="1"/>
  <c r="N291" i="1"/>
  <c r="P291" i="1"/>
  <c r="R291" i="1"/>
  <c r="T291" i="1"/>
  <c r="X291" i="1"/>
  <c r="G292" i="1"/>
  <c r="J292" i="1"/>
  <c r="L292" i="1"/>
  <c r="N292" i="1"/>
  <c r="P292" i="1"/>
  <c r="R292" i="1"/>
  <c r="T292" i="1"/>
  <c r="X292" i="1"/>
  <c r="G293" i="1"/>
  <c r="J293" i="1"/>
  <c r="L293" i="1"/>
  <c r="N293" i="1"/>
  <c r="P293" i="1"/>
  <c r="R293" i="1"/>
  <c r="T293" i="1"/>
  <c r="X293" i="1"/>
  <c r="G294" i="1"/>
  <c r="J294" i="1"/>
  <c r="L294" i="1"/>
  <c r="N294" i="1"/>
  <c r="P294" i="1"/>
  <c r="R294" i="1"/>
  <c r="T294" i="1"/>
  <c r="X294" i="1"/>
  <c r="G295" i="1"/>
  <c r="J295" i="1"/>
  <c r="L295" i="1"/>
  <c r="N295" i="1"/>
  <c r="P295" i="1"/>
  <c r="R295" i="1"/>
  <c r="T295" i="1"/>
  <c r="X295" i="1"/>
  <c r="G296" i="1"/>
  <c r="J296" i="1"/>
  <c r="L296" i="1"/>
  <c r="N296" i="1"/>
  <c r="P296" i="1"/>
  <c r="R296" i="1"/>
  <c r="T296" i="1"/>
  <c r="X296" i="1"/>
  <c r="G297" i="1"/>
  <c r="J297" i="1"/>
  <c r="L297" i="1"/>
  <c r="N297" i="1"/>
  <c r="P297" i="1"/>
  <c r="R297" i="1"/>
  <c r="T297" i="1"/>
  <c r="X297" i="1"/>
  <c r="G298" i="1"/>
  <c r="J298" i="1"/>
  <c r="L298" i="1"/>
  <c r="N298" i="1"/>
  <c r="P298" i="1"/>
  <c r="R298" i="1"/>
  <c r="T298" i="1"/>
  <c r="X298" i="1"/>
  <c r="G299" i="1"/>
  <c r="J299" i="1"/>
  <c r="L299" i="1"/>
  <c r="N299" i="1"/>
  <c r="P299" i="1"/>
  <c r="R299" i="1"/>
  <c r="T299" i="1"/>
  <c r="X299" i="1"/>
  <c r="G300" i="1"/>
  <c r="J300" i="1"/>
  <c r="L300" i="1"/>
  <c r="N300" i="1"/>
  <c r="P300" i="1"/>
  <c r="R300" i="1"/>
  <c r="T300" i="1"/>
  <c r="X300" i="1"/>
  <c r="G301" i="1"/>
  <c r="J301" i="1"/>
  <c r="L301" i="1"/>
  <c r="N301" i="1"/>
  <c r="P301" i="1"/>
  <c r="R301" i="1"/>
  <c r="T301" i="1"/>
  <c r="X301" i="1"/>
  <c r="G302" i="1"/>
  <c r="J302" i="1"/>
  <c r="L302" i="1"/>
  <c r="N302" i="1"/>
  <c r="P302" i="1"/>
  <c r="R302" i="1"/>
  <c r="T302" i="1"/>
  <c r="X302" i="1"/>
  <c r="G303" i="1"/>
  <c r="J303" i="1"/>
  <c r="L303" i="1"/>
  <c r="N303" i="1"/>
  <c r="P303" i="1"/>
  <c r="R303" i="1"/>
  <c r="T303" i="1"/>
  <c r="X303" i="1"/>
  <c r="G304" i="1"/>
  <c r="J304" i="1"/>
  <c r="L304" i="1"/>
  <c r="N304" i="1"/>
  <c r="P304" i="1"/>
  <c r="R304" i="1"/>
  <c r="T304" i="1"/>
  <c r="X304" i="1"/>
  <c r="G305" i="1"/>
  <c r="J305" i="1"/>
  <c r="L305" i="1"/>
  <c r="N305" i="1"/>
  <c r="P305" i="1"/>
  <c r="R305" i="1"/>
  <c r="T305" i="1"/>
  <c r="X305" i="1"/>
  <c r="G306" i="1"/>
  <c r="J306" i="1"/>
  <c r="L306" i="1"/>
  <c r="N306" i="1"/>
  <c r="P306" i="1"/>
  <c r="R306" i="1"/>
  <c r="T306" i="1"/>
  <c r="X306" i="1"/>
  <c r="G307" i="1"/>
  <c r="J307" i="1"/>
  <c r="L307" i="1"/>
  <c r="N307" i="1"/>
  <c r="P307" i="1"/>
  <c r="R307" i="1"/>
  <c r="T307" i="1"/>
  <c r="X307" i="1"/>
  <c r="G308" i="1"/>
  <c r="J308" i="1"/>
  <c r="L308" i="1"/>
  <c r="N308" i="1"/>
  <c r="P308" i="1"/>
  <c r="R308" i="1"/>
  <c r="T308" i="1"/>
  <c r="X308" i="1"/>
  <c r="G309" i="1"/>
  <c r="J309" i="1"/>
  <c r="L309" i="1"/>
  <c r="N309" i="1"/>
  <c r="P309" i="1"/>
  <c r="R309" i="1"/>
  <c r="T309" i="1"/>
  <c r="X309" i="1"/>
  <c r="G310" i="1"/>
  <c r="J310" i="1"/>
  <c r="L310" i="1"/>
  <c r="N310" i="1"/>
  <c r="P310" i="1"/>
  <c r="R310" i="1"/>
  <c r="T310" i="1"/>
  <c r="X310" i="1"/>
  <c r="G311" i="1"/>
  <c r="J311" i="1"/>
  <c r="L311" i="1"/>
  <c r="N311" i="1"/>
  <c r="P311" i="1"/>
  <c r="R311" i="1"/>
  <c r="T311" i="1"/>
  <c r="X311" i="1"/>
  <c r="G312" i="1"/>
  <c r="J312" i="1"/>
  <c r="L312" i="1"/>
  <c r="N312" i="1"/>
  <c r="P312" i="1"/>
  <c r="R312" i="1"/>
  <c r="T312" i="1"/>
  <c r="X312" i="1"/>
  <c r="G313" i="1"/>
  <c r="J313" i="1"/>
  <c r="L313" i="1"/>
  <c r="N313" i="1"/>
  <c r="P313" i="1"/>
  <c r="R313" i="1"/>
  <c r="T313" i="1"/>
  <c r="X313" i="1"/>
  <c r="G314" i="1"/>
  <c r="J314" i="1"/>
  <c r="L314" i="1"/>
  <c r="N314" i="1"/>
  <c r="P314" i="1"/>
  <c r="R314" i="1"/>
  <c r="T314" i="1"/>
  <c r="X314" i="1"/>
  <c r="G315" i="1"/>
  <c r="J315" i="1"/>
  <c r="L315" i="1"/>
  <c r="N315" i="1"/>
  <c r="P315" i="1"/>
  <c r="R315" i="1"/>
  <c r="T315" i="1"/>
  <c r="X315" i="1"/>
  <c r="G316" i="1"/>
  <c r="J316" i="1"/>
  <c r="L316" i="1"/>
  <c r="N316" i="1"/>
  <c r="P316" i="1"/>
  <c r="R316" i="1"/>
  <c r="T316" i="1"/>
  <c r="X316" i="1"/>
  <c r="G317" i="1"/>
  <c r="J317" i="1"/>
  <c r="L317" i="1"/>
  <c r="N317" i="1"/>
  <c r="P317" i="1"/>
  <c r="R317" i="1"/>
  <c r="T317" i="1"/>
  <c r="X317" i="1"/>
  <c r="G318" i="1"/>
  <c r="J318" i="1"/>
  <c r="L318" i="1"/>
  <c r="N318" i="1"/>
  <c r="P318" i="1"/>
  <c r="R318" i="1"/>
  <c r="T318" i="1"/>
  <c r="X318" i="1"/>
  <c r="G319" i="1"/>
  <c r="J319" i="1"/>
  <c r="L319" i="1"/>
  <c r="N319" i="1"/>
  <c r="P319" i="1"/>
  <c r="R319" i="1"/>
  <c r="T319" i="1"/>
  <c r="X319" i="1"/>
  <c r="G320" i="1"/>
  <c r="J320" i="1"/>
  <c r="L320" i="1"/>
  <c r="N320" i="1"/>
  <c r="P320" i="1"/>
  <c r="R320" i="1"/>
  <c r="T320" i="1"/>
  <c r="X320" i="1"/>
  <c r="G321" i="1"/>
  <c r="J321" i="1"/>
  <c r="L321" i="1"/>
  <c r="N321" i="1"/>
  <c r="P321" i="1"/>
  <c r="R321" i="1"/>
  <c r="T321" i="1"/>
  <c r="X321" i="1"/>
  <c r="G322" i="1"/>
  <c r="J322" i="1"/>
  <c r="L322" i="1"/>
  <c r="N322" i="1"/>
  <c r="P322" i="1"/>
  <c r="R322" i="1"/>
  <c r="T322" i="1"/>
  <c r="X322" i="1"/>
  <c r="G323" i="1"/>
  <c r="J323" i="1"/>
  <c r="L323" i="1"/>
  <c r="N323" i="1"/>
  <c r="P323" i="1"/>
  <c r="R323" i="1"/>
  <c r="T323" i="1"/>
  <c r="X323" i="1"/>
  <c r="G324" i="1"/>
  <c r="J324" i="1"/>
  <c r="L324" i="1"/>
  <c r="N324" i="1"/>
  <c r="P324" i="1"/>
  <c r="R324" i="1"/>
  <c r="T324" i="1"/>
  <c r="X324" i="1"/>
  <c r="G325" i="1"/>
  <c r="J325" i="1"/>
  <c r="L325" i="1"/>
  <c r="N325" i="1"/>
  <c r="P325" i="1"/>
  <c r="R325" i="1"/>
  <c r="T325" i="1"/>
  <c r="X325" i="1"/>
  <c r="G326" i="1"/>
  <c r="J326" i="1"/>
  <c r="L326" i="1"/>
  <c r="N326" i="1"/>
  <c r="P326" i="1"/>
  <c r="R326" i="1"/>
  <c r="T326" i="1"/>
  <c r="X326" i="1"/>
  <c r="G327" i="1"/>
  <c r="J327" i="1"/>
  <c r="L327" i="1"/>
  <c r="N327" i="1"/>
  <c r="P327" i="1"/>
  <c r="R327" i="1"/>
  <c r="T327" i="1"/>
  <c r="X327" i="1"/>
  <c r="G328" i="1"/>
  <c r="J328" i="1"/>
  <c r="L328" i="1"/>
  <c r="N328" i="1"/>
  <c r="P328" i="1"/>
  <c r="R328" i="1"/>
  <c r="T328" i="1"/>
  <c r="X328" i="1"/>
  <c r="G329" i="1"/>
  <c r="J329" i="1"/>
  <c r="L329" i="1"/>
  <c r="N329" i="1"/>
  <c r="P329" i="1"/>
  <c r="R329" i="1"/>
  <c r="T329" i="1"/>
  <c r="X329" i="1"/>
  <c r="G330" i="1"/>
  <c r="J330" i="1"/>
  <c r="L330" i="1"/>
  <c r="N330" i="1"/>
  <c r="P330" i="1"/>
  <c r="R330" i="1"/>
  <c r="T330" i="1"/>
  <c r="X330" i="1"/>
  <c r="G331" i="1"/>
  <c r="J331" i="1"/>
  <c r="L331" i="1"/>
  <c r="N331" i="1"/>
  <c r="P331" i="1"/>
  <c r="R331" i="1"/>
  <c r="T331" i="1"/>
  <c r="X331" i="1"/>
  <c r="G332" i="1"/>
  <c r="J332" i="1"/>
  <c r="L332" i="1"/>
  <c r="N332" i="1"/>
  <c r="P332" i="1"/>
  <c r="R332" i="1"/>
  <c r="T332" i="1"/>
  <c r="X332" i="1"/>
  <c r="G333" i="1"/>
  <c r="J333" i="1"/>
  <c r="L333" i="1"/>
  <c r="N333" i="1"/>
  <c r="P333" i="1"/>
  <c r="R333" i="1"/>
  <c r="T333" i="1"/>
  <c r="X333" i="1"/>
  <c r="G334" i="1"/>
  <c r="J334" i="1"/>
  <c r="L334" i="1"/>
  <c r="N334" i="1"/>
  <c r="P334" i="1"/>
  <c r="R334" i="1"/>
  <c r="T334" i="1"/>
  <c r="X334" i="1"/>
  <c r="G335" i="1"/>
  <c r="J335" i="1"/>
  <c r="L335" i="1"/>
  <c r="N335" i="1"/>
  <c r="P335" i="1"/>
  <c r="R335" i="1"/>
  <c r="T335" i="1"/>
  <c r="X335" i="1"/>
  <c r="G336" i="1"/>
  <c r="J336" i="1"/>
  <c r="L336" i="1"/>
  <c r="N336" i="1"/>
  <c r="P336" i="1"/>
  <c r="R336" i="1"/>
  <c r="T336" i="1"/>
  <c r="X336" i="1"/>
  <c r="G337" i="1"/>
  <c r="J337" i="1"/>
  <c r="L337" i="1"/>
  <c r="N337" i="1"/>
  <c r="P337" i="1"/>
  <c r="R337" i="1"/>
  <c r="T337" i="1"/>
  <c r="X337" i="1"/>
  <c r="G338" i="1"/>
  <c r="J338" i="1"/>
  <c r="L338" i="1"/>
  <c r="N338" i="1"/>
  <c r="P338" i="1"/>
  <c r="R338" i="1"/>
  <c r="T338" i="1"/>
  <c r="X338" i="1"/>
  <c r="G339" i="1"/>
  <c r="J339" i="1"/>
  <c r="L339" i="1"/>
  <c r="N339" i="1"/>
  <c r="P339" i="1"/>
  <c r="R339" i="1"/>
  <c r="T339" i="1"/>
  <c r="X339" i="1"/>
  <c r="G340" i="1"/>
  <c r="J340" i="1"/>
  <c r="L340" i="1"/>
  <c r="N340" i="1"/>
  <c r="P340" i="1"/>
  <c r="R340" i="1"/>
  <c r="T340" i="1"/>
  <c r="X340" i="1"/>
  <c r="G341" i="1"/>
  <c r="J341" i="1"/>
  <c r="L341" i="1"/>
  <c r="N341" i="1"/>
  <c r="P341" i="1"/>
  <c r="R341" i="1"/>
  <c r="T341" i="1"/>
  <c r="X341" i="1"/>
  <c r="G342" i="1"/>
  <c r="J342" i="1"/>
  <c r="L342" i="1"/>
  <c r="N342" i="1"/>
  <c r="P342" i="1"/>
  <c r="R342" i="1"/>
  <c r="T342" i="1"/>
  <c r="X342" i="1"/>
  <c r="G343" i="1"/>
  <c r="J343" i="1"/>
  <c r="L343" i="1"/>
  <c r="N343" i="1"/>
  <c r="P343" i="1"/>
  <c r="R343" i="1"/>
  <c r="T343" i="1"/>
  <c r="X343" i="1"/>
  <c r="G344" i="1"/>
  <c r="J344" i="1"/>
  <c r="L344" i="1"/>
  <c r="N344" i="1"/>
  <c r="P344" i="1"/>
  <c r="R344" i="1"/>
  <c r="T344" i="1"/>
  <c r="X344" i="1"/>
  <c r="G345" i="1"/>
  <c r="J345" i="1"/>
  <c r="L345" i="1"/>
  <c r="N345" i="1"/>
  <c r="P345" i="1"/>
  <c r="R345" i="1"/>
  <c r="T345" i="1"/>
  <c r="X345" i="1"/>
  <c r="G346" i="1"/>
  <c r="J346" i="1"/>
  <c r="L346" i="1"/>
  <c r="N346" i="1"/>
  <c r="P346" i="1"/>
  <c r="R346" i="1"/>
  <c r="T346" i="1"/>
  <c r="X346" i="1"/>
  <c r="G347" i="1"/>
  <c r="J347" i="1"/>
  <c r="L347" i="1"/>
  <c r="N347" i="1"/>
  <c r="P347" i="1"/>
  <c r="R347" i="1"/>
  <c r="T347" i="1"/>
  <c r="X347" i="1"/>
  <c r="G348" i="1"/>
  <c r="J348" i="1"/>
  <c r="L348" i="1"/>
  <c r="N348" i="1"/>
  <c r="P348" i="1"/>
  <c r="R348" i="1"/>
  <c r="T348" i="1"/>
  <c r="X348" i="1"/>
  <c r="G349" i="1"/>
  <c r="J349" i="1"/>
  <c r="L349" i="1"/>
  <c r="N349" i="1"/>
  <c r="P349" i="1"/>
  <c r="R349" i="1"/>
  <c r="T349" i="1"/>
  <c r="X349" i="1"/>
  <c r="G350" i="1"/>
  <c r="J350" i="1"/>
  <c r="L350" i="1"/>
  <c r="N350" i="1"/>
  <c r="P350" i="1"/>
  <c r="R350" i="1"/>
  <c r="T350" i="1"/>
  <c r="X350" i="1"/>
  <c r="G351" i="1"/>
  <c r="J351" i="1"/>
  <c r="L351" i="1"/>
  <c r="N351" i="1"/>
  <c r="P351" i="1"/>
  <c r="R351" i="1"/>
  <c r="T351" i="1"/>
  <c r="X351" i="1"/>
  <c r="G352" i="1"/>
  <c r="J352" i="1"/>
  <c r="L352" i="1"/>
  <c r="N352" i="1"/>
  <c r="P352" i="1"/>
  <c r="R352" i="1"/>
  <c r="T352" i="1"/>
  <c r="X352" i="1"/>
  <c r="G353" i="1"/>
  <c r="J353" i="1"/>
  <c r="L353" i="1"/>
  <c r="N353" i="1"/>
  <c r="P353" i="1"/>
  <c r="R353" i="1"/>
  <c r="T353" i="1"/>
  <c r="X353" i="1"/>
  <c r="G354" i="1"/>
  <c r="J354" i="1"/>
  <c r="L354" i="1"/>
  <c r="N354" i="1"/>
  <c r="P354" i="1"/>
  <c r="R354" i="1"/>
  <c r="T354" i="1"/>
  <c r="X354" i="1"/>
  <c r="G355" i="1"/>
  <c r="J355" i="1"/>
  <c r="L355" i="1"/>
  <c r="N355" i="1"/>
  <c r="P355" i="1"/>
  <c r="R355" i="1"/>
  <c r="T355" i="1"/>
  <c r="X355" i="1"/>
  <c r="G356" i="1"/>
  <c r="J356" i="1"/>
  <c r="L356" i="1"/>
  <c r="N356" i="1"/>
  <c r="P356" i="1"/>
  <c r="R356" i="1"/>
  <c r="T356" i="1"/>
  <c r="X356" i="1"/>
  <c r="G357" i="1"/>
  <c r="J357" i="1"/>
  <c r="L357" i="1"/>
  <c r="N357" i="1"/>
  <c r="P357" i="1"/>
  <c r="R357" i="1"/>
  <c r="T357" i="1"/>
  <c r="X357" i="1"/>
  <c r="G358" i="1"/>
  <c r="J358" i="1"/>
  <c r="L358" i="1"/>
  <c r="N358" i="1"/>
  <c r="P358" i="1"/>
  <c r="R358" i="1"/>
  <c r="T358" i="1"/>
  <c r="X358" i="1"/>
  <c r="G359" i="1"/>
  <c r="J359" i="1"/>
  <c r="L359" i="1"/>
  <c r="N359" i="1"/>
  <c r="P359" i="1"/>
  <c r="R359" i="1"/>
  <c r="T359" i="1"/>
  <c r="X359" i="1"/>
  <c r="G360" i="1"/>
  <c r="J360" i="1"/>
  <c r="L360" i="1"/>
  <c r="N360" i="1"/>
  <c r="P360" i="1"/>
  <c r="R360" i="1"/>
  <c r="T360" i="1"/>
  <c r="X360" i="1"/>
  <c r="G361" i="1"/>
  <c r="J361" i="1"/>
  <c r="L361" i="1"/>
  <c r="N361" i="1"/>
  <c r="P361" i="1"/>
  <c r="R361" i="1"/>
  <c r="T361" i="1"/>
  <c r="X361" i="1"/>
  <c r="G362" i="1"/>
  <c r="J362" i="1"/>
  <c r="L362" i="1"/>
  <c r="N362" i="1"/>
  <c r="P362" i="1"/>
  <c r="R362" i="1"/>
  <c r="T362" i="1"/>
  <c r="X362" i="1"/>
  <c r="G363" i="1"/>
  <c r="J363" i="1"/>
  <c r="L363" i="1"/>
  <c r="N363" i="1"/>
  <c r="P363" i="1"/>
  <c r="R363" i="1"/>
  <c r="T363" i="1"/>
  <c r="X363" i="1"/>
  <c r="G364" i="1"/>
  <c r="J364" i="1"/>
  <c r="L364" i="1"/>
  <c r="N364" i="1"/>
  <c r="P364" i="1"/>
  <c r="R364" i="1"/>
  <c r="T364" i="1"/>
  <c r="X364" i="1"/>
  <c r="G365" i="1"/>
  <c r="J365" i="1"/>
  <c r="L365" i="1"/>
  <c r="N365" i="1"/>
  <c r="P365" i="1"/>
  <c r="R365" i="1"/>
  <c r="T365" i="1"/>
  <c r="X365" i="1"/>
  <c r="G366" i="1"/>
  <c r="J366" i="1"/>
  <c r="L366" i="1"/>
  <c r="N366" i="1"/>
  <c r="P366" i="1"/>
  <c r="R366" i="1"/>
  <c r="T366" i="1"/>
  <c r="X366" i="1"/>
  <c r="G367" i="1"/>
  <c r="J367" i="1"/>
  <c r="L367" i="1"/>
  <c r="N367" i="1"/>
  <c r="P367" i="1"/>
  <c r="R367" i="1"/>
  <c r="T367" i="1"/>
  <c r="X367" i="1"/>
  <c r="G368" i="1"/>
  <c r="J368" i="1"/>
  <c r="L368" i="1"/>
  <c r="N368" i="1"/>
  <c r="P368" i="1"/>
  <c r="R368" i="1"/>
  <c r="T368" i="1"/>
  <c r="X368" i="1"/>
  <c r="G369" i="1"/>
  <c r="J369" i="1"/>
  <c r="L369" i="1"/>
  <c r="N369" i="1"/>
  <c r="P369" i="1"/>
  <c r="R369" i="1"/>
  <c r="T369" i="1"/>
  <c r="X369" i="1"/>
  <c r="G370" i="1"/>
  <c r="J370" i="1"/>
  <c r="L370" i="1"/>
  <c r="N370" i="1"/>
  <c r="P370" i="1"/>
  <c r="R370" i="1"/>
  <c r="T370" i="1"/>
  <c r="X370" i="1"/>
  <c r="G371" i="1"/>
  <c r="J371" i="1"/>
  <c r="L371" i="1"/>
  <c r="N371" i="1"/>
  <c r="P371" i="1"/>
  <c r="R371" i="1"/>
  <c r="T371" i="1"/>
  <c r="X371" i="1"/>
  <c r="G372" i="1"/>
  <c r="J372" i="1"/>
  <c r="L372" i="1"/>
  <c r="N372" i="1"/>
  <c r="P372" i="1"/>
  <c r="R372" i="1"/>
  <c r="T372" i="1"/>
  <c r="X372" i="1"/>
  <c r="G373" i="1"/>
  <c r="J373" i="1"/>
  <c r="L373" i="1"/>
  <c r="N373" i="1"/>
  <c r="P373" i="1"/>
  <c r="R373" i="1"/>
  <c r="T373" i="1"/>
  <c r="X373" i="1"/>
  <c r="G374" i="1"/>
  <c r="J374" i="1"/>
  <c r="L374" i="1"/>
  <c r="N374" i="1"/>
  <c r="P374" i="1"/>
  <c r="R374" i="1"/>
  <c r="T374" i="1"/>
  <c r="X374" i="1"/>
  <c r="G375" i="1"/>
  <c r="J375" i="1"/>
  <c r="L375" i="1"/>
  <c r="N375" i="1"/>
  <c r="P375" i="1"/>
  <c r="R375" i="1"/>
  <c r="T375" i="1"/>
  <c r="X375" i="1"/>
  <c r="G376" i="1"/>
  <c r="J376" i="1"/>
  <c r="L376" i="1"/>
  <c r="N376" i="1"/>
  <c r="P376" i="1"/>
  <c r="R376" i="1"/>
  <c r="T376" i="1"/>
  <c r="X376" i="1"/>
  <c r="G377" i="1"/>
  <c r="J377" i="1"/>
  <c r="L377" i="1"/>
  <c r="N377" i="1"/>
  <c r="P377" i="1"/>
  <c r="R377" i="1"/>
  <c r="T377" i="1"/>
  <c r="X377" i="1"/>
  <c r="G378" i="1"/>
  <c r="J378" i="1"/>
  <c r="L378" i="1"/>
  <c r="N378" i="1"/>
  <c r="P378" i="1"/>
  <c r="R378" i="1"/>
  <c r="T378" i="1"/>
  <c r="X378" i="1"/>
  <c r="G379" i="1"/>
  <c r="J379" i="1"/>
  <c r="L379" i="1"/>
  <c r="N379" i="1"/>
  <c r="P379" i="1"/>
  <c r="R379" i="1"/>
  <c r="T379" i="1"/>
  <c r="X379" i="1"/>
  <c r="G380" i="1"/>
  <c r="J380" i="1"/>
  <c r="L380" i="1"/>
  <c r="N380" i="1"/>
  <c r="P380" i="1"/>
  <c r="R380" i="1"/>
  <c r="T380" i="1"/>
  <c r="X380" i="1"/>
  <c r="G381" i="1"/>
  <c r="J381" i="1"/>
  <c r="L381" i="1"/>
  <c r="N381" i="1"/>
  <c r="P381" i="1"/>
  <c r="R381" i="1"/>
  <c r="T381" i="1"/>
  <c r="X381" i="1"/>
  <c r="G382" i="1"/>
  <c r="J382" i="1"/>
  <c r="L382" i="1"/>
  <c r="N382" i="1"/>
  <c r="P382" i="1"/>
  <c r="R382" i="1"/>
  <c r="T382" i="1"/>
  <c r="X382" i="1"/>
  <c r="G383" i="1"/>
  <c r="J383" i="1"/>
  <c r="L383" i="1"/>
  <c r="N383" i="1"/>
  <c r="P383" i="1"/>
  <c r="R383" i="1"/>
  <c r="T383" i="1"/>
  <c r="X383" i="1"/>
  <c r="G384" i="1"/>
  <c r="J384" i="1"/>
  <c r="L384" i="1"/>
  <c r="N384" i="1"/>
  <c r="P384" i="1"/>
  <c r="R384" i="1"/>
  <c r="T384" i="1"/>
  <c r="X384" i="1"/>
  <c r="G385" i="1"/>
  <c r="J385" i="1"/>
  <c r="L385" i="1"/>
  <c r="N385" i="1"/>
  <c r="P385" i="1"/>
  <c r="R385" i="1"/>
  <c r="T385" i="1"/>
  <c r="X385" i="1"/>
  <c r="G386" i="1"/>
  <c r="J386" i="1"/>
  <c r="L386" i="1"/>
  <c r="N386" i="1"/>
  <c r="P386" i="1"/>
  <c r="R386" i="1"/>
  <c r="T386" i="1"/>
  <c r="X386" i="1"/>
  <c r="G387" i="1"/>
  <c r="J387" i="1"/>
  <c r="L387" i="1"/>
  <c r="N387" i="1"/>
  <c r="P387" i="1"/>
  <c r="R387" i="1"/>
  <c r="T387" i="1"/>
  <c r="X387" i="1"/>
  <c r="G388" i="1"/>
  <c r="J388" i="1"/>
  <c r="L388" i="1"/>
  <c r="N388" i="1"/>
  <c r="P388" i="1"/>
  <c r="R388" i="1"/>
  <c r="T388" i="1"/>
  <c r="X388" i="1"/>
  <c r="G389" i="1"/>
  <c r="J389" i="1"/>
  <c r="L389" i="1"/>
  <c r="N389" i="1"/>
  <c r="P389" i="1"/>
  <c r="R389" i="1"/>
  <c r="T389" i="1"/>
  <c r="X389" i="1"/>
  <c r="G390" i="1"/>
  <c r="J390" i="1"/>
  <c r="L390" i="1"/>
  <c r="N390" i="1"/>
  <c r="P390" i="1"/>
  <c r="R390" i="1"/>
  <c r="T390" i="1"/>
  <c r="X390" i="1"/>
  <c r="G391" i="1"/>
  <c r="J391" i="1"/>
  <c r="L391" i="1"/>
  <c r="N391" i="1"/>
  <c r="P391" i="1"/>
  <c r="R391" i="1"/>
  <c r="T391" i="1"/>
  <c r="X391" i="1"/>
  <c r="G392" i="1"/>
  <c r="J392" i="1"/>
  <c r="L392" i="1"/>
  <c r="N392" i="1"/>
  <c r="P392" i="1"/>
  <c r="R392" i="1"/>
  <c r="T392" i="1"/>
  <c r="X392" i="1"/>
  <c r="G393" i="1"/>
  <c r="J393" i="1"/>
  <c r="L393" i="1"/>
  <c r="N393" i="1"/>
  <c r="P393" i="1"/>
  <c r="R393" i="1"/>
  <c r="T393" i="1"/>
  <c r="X393" i="1"/>
  <c r="G394" i="1"/>
  <c r="J394" i="1"/>
  <c r="L394" i="1"/>
  <c r="N394" i="1"/>
  <c r="P394" i="1"/>
  <c r="R394" i="1"/>
  <c r="T394" i="1"/>
  <c r="X394" i="1"/>
  <c r="G395" i="1"/>
  <c r="J395" i="1"/>
  <c r="L395" i="1"/>
  <c r="N395" i="1"/>
  <c r="P395" i="1"/>
  <c r="R395" i="1"/>
  <c r="T395" i="1"/>
  <c r="X395" i="1"/>
  <c r="G396" i="1"/>
  <c r="J396" i="1"/>
  <c r="L396" i="1"/>
  <c r="N396" i="1"/>
  <c r="P396" i="1"/>
  <c r="R396" i="1"/>
  <c r="T396" i="1"/>
  <c r="X396" i="1"/>
  <c r="G397" i="1"/>
  <c r="J397" i="1"/>
  <c r="L397" i="1"/>
  <c r="N397" i="1"/>
  <c r="P397" i="1"/>
  <c r="R397" i="1"/>
  <c r="T397" i="1"/>
  <c r="X397" i="1"/>
  <c r="G398" i="1"/>
  <c r="J398" i="1"/>
  <c r="L398" i="1"/>
  <c r="N398" i="1"/>
  <c r="P398" i="1"/>
  <c r="R398" i="1"/>
  <c r="T398" i="1"/>
  <c r="X398" i="1"/>
  <c r="G399" i="1"/>
  <c r="J399" i="1"/>
  <c r="L399" i="1"/>
  <c r="N399" i="1"/>
  <c r="P399" i="1"/>
  <c r="R399" i="1"/>
  <c r="T399" i="1"/>
  <c r="X399" i="1"/>
  <c r="G400" i="1"/>
  <c r="J400" i="1"/>
  <c r="L400" i="1"/>
  <c r="N400" i="1"/>
  <c r="P400" i="1"/>
  <c r="R400" i="1"/>
  <c r="T400" i="1"/>
  <c r="X400" i="1"/>
  <c r="G401" i="1"/>
  <c r="J401" i="1"/>
  <c r="L401" i="1"/>
  <c r="N401" i="1"/>
  <c r="P401" i="1"/>
  <c r="R401" i="1"/>
  <c r="T401" i="1"/>
  <c r="X401" i="1"/>
  <c r="G402" i="1"/>
  <c r="J402" i="1"/>
  <c r="L402" i="1"/>
  <c r="N402" i="1"/>
  <c r="P402" i="1"/>
  <c r="R402" i="1"/>
  <c r="T402" i="1"/>
  <c r="X402" i="1"/>
  <c r="G403" i="1"/>
  <c r="J403" i="1"/>
  <c r="L403" i="1"/>
  <c r="N403" i="1"/>
  <c r="P403" i="1"/>
  <c r="R403" i="1"/>
  <c r="T403" i="1"/>
  <c r="X403" i="1"/>
  <c r="G404" i="1"/>
  <c r="J404" i="1"/>
  <c r="L404" i="1"/>
  <c r="N404" i="1"/>
  <c r="P404" i="1"/>
  <c r="R404" i="1"/>
  <c r="T404" i="1"/>
  <c r="X404" i="1"/>
  <c r="G405" i="1"/>
  <c r="J405" i="1"/>
  <c r="L405" i="1"/>
  <c r="N405" i="1"/>
  <c r="P405" i="1"/>
  <c r="R405" i="1"/>
  <c r="T405" i="1"/>
  <c r="X405" i="1"/>
  <c r="G406" i="1"/>
  <c r="J406" i="1"/>
  <c r="L406" i="1"/>
  <c r="N406" i="1"/>
  <c r="P406" i="1"/>
  <c r="R406" i="1"/>
  <c r="T406" i="1"/>
  <c r="X406" i="1"/>
  <c r="G407" i="1"/>
  <c r="J407" i="1"/>
  <c r="L407" i="1"/>
  <c r="N407" i="1"/>
  <c r="P407" i="1"/>
  <c r="R407" i="1"/>
  <c r="T407" i="1"/>
  <c r="X407" i="1"/>
  <c r="G408" i="1"/>
  <c r="J408" i="1"/>
  <c r="L408" i="1"/>
  <c r="N408" i="1"/>
  <c r="P408" i="1"/>
  <c r="R408" i="1"/>
  <c r="T408" i="1"/>
  <c r="X408" i="1"/>
  <c r="G409" i="1"/>
  <c r="J409" i="1"/>
  <c r="L409" i="1"/>
  <c r="N409" i="1"/>
  <c r="P409" i="1"/>
  <c r="R409" i="1"/>
  <c r="T409" i="1"/>
  <c r="X409" i="1"/>
  <c r="G410" i="1"/>
  <c r="J410" i="1"/>
  <c r="L410" i="1"/>
  <c r="N410" i="1"/>
  <c r="P410" i="1"/>
  <c r="R410" i="1"/>
  <c r="T410" i="1"/>
  <c r="X410" i="1"/>
  <c r="G411" i="1"/>
  <c r="J411" i="1"/>
  <c r="L411" i="1"/>
  <c r="N411" i="1"/>
  <c r="P411" i="1"/>
  <c r="R411" i="1"/>
  <c r="T411" i="1"/>
  <c r="X411" i="1"/>
  <c r="G412" i="1"/>
  <c r="J412" i="1"/>
  <c r="L412" i="1"/>
  <c r="N412" i="1"/>
  <c r="P412" i="1"/>
  <c r="R412" i="1"/>
  <c r="T412" i="1"/>
  <c r="X412" i="1"/>
  <c r="G413" i="1"/>
  <c r="J413" i="1"/>
  <c r="L413" i="1"/>
  <c r="N413" i="1"/>
  <c r="P413" i="1"/>
  <c r="R413" i="1"/>
  <c r="T413" i="1"/>
  <c r="X413" i="1"/>
  <c r="G414" i="1"/>
  <c r="J414" i="1"/>
  <c r="L414" i="1"/>
  <c r="N414" i="1"/>
  <c r="P414" i="1"/>
  <c r="R414" i="1"/>
  <c r="T414" i="1"/>
  <c r="X414" i="1"/>
  <c r="G415" i="1"/>
  <c r="J415" i="1"/>
  <c r="L415" i="1"/>
  <c r="N415" i="1"/>
  <c r="P415" i="1"/>
  <c r="R415" i="1"/>
  <c r="T415" i="1"/>
  <c r="X415" i="1"/>
  <c r="G416" i="1"/>
  <c r="J416" i="1"/>
  <c r="L416" i="1"/>
  <c r="N416" i="1"/>
  <c r="P416" i="1"/>
  <c r="R416" i="1"/>
  <c r="T416" i="1"/>
  <c r="X416" i="1"/>
  <c r="G417" i="1"/>
  <c r="J417" i="1"/>
  <c r="L417" i="1"/>
  <c r="N417" i="1"/>
  <c r="P417" i="1"/>
  <c r="R417" i="1"/>
  <c r="T417" i="1"/>
  <c r="X417" i="1"/>
  <c r="G418" i="1"/>
  <c r="J418" i="1"/>
  <c r="L418" i="1"/>
  <c r="N418" i="1"/>
  <c r="P418" i="1"/>
  <c r="R418" i="1"/>
  <c r="T418" i="1"/>
  <c r="X418" i="1"/>
  <c r="G419" i="1"/>
  <c r="J419" i="1"/>
  <c r="L419" i="1"/>
  <c r="N419" i="1"/>
  <c r="P419" i="1"/>
  <c r="R419" i="1"/>
  <c r="T419" i="1"/>
  <c r="X419" i="1"/>
  <c r="G420" i="1"/>
  <c r="J420" i="1"/>
  <c r="L420" i="1"/>
  <c r="N420" i="1"/>
  <c r="P420" i="1"/>
  <c r="R420" i="1"/>
  <c r="T420" i="1"/>
  <c r="X420" i="1"/>
  <c r="G421" i="1"/>
  <c r="J421" i="1"/>
  <c r="L421" i="1"/>
  <c r="N421" i="1"/>
  <c r="P421" i="1"/>
  <c r="R421" i="1"/>
  <c r="T421" i="1"/>
  <c r="X421" i="1"/>
  <c r="G422" i="1"/>
  <c r="J422" i="1"/>
  <c r="L422" i="1"/>
  <c r="N422" i="1"/>
  <c r="P422" i="1"/>
  <c r="R422" i="1"/>
  <c r="T422" i="1"/>
  <c r="X422" i="1"/>
  <c r="G423" i="1"/>
  <c r="J423" i="1"/>
  <c r="L423" i="1"/>
  <c r="N423" i="1"/>
  <c r="P423" i="1"/>
  <c r="R423" i="1"/>
  <c r="T423" i="1"/>
  <c r="X423" i="1"/>
  <c r="G424" i="1"/>
  <c r="J424" i="1"/>
  <c r="L424" i="1"/>
  <c r="N424" i="1"/>
  <c r="P424" i="1"/>
  <c r="R424" i="1"/>
  <c r="T424" i="1"/>
  <c r="X424" i="1"/>
  <c r="G425" i="1"/>
  <c r="J425" i="1"/>
  <c r="L425" i="1"/>
  <c r="N425" i="1"/>
  <c r="P425" i="1"/>
  <c r="R425" i="1"/>
  <c r="T425" i="1"/>
  <c r="X425" i="1"/>
  <c r="G426" i="1"/>
  <c r="J426" i="1"/>
  <c r="L426" i="1"/>
  <c r="N426" i="1"/>
  <c r="P426" i="1"/>
  <c r="R426" i="1"/>
  <c r="T426" i="1"/>
  <c r="X426" i="1"/>
  <c r="G427" i="1"/>
  <c r="J427" i="1"/>
  <c r="L427" i="1"/>
  <c r="N427" i="1"/>
  <c r="P427" i="1"/>
  <c r="R427" i="1"/>
  <c r="T427" i="1"/>
  <c r="X427" i="1"/>
  <c r="G428" i="1"/>
  <c r="J428" i="1"/>
  <c r="L428" i="1"/>
  <c r="N428" i="1"/>
  <c r="P428" i="1"/>
  <c r="R428" i="1"/>
  <c r="T428" i="1"/>
  <c r="X428" i="1"/>
  <c r="G429" i="1"/>
  <c r="J429" i="1"/>
  <c r="L429" i="1"/>
  <c r="N429" i="1"/>
  <c r="P429" i="1"/>
  <c r="R429" i="1"/>
  <c r="T429" i="1"/>
  <c r="X429" i="1"/>
  <c r="G430" i="1"/>
  <c r="J430" i="1"/>
  <c r="L430" i="1"/>
  <c r="N430" i="1"/>
  <c r="P430" i="1"/>
  <c r="R430" i="1"/>
  <c r="T430" i="1"/>
  <c r="X430" i="1"/>
  <c r="G431" i="1"/>
  <c r="J431" i="1"/>
  <c r="L431" i="1"/>
  <c r="N431" i="1"/>
  <c r="P431" i="1"/>
  <c r="R431" i="1"/>
  <c r="T431" i="1"/>
  <c r="X431" i="1"/>
  <c r="G432" i="1"/>
  <c r="J432" i="1"/>
  <c r="L432" i="1"/>
  <c r="N432" i="1"/>
  <c r="P432" i="1"/>
  <c r="R432" i="1"/>
  <c r="T432" i="1"/>
  <c r="X432" i="1"/>
  <c r="G433" i="1"/>
  <c r="J433" i="1"/>
  <c r="L433" i="1"/>
  <c r="N433" i="1"/>
  <c r="P433" i="1"/>
  <c r="R433" i="1"/>
  <c r="T433" i="1"/>
  <c r="X433" i="1"/>
  <c r="G434" i="1"/>
  <c r="J434" i="1"/>
  <c r="L434" i="1"/>
  <c r="N434" i="1"/>
  <c r="P434" i="1"/>
  <c r="R434" i="1"/>
  <c r="T434" i="1"/>
  <c r="X434" i="1"/>
  <c r="G435" i="1"/>
  <c r="J435" i="1"/>
  <c r="L435" i="1"/>
  <c r="N435" i="1"/>
  <c r="P435" i="1"/>
  <c r="R435" i="1"/>
  <c r="T435" i="1"/>
  <c r="X435" i="1"/>
  <c r="G436" i="1"/>
  <c r="J436" i="1"/>
  <c r="L436" i="1"/>
  <c r="N436" i="1"/>
  <c r="P436" i="1"/>
  <c r="R436" i="1"/>
  <c r="T436" i="1"/>
  <c r="X436" i="1"/>
  <c r="G437" i="1"/>
  <c r="J437" i="1"/>
  <c r="L437" i="1"/>
  <c r="N437" i="1"/>
  <c r="P437" i="1"/>
  <c r="R437" i="1"/>
  <c r="T437" i="1"/>
  <c r="X437" i="1"/>
  <c r="G438" i="1"/>
  <c r="J438" i="1"/>
  <c r="L438" i="1"/>
  <c r="N438" i="1"/>
  <c r="P438" i="1"/>
  <c r="R438" i="1"/>
  <c r="T438" i="1"/>
  <c r="X438" i="1"/>
  <c r="G439" i="1"/>
  <c r="J439" i="1"/>
  <c r="L439" i="1"/>
  <c r="N439" i="1"/>
  <c r="P439" i="1"/>
  <c r="R439" i="1"/>
  <c r="T439" i="1"/>
  <c r="X439" i="1"/>
  <c r="G440" i="1"/>
  <c r="J440" i="1"/>
  <c r="L440" i="1"/>
  <c r="N440" i="1"/>
  <c r="P440" i="1"/>
  <c r="R440" i="1"/>
  <c r="T440" i="1"/>
  <c r="X440" i="1"/>
  <c r="G441" i="1"/>
  <c r="J441" i="1"/>
  <c r="L441" i="1"/>
  <c r="N441" i="1"/>
  <c r="P441" i="1"/>
  <c r="R441" i="1"/>
  <c r="T441" i="1"/>
  <c r="X441" i="1"/>
  <c r="G442" i="1"/>
  <c r="J442" i="1"/>
  <c r="L442" i="1"/>
  <c r="N442" i="1"/>
  <c r="P442" i="1"/>
  <c r="R442" i="1"/>
  <c r="T442" i="1"/>
  <c r="X442" i="1"/>
  <c r="G443" i="1"/>
  <c r="J443" i="1"/>
  <c r="L443" i="1"/>
  <c r="N443" i="1"/>
  <c r="P443" i="1"/>
  <c r="R443" i="1"/>
  <c r="T443" i="1"/>
  <c r="X443" i="1"/>
  <c r="G444" i="1"/>
  <c r="J444" i="1"/>
  <c r="L444" i="1"/>
  <c r="N444" i="1"/>
  <c r="P444" i="1"/>
  <c r="R444" i="1"/>
  <c r="T444" i="1"/>
  <c r="X444" i="1"/>
  <c r="G445" i="1"/>
  <c r="J445" i="1"/>
  <c r="L445" i="1"/>
  <c r="N445" i="1"/>
  <c r="P445" i="1"/>
  <c r="R445" i="1"/>
  <c r="T445" i="1"/>
  <c r="X445" i="1"/>
  <c r="G446" i="1"/>
  <c r="J446" i="1"/>
  <c r="L446" i="1"/>
  <c r="N446" i="1"/>
  <c r="P446" i="1"/>
  <c r="R446" i="1"/>
  <c r="T446" i="1"/>
  <c r="X446" i="1"/>
  <c r="G447" i="1"/>
  <c r="J447" i="1"/>
  <c r="L447" i="1"/>
  <c r="N447" i="1"/>
  <c r="P447" i="1"/>
  <c r="R447" i="1"/>
  <c r="T447" i="1"/>
  <c r="X447" i="1"/>
  <c r="G448" i="1"/>
  <c r="J448" i="1"/>
  <c r="L448" i="1"/>
  <c r="N448" i="1"/>
  <c r="P448" i="1"/>
  <c r="R448" i="1"/>
  <c r="T448" i="1"/>
  <c r="X448" i="1"/>
  <c r="G449" i="1"/>
  <c r="J449" i="1"/>
  <c r="L449" i="1"/>
  <c r="N449" i="1"/>
  <c r="P449" i="1"/>
  <c r="R449" i="1"/>
  <c r="T449" i="1"/>
  <c r="X449" i="1"/>
  <c r="G450" i="1"/>
  <c r="J450" i="1"/>
  <c r="L450" i="1"/>
  <c r="N450" i="1"/>
  <c r="P450" i="1"/>
  <c r="R450" i="1"/>
  <c r="T450" i="1"/>
  <c r="X450" i="1"/>
  <c r="G451" i="1"/>
  <c r="J451" i="1"/>
  <c r="L451" i="1"/>
  <c r="N451" i="1"/>
  <c r="P451" i="1"/>
  <c r="R451" i="1"/>
  <c r="T451" i="1"/>
  <c r="X451" i="1"/>
  <c r="G452" i="1"/>
  <c r="J452" i="1"/>
  <c r="L452" i="1"/>
  <c r="N452" i="1"/>
  <c r="P452" i="1"/>
  <c r="R452" i="1"/>
  <c r="T452" i="1"/>
  <c r="X452" i="1"/>
  <c r="G453" i="1"/>
  <c r="J453" i="1"/>
  <c r="L453" i="1"/>
  <c r="N453" i="1"/>
  <c r="P453" i="1"/>
  <c r="R453" i="1"/>
  <c r="T453" i="1"/>
  <c r="X453" i="1"/>
  <c r="G454" i="1"/>
  <c r="J454" i="1"/>
  <c r="L454" i="1"/>
  <c r="N454" i="1"/>
  <c r="P454" i="1"/>
  <c r="R454" i="1"/>
  <c r="T454" i="1"/>
  <c r="X454" i="1"/>
  <c r="G455" i="1"/>
  <c r="J455" i="1"/>
  <c r="L455" i="1"/>
  <c r="N455" i="1"/>
  <c r="P455" i="1"/>
  <c r="R455" i="1"/>
  <c r="T455" i="1"/>
  <c r="X455" i="1"/>
  <c r="G456" i="1"/>
  <c r="J456" i="1"/>
  <c r="L456" i="1"/>
  <c r="N456" i="1"/>
  <c r="P456" i="1"/>
  <c r="R456" i="1"/>
  <c r="T456" i="1"/>
  <c r="X456" i="1"/>
  <c r="G457" i="1"/>
  <c r="J457" i="1"/>
  <c r="L457" i="1"/>
  <c r="N457" i="1"/>
  <c r="P457" i="1"/>
  <c r="R457" i="1"/>
  <c r="T457" i="1"/>
  <c r="X457" i="1"/>
  <c r="G458" i="1"/>
  <c r="J458" i="1"/>
  <c r="L458" i="1"/>
  <c r="N458" i="1"/>
  <c r="P458" i="1"/>
  <c r="R458" i="1"/>
  <c r="T458" i="1"/>
  <c r="X458" i="1"/>
  <c r="G459" i="1"/>
  <c r="J459" i="1"/>
  <c r="L459" i="1"/>
  <c r="N459" i="1"/>
  <c r="P459" i="1"/>
  <c r="R459" i="1"/>
  <c r="T459" i="1"/>
  <c r="X459" i="1"/>
  <c r="G460" i="1"/>
  <c r="J460" i="1"/>
  <c r="L460" i="1"/>
  <c r="N460" i="1"/>
  <c r="P460" i="1"/>
  <c r="R460" i="1"/>
  <c r="T460" i="1"/>
  <c r="X460" i="1"/>
  <c r="G461" i="1"/>
  <c r="J461" i="1"/>
  <c r="L461" i="1"/>
  <c r="N461" i="1"/>
  <c r="P461" i="1"/>
  <c r="R461" i="1"/>
  <c r="T461" i="1"/>
  <c r="X461" i="1"/>
  <c r="G462" i="1"/>
  <c r="J462" i="1"/>
  <c r="L462" i="1"/>
  <c r="N462" i="1"/>
  <c r="P462" i="1"/>
  <c r="R462" i="1"/>
  <c r="T462" i="1"/>
  <c r="X462" i="1"/>
  <c r="G463" i="1"/>
  <c r="J463" i="1"/>
  <c r="L463" i="1"/>
  <c r="N463" i="1"/>
  <c r="P463" i="1"/>
  <c r="R463" i="1"/>
  <c r="T463" i="1"/>
  <c r="X463" i="1"/>
  <c r="G464" i="1"/>
  <c r="J464" i="1"/>
  <c r="L464" i="1"/>
  <c r="N464" i="1"/>
  <c r="P464" i="1"/>
  <c r="R464" i="1"/>
  <c r="T464" i="1"/>
  <c r="X464" i="1"/>
  <c r="G465" i="1"/>
  <c r="J465" i="1"/>
  <c r="L465" i="1"/>
  <c r="N465" i="1"/>
  <c r="P465" i="1"/>
  <c r="R465" i="1"/>
  <c r="T465" i="1"/>
  <c r="X465" i="1"/>
  <c r="G466" i="1"/>
  <c r="J466" i="1"/>
  <c r="L466" i="1"/>
  <c r="N466" i="1"/>
  <c r="P466" i="1"/>
  <c r="R466" i="1"/>
  <c r="T466" i="1"/>
  <c r="X466" i="1"/>
  <c r="G467" i="1"/>
  <c r="J467" i="1"/>
  <c r="L467" i="1"/>
  <c r="N467" i="1"/>
  <c r="P467" i="1"/>
  <c r="R467" i="1"/>
  <c r="T467" i="1"/>
  <c r="X467" i="1"/>
  <c r="G468" i="1"/>
  <c r="J468" i="1"/>
  <c r="L468" i="1"/>
  <c r="N468" i="1"/>
  <c r="P468" i="1"/>
  <c r="R468" i="1"/>
  <c r="T468" i="1"/>
  <c r="X468" i="1"/>
  <c r="G469" i="1"/>
  <c r="J469" i="1"/>
  <c r="L469" i="1"/>
  <c r="N469" i="1"/>
  <c r="P469" i="1"/>
  <c r="R469" i="1"/>
  <c r="T469" i="1"/>
  <c r="X469" i="1"/>
  <c r="G470" i="1"/>
  <c r="J470" i="1"/>
  <c r="L470" i="1"/>
  <c r="N470" i="1"/>
  <c r="P470" i="1"/>
  <c r="R470" i="1"/>
  <c r="T470" i="1"/>
  <c r="X470" i="1"/>
  <c r="G471" i="1"/>
  <c r="J471" i="1"/>
  <c r="L471" i="1"/>
  <c r="N471" i="1"/>
  <c r="P471" i="1"/>
  <c r="R471" i="1"/>
  <c r="T471" i="1"/>
  <c r="X471" i="1"/>
  <c r="G472" i="1"/>
  <c r="J472" i="1"/>
  <c r="L472" i="1"/>
  <c r="N472" i="1"/>
  <c r="P472" i="1"/>
  <c r="R472" i="1"/>
  <c r="T472" i="1"/>
  <c r="X472" i="1"/>
  <c r="G473" i="1"/>
  <c r="J473" i="1"/>
  <c r="L473" i="1"/>
  <c r="N473" i="1"/>
  <c r="P473" i="1"/>
  <c r="R473" i="1"/>
  <c r="T473" i="1"/>
  <c r="X473" i="1"/>
  <c r="G474" i="1"/>
  <c r="J474" i="1"/>
  <c r="L474" i="1"/>
  <c r="N474" i="1"/>
  <c r="P474" i="1"/>
  <c r="R474" i="1"/>
  <c r="T474" i="1"/>
  <c r="X474" i="1"/>
  <c r="G475" i="1"/>
  <c r="J475" i="1"/>
  <c r="L475" i="1"/>
  <c r="N475" i="1"/>
  <c r="P475" i="1"/>
  <c r="R475" i="1"/>
  <c r="T475" i="1"/>
  <c r="X475" i="1"/>
  <c r="G476" i="1"/>
  <c r="J476" i="1"/>
  <c r="L476" i="1"/>
  <c r="N476" i="1"/>
  <c r="P476" i="1"/>
  <c r="R476" i="1"/>
  <c r="T476" i="1"/>
  <c r="X476" i="1"/>
  <c r="G477" i="1"/>
  <c r="J477" i="1"/>
  <c r="L477" i="1"/>
  <c r="N477" i="1"/>
  <c r="P477" i="1"/>
  <c r="R477" i="1"/>
  <c r="T477" i="1"/>
  <c r="X477" i="1"/>
  <c r="G478" i="1"/>
  <c r="J478" i="1"/>
  <c r="L478" i="1"/>
  <c r="N478" i="1"/>
  <c r="P478" i="1"/>
  <c r="R478" i="1"/>
  <c r="T478" i="1"/>
  <c r="X478" i="1"/>
  <c r="G479" i="1"/>
  <c r="J479" i="1"/>
  <c r="L479" i="1"/>
  <c r="N479" i="1"/>
  <c r="P479" i="1"/>
  <c r="R479" i="1"/>
  <c r="T479" i="1"/>
  <c r="X479" i="1"/>
  <c r="G480" i="1"/>
  <c r="J480" i="1"/>
  <c r="L480" i="1"/>
  <c r="N480" i="1"/>
  <c r="P480" i="1"/>
  <c r="R480" i="1"/>
  <c r="T480" i="1"/>
  <c r="X480" i="1"/>
  <c r="G481" i="1"/>
  <c r="J481" i="1"/>
  <c r="L481" i="1"/>
  <c r="N481" i="1"/>
  <c r="P481" i="1"/>
  <c r="R481" i="1"/>
  <c r="T481" i="1"/>
  <c r="X481" i="1"/>
  <c r="G482" i="1"/>
  <c r="J482" i="1"/>
  <c r="L482" i="1"/>
  <c r="N482" i="1"/>
  <c r="P482" i="1"/>
  <c r="R482" i="1"/>
  <c r="T482" i="1"/>
  <c r="X482" i="1"/>
  <c r="G483" i="1"/>
  <c r="J483" i="1"/>
  <c r="L483" i="1"/>
  <c r="N483" i="1"/>
  <c r="P483" i="1"/>
  <c r="R483" i="1"/>
  <c r="T483" i="1"/>
  <c r="X483" i="1"/>
  <c r="G484" i="1"/>
  <c r="J484" i="1"/>
  <c r="L484" i="1"/>
  <c r="N484" i="1"/>
  <c r="P484" i="1"/>
  <c r="R484" i="1"/>
  <c r="T484" i="1"/>
  <c r="X484" i="1"/>
  <c r="G485" i="1"/>
  <c r="J485" i="1"/>
  <c r="L485" i="1"/>
  <c r="N485" i="1"/>
  <c r="P485" i="1"/>
  <c r="R485" i="1"/>
  <c r="T485" i="1"/>
  <c r="X485" i="1"/>
  <c r="G486" i="1"/>
  <c r="J486" i="1"/>
  <c r="L486" i="1"/>
  <c r="N486" i="1"/>
  <c r="P486" i="1"/>
  <c r="R486" i="1"/>
  <c r="T486" i="1"/>
  <c r="X486" i="1"/>
  <c r="G487" i="1"/>
  <c r="J487" i="1"/>
  <c r="L487" i="1"/>
  <c r="N487" i="1"/>
  <c r="P487" i="1"/>
  <c r="R487" i="1"/>
  <c r="T487" i="1"/>
  <c r="X487" i="1"/>
  <c r="G488" i="1"/>
  <c r="J488" i="1"/>
  <c r="L488" i="1"/>
  <c r="N488" i="1"/>
  <c r="P488" i="1"/>
  <c r="R488" i="1"/>
  <c r="T488" i="1"/>
  <c r="X488" i="1"/>
  <c r="G489" i="1"/>
  <c r="J489" i="1"/>
  <c r="L489" i="1"/>
  <c r="N489" i="1"/>
  <c r="P489" i="1"/>
  <c r="R489" i="1"/>
  <c r="T489" i="1"/>
  <c r="X489" i="1"/>
  <c r="G490" i="1"/>
  <c r="J490" i="1"/>
  <c r="L490" i="1"/>
  <c r="N490" i="1"/>
  <c r="P490" i="1"/>
  <c r="R490" i="1"/>
  <c r="T490" i="1"/>
  <c r="X490" i="1"/>
  <c r="G491" i="1"/>
  <c r="J491" i="1"/>
  <c r="L491" i="1"/>
  <c r="N491" i="1"/>
  <c r="P491" i="1"/>
  <c r="R491" i="1"/>
  <c r="T491" i="1"/>
  <c r="X491" i="1"/>
  <c r="G492" i="1"/>
  <c r="J492" i="1"/>
  <c r="L492" i="1"/>
  <c r="N492" i="1"/>
  <c r="P492" i="1"/>
  <c r="R492" i="1"/>
  <c r="T492" i="1"/>
  <c r="X492" i="1"/>
  <c r="G493" i="1"/>
  <c r="J493" i="1"/>
  <c r="L493" i="1"/>
  <c r="N493" i="1"/>
  <c r="P493" i="1"/>
  <c r="R493" i="1"/>
  <c r="T493" i="1"/>
  <c r="X493" i="1"/>
  <c r="G494" i="1"/>
  <c r="J494" i="1"/>
  <c r="L494" i="1"/>
  <c r="N494" i="1"/>
  <c r="P494" i="1"/>
  <c r="R494" i="1"/>
  <c r="T494" i="1"/>
  <c r="X494" i="1"/>
  <c r="G495" i="1"/>
  <c r="J495" i="1"/>
  <c r="L495" i="1"/>
  <c r="N495" i="1"/>
  <c r="P495" i="1"/>
  <c r="R495" i="1"/>
  <c r="T495" i="1"/>
  <c r="X495" i="1"/>
  <c r="G496" i="1"/>
  <c r="J496" i="1"/>
  <c r="L496" i="1"/>
  <c r="N496" i="1"/>
  <c r="P496" i="1"/>
  <c r="R496" i="1"/>
  <c r="T496" i="1"/>
  <c r="X496" i="1"/>
  <c r="G497" i="1"/>
  <c r="J497" i="1"/>
  <c r="L497" i="1"/>
  <c r="N497" i="1"/>
  <c r="P497" i="1"/>
  <c r="R497" i="1"/>
  <c r="T497" i="1"/>
  <c r="X497" i="1"/>
  <c r="G498" i="1"/>
  <c r="J498" i="1"/>
  <c r="L498" i="1"/>
  <c r="N498" i="1"/>
  <c r="P498" i="1"/>
  <c r="R498" i="1"/>
  <c r="T498" i="1"/>
  <c r="X498" i="1"/>
  <c r="G499" i="1"/>
  <c r="J499" i="1"/>
  <c r="L499" i="1"/>
  <c r="N499" i="1"/>
  <c r="P499" i="1"/>
  <c r="R499" i="1"/>
  <c r="T499" i="1"/>
  <c r="X499" i="1"/>
  <c r="G500" i="1"/>
  <c r="J500" i="1"/>
  <c r="L500" i="1"/>
  <c r="N500" i="1"/>
  <c r="P500" i="1"/>
  <c r="R500" i="1"/>
  <c r="T500" i="1"/>
  <c r="X500" i="1"/>
  <c r="G501" i="1"/>
  <c r="J501" i="1"/>
  <c r="L501" i="1"/>
  <c r="N501" i="1"/>
  <c r="P501" i="1"/>
  <c r="R501" i="1"/>
  <c r="T501" i="1"/>
  <c r="X501" i="1"/>
  <c r="G502" i="1"/>
  <c r="J502" i="1"/>
  <c r="L502" i="1"/>
  <c r="N502" i="1"/>
  <c r="P502" i="1"/>
  <c r="R502" i="1"/>
  <c r="T502" i="1"/>
  <c r="X502" i="1"/>
  <c r="G503" i="1"/>
  <c r="J503" i="1"/>
  <c r="L503" i="1"/>
  <c r="N503" i="1"/>
  <c r="P503" i="1"/>
  <c r="R503" i="1"/>
  <c r="T503" i="1"/>
  <c r="X503" i="1"/>
  <c r="G504" i="1"/>
  <c r="J504" i="1"/>
  <c r="L504" i="1"/>
  <c r="N504" i="1"/>
  <c r="P504" i="1"/>
  <c r="R504" i="1"/>
  <c r="T504" i="1"/>
  <c r="X504" i="1"/>
  <c r="G505" i="1"/>
  <c r="J505" i="1"/>
  <c r="L505" i="1"/>
  <c r="N505" i="1"/>
  <c r="P505" i="1"/>
  <c r="R505" i="1"/>
  <c r="T505" i="1"/>
  <c r="X505" i="1"/>
  <c r="G506" i="1"/>
  <c r="J506" i="1"/>
  <c r="L506" i="1"/>
  <c r="N506" i="1"/>
  <c r="P506" i="1"/>
  <c r="R506" i="1"/>
  <c r="T506" i="1"/>
  <c r="X506" i="1"/>
  <c r="G507" i="1"/>
  <c r="J507" i="1"/>
  <c r="L507" i="1"/>
  <c r="N507" i="1"/>
  <c r="P507" i="1"/>
  <c r="R507" i="1"/>
  <c r="T507" i="1"/>
  <c r="X507" i="1"/>
  <c r="G508" i="1"/>
  <c r="J508" i="1"/>
  <c r="L508" i="1"/>
  <c r="N508" i="1"/>
  <c r="P508" i="1"/>
  <c r="R508" i="1"/>
  <c r="T508" i="1"/>
  <c r="X508" i="1"/>
  <c r="G509" i="1"/>
  <c r="J509" i="1"/>
  <c r="L509" i="1"/>
  <c r="N509" i="1"/>
  <c r="P509" i="1"/>
  <c r="R509" i="1"/>
  <c r="T509" i="1"/>
  <c r="X509" i="1"/>
  <c r="G510" i="1"/>
  <c r="J510" i="1"/>
  <c r="L510" i="1"/>
  <c r="N510" i="1"/>
  <c r="P510" i="1"/>
  <c r="R510" i="1"/>
  <c r="T510" i="1"/>
  <c r="X510" i="1"/>
  <c r="G511" i="1"/>
  <c r="J511" i="1"/>
  <c r="L511" i="1"/>
  <c r="N511" i="1"/>
  <c r="P511" i="1"/>
  <c r="R511" i="1"/>
  <c r="T511" i="1"/>
  <c r="X511" i="1"/>
  <c r="G512" i="1"/>
  <c r="J512" i="1"/>
  <c r="L512" i="1"/>
  <c r="N512" i="1"/>
  <c r="P512" i="1"/>
  <c r="R512" i="1"/>
  <c r="T512" i="1"/>
  <c r="X512" i="1"/>
  <c r="G513" i="1"/>
  <c r="J513" i="1"/>
  <c r="L513" i="1"/>
  <c r="N513" i="1"/>
  <c r="P513" i="1"/>
  <c r="R513" i="1"/>
  <c r="T513" i="1"/>
  <c r="X513" i="1"/>
  <c r="G514" i="1"/>
  <c r="J514" i="1"/>
  <c r="L514" i="1"/>
  <c r="N514" i="1"/>
  <c r="P514" i="1"/>
  <c r="R514" i="1"/>
  <c r="T514" i="1"/>
  <c r="X514" i="1"/>
  <c r="G515" i="1"/>
  <c r="J515" i="1"/>
  <c r="L515" i="1"/>
  <c r="N515" i="1"/>
  <c r="P515" i="1"/>
  <c r="R515" i="1"/>
  <c r="T515" i="1"/>
  <c r="X515" i="1"/>
  <c r="G516" i="1"/>
  <c r="J516" i="1"/>
  <c r="L516" i="1"/>
  <c r="N516" i="1"/>
  <c r="P516" i="1"/>
  <c r="R516" i="1"/>
  <c r="T516" i="1"/>
  <c r="X516" i="1"/>
  <c r="G517" i="1"/>
  <c r="J517" i="1"/>
  <c r="L517" i="1"/>
  <c r="N517" i="1"/>
  <c r="P517" i="1"/>
  <c r="R517" i="1"/>
  <c r="T517" i="1"/>
  <c r="X517" i="1"/>
  <c r="G518" i="1"/>
  <c r="J518" i="1"/>
  <c r="L518" i="1"/>
  <c r="N518" i="1"/>
  <c r="P518" i="1"/>
  <c r="R518" i="1"/>
  <c r="T518" i="1"/>
  <c r="X518" i="1"/>
  <c r="G519" i="1"/>
  <c r="J519" i="1"/>
  <c r="L519" i="1"/>
  <c r="N519" i="1"/>
  <c r="P519" i="1"/>
  <c r="R519" i="1"/>
  <c r="T519" i="1"/>
  <c r="X519" i="1"/>
  <c r="G520" i="1"/>
  <c r="J520" i="1"/>
  <c r="L520" i="1"/>
  <c r="N520" i="1"/>
  <c r="P520" i="1"/>
  <c r="R520" i="1"/>
  <c r="T520" i="1"/>
  <c r="X520" i="1"/>
  <c r="G521" i="1"/>
  <c r="J521" i="1"/>
  <c r="L521" i="1"/>
  <c r="N521" i="1"/>
  <c r="P521" i="1"/>
  <c r="R521" i="1"/>
  <c r="T521" i="1"/>
  <c r="X521" i="1"/>
  <c r="G522" i="1"/>
  <c r="J522" i="1"/>
  <c r="L522" i="1"/>
  <c r="N522" i="1"/>
  <c r="P522" i="1"/>
  <c r="R522" i="1"/>
  <c r="T522" i="1"/>
  <c r="X522" i="1"/>
  <c r="G523" i="1"/>
  <c r="J523" i="1"/>
  <c r="L523" i="1"/>
  <c r="N523" i="1"/>
  <c r="P523" i="1"/>
  <c r="R523" i="1"/>
  <c r="T523" i="1"/>
  <c r="X523" i="1"/>
  <c r="G524" i="1"/>
  <c r="J524" i="1"/>
  <c r="L524" i="1"/>
  <c r="N524" i="1"/>
  <c r="P524" i="1"/>
  <c r="R524" i="1"/>
  <c r="T524" i="1"/>
  <c r="X524" i="1"/>
  <c r="G525" i="1"/>
  <c r="J525" i="1"/>
  <c r="L525" i="1"/>
  <c r="N525" i="1"/>
  <c r="P525" i="1"/>
  <c r="R525" i="1"/>
  <c r="T525" i="1"/>
  <c r="X525" i="1"/>
  <c r="G526" i="1"/>
  <c r="J526" i="1"/>
  <c r="L526" i="1"/>
  <c r="N526" i="1"/>
  <c r="P526" i="1"/>
  <c r="R526" i="1"/>
  <c r="T526" i="1"/>
  <c r="X526" i="1"/>
  <c r="G527" i="1"/>
  <c r="J527" i="1"/>
  <c r="L527" i="1"/>
  <c r="N527" i="1"/>
  <c r="P527" i="1"/>
  <c r="R527" i="1"/>
  <c r="T527" i="1"/>
  <c r="X527" i="1"/>
  <c r="G528" i="1"/>
  <c r="J528" i="1"/>
  <c r="L528" i="1"/>
  <c r="N528" i="1"/>
  <c r="P528" i="1"/>
  <c r="R528" i="1"/>
  <c r="T528" i="1"/>
  <c r="X528" i="1"/>
  <c r="G529" i="1"/>
  <c r="J529" i="1"/>
  <c r="L529" i="1"/>
  <c r="N529" i="1"/>
  <c r="P529" i="1"/>
  <c r="R529" i="1"/>
  <c r="T529" i="1"/>
  <c r="X529" i="1"/>
  <c r="G530" i="1"/>
  <c r="J530" i="1"/>
  <c r="L530" i="1"/>
  <c r="N530" i="1"/>
  <c r="P530" i="1"/>
  <c r="R530" i="1"/>
  <c r="T530" i="1"/>
  <c r="X530" i="1"/>
  <c r="G531" i="1"/>
  <c r="J531" i="1"/>
  <c r="L531" i="1"/>
  <c r="N531" i="1"/>
  <c r="P531" i="1"/>
  <c r="R531" i="1"/>
  <c r="T531" i="1"/>
  <c r="X531" i="1"/>
  <c r="G532" i="1"/>
  <c r="J532" i="1"/>
  <c r="L532" i="1"/>
  <c r="N532" i="1"/>
  <c r="P532" i="1"/>
  <c r="R532" i="1"/>
  <c r="T532" i="1"/>
  <c r="X532" i="1"/>
  <c r="G533" i="1"/>
  <c r="J533" i="1"/>
  <c r="L533" i="1"/>
  <c r="N533" i="1"/>
  <c r="P533" i="1"/>
  <c r="R533" i="1"/>
  <c r="T533" i="1"/>
  <c r="X533" i="1"/>
  <c r="G534" i="1"/>
  <c r="J534" i="1"/>
  <c r="L534" i="1"/>
  <c r="N534" i="1"/>
  <c r="P534" i="1"/>
  <c r="R534" i="1"/>
  <c r="T534" i="1"/>
  <c r="X534" i="1"/>
  <c r="G535" i="1"/>
  <c r="J535" i="1"/>
  <c r="L535" i="1"/>
  <c r="N535" i="1"/>
  <c r="P535" i="1"/>
  <c r="R535" i="1"/>
  <c r="T535" i="1"/>
  <c r="X535" i="1"/>
  <c r="G536" i="1"/>
  <c r="J536" i="1"/>
  <c r="L536" i="1"/>
  <c r="N536" i="1"/>
  <c r="P536" i="1"/>
  <c r="R536" i="1"/>
  <c r="T536" i="1"/>
  <c r="X536" i="1"/>
  <c r="G537" i="1"/>
  <c r="J537" i="1"/>
  <c r="L537" i="1"/>
  <c r="N537" i="1"/>
  <c r="P537" i="1"/>
  <c r="R537" i="1"/>
  <c r="T537" i="1"/>
  <c r="X537" i="1"/>
  <c r="G538" i="1"/>
  <c r="J538" i="1"/>
  <c r="L538" i="1"/>
  <c r="N538" i="1"/>
  <c r="P538" i="1"/>
  <c r="R538" i="1"/>
  <c r="T538" i="1"/>
  <c r="X538" i="1"/>
  <c r="G539" i="1"/>
  <c r="J539" i="1"/>
  <c r="L539" i="1"/>
  <c r="N539" i="1"/>
  <c r="P539" i="1"/>
  <c r="R539" i="1"/>
  <c r="T539" i="1"/>
  <c r="X539" i="1"/>
  <c r="G540" i="1"/>
  <c r="J540" i="1"/>
  <c r="L540" i="1"/>
  <c r="N540" i="1"/>
  <c r="P540" i="1"/>
  <c r="R540" i="1"/>
  <c r="T540" i="1"/>
  <c r="X540" i="1"/>
  <c r="G541" i="1"/>
  <c r="J541" i="1"/>
  <c r="L541" i="1"/>
  <c r="N541" i="1"/>
  <c r="P541" i="1"/>
  <c r="R541" i="1"/>
  <c r="T541" i="1"/>
  <c r="X541" i="1"/>
  <c r="G542" i="1"/>
  <c r="J542" i="1"/>
  <c r="L542" i="1"/>
  <c r="N542" i="1"/>
  <c r="P542" i="1"/>
  <c r="R542" i="1"/>
  <c r="T542" i="1"/>
  <c r="X542" i="1"/>
  <c r="G543" i="1"/>
  <c r="J543" i="1"/>
  <c r="L543" i="1"/>
  <c r="N543" i="1"/>
  <c r="P543" i="1"/>
  <c r="R543" i="1"/>
  <c r="T543" i="1"/>
  <c r="X543" i="1"/>
  <c r="G544" i="1"/>
  <c r="J544" i="1"/>
  <c r="L544" i="1"/>
  <c r="N544" i="1"/>
  <c r="P544" i="1"/>
  <c r="R544" i="1"/>
  <c r="T544" i="1"/>
  <c r="X544" i="1"/>
  <c r="G545" i="1"/>
  <c r="J545" i="1"/>
  <c r="L545" i="1"/>
  <c r="N545" i="1"/>
  <c r="P545" i="1"/>
  <c r="R545" i="1"/>
  <c r="T545" i="1"/>
  <c r="X545" i="1"/>
  <c r="G546" i="1"/>
  <c r="J546" i="1"/>
  <c r="L546" i="1"/>
  <c r="N546" i="1"/>
  <c r="P546" i="1"/>
  <c r="R546" i="1"/>
  <c r="T546" i="1"/>
  <c r="X546" i="1"/>
  <c r="G547" i="1"/>
  <c r="J547" i="1"/>
  <c r="L547" i="1"/>
  <c r="N547" i="1"/>
  <c r="P547" i="1"/>
  <c r="R547" i="1"/>
  <c r="T547" i="1"/>
  <c r="X547" i="1"/>
  <c r="G548" i="1"/>
  <c r="J548" i="1"/>
  <c r="L548" i="1"/>
  <c r="N548" i="1"/>
  <c r="P548" i="1"/>
  <c r="R548" i="1"/>
  <c r="T548" i="1"/>
  <c r="X548" i="1"/>
  <c r="G549" i="1"/>
  <c r="J549" i="1"/>
  <c r="L549" i="1"/>
  <c r="N549" i="1"/>
  <c r="P549" i="1"/>
  <c r="R549" i="1"/>
  <c r="T549" i="1"/>
  <c r="X549" i="1"/>
  <c r="G550" i="1"/>
  <c r="J550" i="1"/>
  <c r="L550" i="1"/>
  <c r="N550" i="1"/>
  <c r="P550" i="1"/>
  <c r="R550" i="1"/>
  <c r="T550" i="1"/>
  <c r="X550" i="1"/>
  <c r="G551" i="1"/>
  <c r="J551" i="1"/>
  <c r="L551" i="1"/>
  <c r="N551" i="1"/>
  <c r="P551" i="1"/>
  <c r="R551" i="1"/>
  <c r="T551" i="1"/>
  <c r="X551" i="1"/>
  <c r="G552" i="1"/>
  <c r="J552" i="1"/>
  <c r="L552" i="1"/>
  <c r="N552" i="1"/>
  <c r="P552" i="1"/>
  <c r="R552" i="1"/>
  <c r="T552" i="1"/>
  <c r="X552" i="1"/>
  <c r="G553" i="1"/>
  <c r="J553" i="1"/>
  <c r="L553" i="1"/>
  <c r="N553" i="1"/>
  <c r="P553" i="1"/>
  <c r="R553" i="1"/>
  <c r="T553" i="1"/>
  <c r="X553" i="1"/>
  <c r="G554" i="1"/>
  <c r="J554" i="1"/>
  <c r="L554" i="1"/>
  <c r="N554" i="1"/>
  <c r="P554" i="1"/>
  <c r="R554" i="1"/>
  <c r="T554" i="1"/>
  <c r="X554" i="1"/>
  <c r="G555" i="1"/>
  <c r="J555" i="1"/>
  <c r="L555" i="1"/>
  <c r="N555" i="1"/>
  <c r="P555" i="1"/>
  <c r="R555" i="1"/>
  <c r="T555" i="1"/>
  <c r="X555" i="1"/>
  <c r="G556" i="1"/>
  <c r="J556" i="1"/>
  <c r="L556" i="1"/>
  <c r="N556" i="1"/>
  <c r="P556" i="1"/>
  <c r="R556" i="1"/>
  <c r="T556" i="1"/>
  <c r="X556" i="1"/>
  <c r="G557" i="1"/>
  <c r="J557" i="1"/>
  <c r="L557" i="1"/>
  <c r="N557" i="1"/>
  <c r="P557" i="1"/>
  <c r="R557" i="1"/>
  <c r="T557" i="1"/>
  <c r="X557" i="1"/>
  <c r="G558" i="1"/>
  <c r="J558" i="1"/>
  <c r="L558" i="1"/>
  <c r="N558" i="1"/>
  <c r="P558" i="1"/>
  <c r="R558" i="1"/>
  <c r="T558" i="1"/>
  <c r="X558" i="1"/>
  <c r="G559" i="1"/>
  <c r="J559" i="1"/>
  <c r="L559" i="1"/>
  <c r="N559" i="1"/>
  <c r="P559" i="1"/>
  <c r="R559" i="1"/>
  <c r="T559" i="1"/>
  <c r="X559" i="1"/>
  <c r="G560" i="1"/>
  <c r="J560" i="1"/>
  <c r="L560" i="1"/>
  <c r="N560" i="1"/>
  <c r="P560" i="1"/>
  <c r="R560" i="1"/>
  <c r="T560" i="1"/>
  <c r="X560" i="1"/>
  <c r="G561" i="1"/>
  <c r="J561" i="1"/>
  <c r="L561" i="1"/>
  <c r="N561" i="1"/>
  <c r="P561" i="1"/>
  <c r="R561" i="1"/>
  <c r="T561" i="1"/>
  <c r="X561" i="1"/>
  <c r="G562" i="1"/>
  <c r="J562" i="1"/>
  <c r="L562" i="1"/>
  <c r="N562" i="1"/>
  <c r="P562" i="1"/>
  <c r="R562" i="1"/>
  <c r="T562" i="1"/>
  <c r="X562" i="1"/>
  <c r="G563" i="1"/>
  <c r="J563" i="1"/>
  <c r="L563" i="1"/>
  <c r="N563" i="1"/>
  <c r="P563" i="1"/>
  <c r="R563" i="1"/>
  <c r="T563" i="1"/>
  <c r="X563" i="1"/>
  <c r="G564" i="1"/>
  <c r="J564" i="1"/>
  <c r="L564" i="1"/>
  <c r="N564" i="1"/>
  <c r="P564" i="1"/>
  <c r="R564" i="1"/>
  <c r="T564" i="1"/>
  <c r="X564" i="1"/>
  <c r="G565" i="1"/>
  <c r="J565" i="1"/>
  <c r="L565" i="1"/>
  <c r="N565" i="1"/>
  <c r="P565" i="1"/>
  <c r="R565" i="1"/>
  <c r="T565" i="1"/>
  <c r="X565" i="1"/>
  <c r="G566" i="1"/>
  <c r="J566" i="1"/>
  <c r="L566" i="1"/>
  <c r="N566" i="1"/>
  <c r="P566" i="1"/>
  <c r="R566" i="1"/>
  <c r="T566" i="1"/>
  <c r="X566" i="1"/>
  <c r="G567" i="1"/>
  <c r="J567" i="1"/>
  <c r="L567" i="1"/>
  <c r="N567" i="1"/>
  <c r="P567" i="1"/>
  <c r="R567" i="1"/>
  <c r="T567" i="1"/>
  <c r="X567" i="1"/>
  <c r="G568" i="1"/>
  <c r="J568" i="1"/>
  <c r="L568" i="1"/>
  <c r="N568" i="1"/>
  <c r="P568" i="1"/>
  <c r="R568" i="1"/>
  <c r="T568" i="1"/>
  <c r="X568" i="1"/>
  <c r="G569" i="1"/>
  <c r="J569" i="1"/>
  <c r="L569" i="1"/>
  <c r="N569" i="1"/>
  <c r="P569" i="1"/>
  <c r="R569" i="1"/>
  <c r="T569" i="1"/>
  <c r="X569" i="1"/>
  <c r="G570" i="1"/>
  <c r="J570" i="1"/>
  <c r="L570" i="1"/>
  <c r="N570" i="1"/>
  <c r="P570" i="1"/>
  <c r="R570" i="1"/>
  <c r="T570" i="1"/>
  <c r="X570" i="1"/>
  <c r="G571" i="1"/>
  <c r="J571" i="1"/>
  <c r="L571" i="1"/>
  <c r="N571" i="1"/>
  <c r="P571" i="1"/>
  <c r="R571" i="1"/>
  <c r="T571" i="1"/>
  <c r="X571" i="1"/>
  <c r="G572" i="1"/>
  <c r="J572" i="1"/>
  <c r="L572" i="1"/>
  <c r="N572" i="1"/>
  <c r="P572" i="1"/>
  <c r="R572" i="1"/>
  <c r="T572" i="1"/>
  <c r="X572" i="1"/>
  <c r="G573" i="1"/>
  <c r="J573" i="1"/>
  <c r="L573" i="1"/>
  <c r="N573" i="1"/>
  <c r="P573" i="1"/>
  <c r="R573" i="1"/>
  <c r="T573" i="1"/>
  <c r="X573" i="1"/>
  <c r="G574" i="1"/>
  <c r="J574" i="1"/>
  <c r="L574" i="1"/>
  <c r="N574" i="1"/>
  <c r="P574" i="1"/>
  <c r="R574" i="1"/>
  <c r="T574" i="1"/>
  <c r="X574" i="1"/>
  <c r="G575" i="1"/>
  <c r="J575" i="1"/>
  <c r="L575" i="1"/>
  <c r="N575" i="1"/>
  <c r="P575" i="1"/>
  <c r="R575" i="1"/>
  <c r="T575" i="1"/>
  <c r="X575" i="1"/>
  <c r="G576" i="1"/>
  <c r="J576" i="1"/>
  <c r="L576" i="1"/>
  <c r="N576" i="1"/>
  <c r="P576" i="1"/>
  <c r="R576" i="1"/>
  <c r="T576" i="1"/>
  <c r="X576" i="1"/>
  <c r="G577" i="1"/>
  <c r="J577" i="1"/>
  <c r="L577" i="1"/>
  <c r="N577" i="1"/>
  <c r="P577" i="1"/>
  <c r="R577" i="1"/>
  <c r="T577" i="1"/>
  <c r="X577" i="1"/>
  <c r="G578" i="1"/>
  <c r="J578" i="1"/>
  <c r="L578" i="1"/>
  <c r="N578" i="1"/>
  <c r="P578" i="1"/>
  <c r="R578" i="1"/>
  <c r="T578" i="1"/>
  <c r="X578" i="1"/>
  <c r="G579" i="1"/>
  <c r="J579" i="1"/>
  <c r="L579" i="1"/>
  <c r="N579" i="1"/>
  <c r="P579" i="1"/>
  <c r="R579" i="1"/>
  <c r="T579" i="1"/>
  <c r="X579" i="1"/>
  <c r="G580" i="1"/>
  <c r="J580" i="1"/>
  <c r="L580" i="1"/>
  <c r="N580" i="1"/>
  <c r="P580" i="1"/>
  <c r="R580" i="1"/>
  <c r="T580" i="1"/>
  <c r="X580" i="1"/>
  <c r="G581" i="1"/>
  <c r="J581" i="1"/>
  <c r="L581" i="1"/>
  <c r="N581" i="1"/>
  <c r="P581" i="1"/>
  <c r="R581" i="1"/>
  <c r="T581" i="1"/>
  <c r="X581" i="1"/>
  <c r="G582" i="1"/>
  <c r="J582" i="1"/>
  <c r="L582" i="1"/>
  <c r="N582" i="1"/>
  <c r="P582" i="1"/>
  <c r="R582" i="1"/>
  <c r="T582" i="1"/>
  <c r="X582" i="1"/>
  <c r="G583" i="1"/>
  <c r="J583" i="1"/>
  <c r="L583" i="1"/>
  <c r="N583" i="1"/>
  <c r="P583" i="1"/>
  <c r="R583" i="1"/>
  <c r="T583" i="1"/>
  <c r="X583" i="1"/>
  <c r="G584" i="1"/>
  <c r="J584" i="1"/>
  <c r="L584" i="1"/>
  <c r="N584" i="1"/>
  <c r="P584" i="1"/>
  <c r="R584" i="1"/>
  <c r="T584" i="1"/>
  <c r="X584" i="1"/>
  <c r="G585" i="1"/>
  <c r="J585" i="1"/>
  <c r="L585" i="1"/>
  <c r="N585" i="1"/>
  <c r="P585" i="1"/>
  <c r="R585" i="1"/>
  <c r="T585" i="1"/>
  <c r="X585" i="1"/>
  <c r="G586" i="1"/>
  <c r="J586" i="1"/>
  <c r="L586" i="1"/>
  <c r="N586" i="1"/>
  <c r="P586" i="1"/>
  <c r="R586" i="1"/>
  <c r="T586" i="1"/>
  <c r="X586" i="1"/>
  <c r="G587" i="1"/>
  <c r="J587" i="1"/>
  <c r="L587" i="1"/>
  <c r="N587" i="1"/>
  <c r="P587" i="1"/>
  <c r="R587" i="1"/>
  <c r="T587" i="1"/>
  <c r="X587" i="1"/>
  <c r="G588" i="1"/>
  <c r="J588" i="1"/>
  <c r="L588" i="1"/>
  <c r="N588" i="1"/>
  <c r="P588" i="1"/>
  <c r="R588" i="1"/>
  <c r="T588" i="1"/>
  <c r="X588" i="1"/>
  <c r="G589" i="1"/>
  <c r="J589" i="1"/>
  <c r="L589" i="1"/>
  <c r="N589" i="1"/>
  <c r="P589" i="1"/>
  <c r="R589" i="1"/>
  <c r="T589" i="1"/>
  <c r="X589" i="1"/>
  <c r="G590" i="1"/>
  <c r="J590" i="1"/>
  <c r="L590" i="1"/>
  <c r="N590" i="1"/>
  <c r="P590" i="1"/>
  <c r="R590" i="1"/>
  <c r="T590" i="1"/>
  <c r="X590" i="1"/>
  <c r="G591" i="1"/>
  <c r="J591" i="1"/>
  <c r="L591" i="1"/>
  <c r="N591" i="1"/>
  <c r="P591" i="1"/>
  <c r="R591" i="1"/>
  <c r="T591" i="1"/>
  <c r="X591" i="1"/>
  <c r="G592" i="1"/>
  <c r="J592" i="1"/>
  <c r="L592" i="1"/>
  <c r="N592" i="1"/>
  <c r="P592" i="1"/>
  <c r="R592" i="1"/>
  <c r="T592" i="1"/>
  <c r="X592" i="1"/>
  <c r="G593" i="1"/>
  <c r="J593" i="1"/>
  <c r="L593" i="1"/>
  <c r="N593" i="1"/>
  <c r="P593" i="1"/>
  <c r="R593" i="1"/>
  <c r="T593" i="1"/>
  <c r="X593" i="1"/>
  <c r="G594" i="1"/>
  <c r="J594" i="1"/>
  <c r="L594" i="1"/>
  <c r="N594" i="1"/>
  <c r="P594" i="1"/>
  <c r="R594" i="1"/>
  <c r="T594" i="1"/>
  <c r="X594" i="1"/>
  <c r="G595" i="1"/>
  <c r="J595" i="1"/>
  <c r="L595" i="1"/>
  <c r="N595" i="1"/>
  <c r="P595" i="1"/>
  <c r="R595" i="1"/>
  <c r="T595" i="1"/>
  <c r="X595" i="1"/>
  <c r="G596" i="1"/>
  <c r="J596" i="1"/>
  <c r="L596" i="1"/>
  <c r="N596" i="1"/>
  <c r="P596" i="1"/>
  <c r="R596" i="1"/>
  <c r="T596" i="1"/>
  <c r="X596" i="1"/>
  <c r="G597" i="1"/>
  <c r="J597" i="1"/>
  <c r="L597" i="1"/>
  <c r="N597" i="1"/>
  <c r="P597" i="1"/>
  <c r="R597" i="1"/>
  <c r="T597" i="1"/>
  <c r="X597" i="1"/>
  <c r="G598" i="1"/>
  <c r="J598" i="1"/>
  <c r="L598" i="1"/>
  <c r="N598" i="1"/>
  <c r="P598" i="1"/>
  <c r="R598" i="1"/>
  <c r="T598" i="1"/>
  <c r="X598" i="1"/>
  <c r="G599" i="1"/>
  <c r="J599" i="1"/>
  <c r="L599" i="1"/>
  <c r="N599" i="1"/>
  <c r="P599" i="1"/>
  <c r="R599" i="1"/>
  <c r="T599" i="1"/>
  <c r="X599" i="1"/>
  <c r="G600" i="1"/>
  <c r="J600" i="1"/>
  <c r="L600" i="1"/>
  <c r="N600" i="1"/>
  <c r="P600" i="1"/>
  <c r="R600" i="1"/>
  <c r="T600" i="1"/>
  <c r="X600" i="1"/>
  <c r="G601" i="1"/>
  <c r="J601" i="1"/>
  <c r="L601" i="1"/>
  <c r="N601" i="1"/>
  <c r="P601" i="1"/>
  <c r="R601" i="1"/>
  <c r="T601" i="1"/>
  <c r="X601" i="1"/>
  <c r="G602" i="1"/>
  <c r="J602" i="1"/>
  <c r="L602" i="1"/>
  <c r="N602" i="1"/>
  <c r="P602" i="1"/>
  <c r="R602" i="1"/>
  <c r="T602" i="1"/>
  <c r="X602" i="1"/>
  <c r="G603" i="1"/>
  <c r="J603" i="1"/>
  <c r="L603" i="1"/>
  <c r="N603" i="1"/>
  <c r="P603" i="1"/>
  <c r="R603" i="1"/>
  <c r="T603" i="1"/>
  <c r="X603" i="1"/>
  <c r="G604" i="1"/>
  <c r="J604" i="1"/>
  <c r="L604" i="1"/>
  <c r="N604" i="1"/>
  <c r="P604" i="1"/>
  <c r="R604" i="1"/>
  <c r="T604" i="1"/>
  <c r="X604" i="1"/>
  <c r="G605" i="1"/>
  <c r="J605" i="1"/>
  <c r="L605" i="1"/>
  <c r="N605" i="1"/>
  <c r="P605" i="1"/>
  <c r="R605" i="1"/>
  <c r="T605" i="1"/>
  <c r="X605" i="1"/>
  <c r="G606" i="1"/>
  <c r="J606" i="1"/>
  <c r="L606" i="1"/>
  <c r="N606" i="1"/>
  <c r="P606" i="1"/>
  <c r="R606" i="1"/>
  <c r="T606" i="1"/>
  <c r="X606" i="1"/>
  <c r="G607" i="1"/>
  <c r="J607" i="1"/>
  <c r="L607" i="1"/>
  <c r="N607" i="1"/>
  <c r="P607" i="1"/>
  <c r="R607" i="1"/>
  <c r="T607" i="1"/>
  <c r="X607" i="1"/>
  <c r="G608" i="1"/>
  <c r="J608" i="1"/>
  <c r="L608" i="1"/>
  <c r="N608" i="1"/>
  <c r="P608" i="1"/>
  <c r="R608" i="1"/>
  <c r="T608" i="1"/>
  <c r="X608" i="1"/>
  <c r="G609" i="1"/>
  <c r="J609" i="1"/>
  <c r="L609" i="1"/>
  <c r="N609" i="1"/>
  <c r="P609" i="1"/>
  <c r="R609" i="1"/>
  <c r="T609" i="1"/>
  <c r="X609" i="1"/>
  <c r="G610" i="1"/>
  <c r="J610" i="1"/>
  <c r="L610" i="1"/>
  <c r="N610" i="1"/>
  <c r="P610" i="1"/>
  <c r="R610" i="1"/>
  <c r="T610" i="1"/>
  <c r="X610" i="1"/>
  <c r="G611" i="1"/>
  <c r="J611" i="1"/>
  <c r="L611" i="1"/>
  <c r="N611" i="1"/>
  <c r="P611" i="1"/>
  <c r="R611" i="1"/>
  <c r="T611" i="1"/>
  <c r="X611" i="1"/>
  <c r="G612" i="1"/>
  <c r="J612" i="1"/>
  <c r="L612" i="1"/>
  <c r="N612" i="1"/>
  <c r="P612" i="1"/>
  <c r="R612" i="1"/>
  <c r="T612" i="1"/>
  <c r="X612" i="1"/>
  <c r="G613" i="1"/>
  <c r="J613" i="1"/>
  <c r="L613" i="1"/>
  <c r="N613" i="1"/>
  <c r="P613" i="1"/>
  <c r="R613" i="1"/>
  <c r="T613" i="1"/>
  <c r="X613" i="1"/>
  <c r="G614" i="1"/>
  <c r="J614" i="1"/>
  <c r="L614" i="1"/>
  <c r="N614" i="1"/>
  <c r="P614" i="1"/>
  <c r="R614" i="1"/>
  <c r="T614" i="1"/>
  <c r="X614" i="1"/>
  <c r="G615" i="1"/>
  <c r="J615" i="1"/>
  <c r="L615" i="1"/>
  <c r="N615" i="1"/>
  <c r="P615" i="1"/>
  <c r="R615" i="1"/>
  <c r="T615" i="1"/>
  <c r="X615" i="1"/>
  <c r="G616" i="1"/>
  <c r="J616" i="1"/>
  <c r="L616" i="1"/>
  <c r="N616" i="1"/>
  <c r="P616" i="1"/>
  <c r="R616" i="1"/>
  <c r="T616" i="1"/>
  <c r="X616" i="1"/>
  <c r="G617" i="1"/>
  <c r="J617" i="1"/>
  <c r="L617" i="1"/>
  <c r="N617" i="1"/>
  <c r="P617" i="1"/>
  <c r="R617" i="1"/>
  <c r="T617" i="1"/>
  <c r="X617" i="1"/>
  <c r="G618" i="1"/>
  <c r="J618" i="1"/>
  <c r="L618" i="1"/>
  <c r="N618" i="1"/>
  <c r="P618" i="1"/>
  <c r="R618" i="1"/>
  <c r="T618" i="1"/>
  <c r="X618" i="1"/>
  <c r="G619" i="1"/>
  <c r="J619" i="1"/>
  <c r="L619" i="1"/>
  <c r="N619" i="1"/>
  <c r="P619" i="1"/>
  <c r="R619" i="1"/>
  <c r="T619" i="1"/>
  <c r="X619" i="1"/>
  <c r="G620" i="1"/>
  <c r="J620" i="1"/>
  <c r="L620" i="1"/>
  <c r="N620" i="1"/>
  <c r="P620" i="1"/>
  <c r="R620" i="1"/>
  <c r="T620" i="1"/>
  <c r="X620" i="1"/>
  <c r="G621" i="1"/>
  <c r="J621" i="1"/>
  <c r="L621" i="1"/>
  <c r="N621" i="1"/>
  <c r="P621" i="1"/>
  <c r="R621" i="1"/>
  <c r="T621" i="1"/>
  <c r="X621" i="1"/>
  <c r="G622" i="1"/>
  <c r="J622" i="1"/>
  <c r="L622" i="1"/>
  <c r="N622" i="1"/>
  <c r="P622" i="1"/>
  <c r="R622" i="1"/>
  <c r="T622" i="1"/>
  <c r="X622" i="1"/>
  <c r="G623" i="1"/>
  <c r="J623" i="1"/>
  <c r="L623" i="1"/>
  <c r="N623" i="1"/>
  <c r="P623" i="1"/>
  <c r="R623" i="1"/>
  <c r="T623" i="1"/>
  <c r="X623" i="1"/>
  <c r="G624" i="1"/>
  <c r="J624" i="1"/>
  <c r="L624" i="1"/>
  <c r="N624" i="1"/>
  <c r="P624" i="1"/>
  <c r="R624" i="1"/>
  <c r="T624" i="1"/>
  <c r="X624" i="1"/>
  <c r="G625" i="1"/>
  <c r="J625" i="1"/>
  <c r="L625" i="1"/>
  <c r="N625" i="1"/>
  <c r="P625" i="1"/>
  <c r="R625" i="1"/>
  <c r="T625" i="1"/>
  <c r="X625" i="1"/>
  <c r="G626" i="1"/>
  <c r="J626" i="1"/>
  <c r="L626" i="1"/>
  <c r="N626" i="1"/>
  <c r="P626" i="1"/>
  <c r="R626" i="1"/>
  <c r="T626" i="1"/>
  <c r="X626" i="1"/>
  <c r="G627" i="1"/>
  <c r="J627" i="1"/>
  <c r="L627" i="1"/>
  <c r="N627" i="1"/>
  <c r="P627" i="1"/>
  <c r="R627" i="1"/>
  <c r="T627" i="1"/>
  <c r="X627" i="1"/>
  <c r="G628" i="1"/>
  <c r="J628" i="1"/>
  <c r="L628" i="1"/>
  <c r="N628" i="1"/>
  <c r="P628" i="1"/>
  <c r="R628" i="1"/>
  <c r="T628" i="1"/>
  <c r="X628" i="1"/>
  <c r="G629" i="1"/>
  <c r="J629" i="1"/>
  <c r="L629" i="1"/>
  <c r="N629" i="1"/>
  <c r="P629" i="1"/>
  <c r="R629" i="1"/>
  <c r="T629" i="1"/>
  <c r="X629" i="1"/>
  <c r="G630" i="1"/>
  <c r="J630" i="1"/>
  <c r="L630" i="1"/>
  <c r="N630" i="1"/>
  <c r="P630" i="1"/>
  <c r="R630" i="1"/>
  <c r="T630" i="1"/>
  <c r="X630" i="1"/>
  <c r="G631" i="1"/>
  <c r="J631" i="1"/>
  <c r="L631" i="1"/>
  <c r="N631" i="1"/>
  <c r="P631" i="1"/>
  <c r="R631" i="1"/>
  <c r="T631" i="1"/>
  <c r="X631" i="1"/>
  <c r="G632" i="1"/>
  <c r="J632" i="1"/>
  <c r="L632" i="1"/>
  <c r="N632" i="1"/>
  <c r="P632" i="1"/>
  <c r="R632" i="1"/>
  <c r="T632" i="1"/>
  <c r="X632" i="1"/>
  <c r="G633" i="1"/>
  <c r="J633" i="1"/>
  <c r="L633" i="1"/>
  <c r="N633" i="1"/>
  <c r="P633" i="1"/>
  <c r="R633" i="1"/>
  <c r="T633" i="1"/>
  <c r="X633" i="1"/>
  <c r="G634" i="1"/>
  <c r="J634" i="1"/>
  <c r="L634" i="1"/>
  <c r="N634" i="1"/>
  <c r="P634" i="1"/>
  <c r="R634" i="1"/>
  <c r="T634" i="1"/>
  <c r="X634" i="1"/>
  <c r="G635" i="1"/>
  <c r="J635" i="1"/>
  <c r="L635" i="1"/>
  <c r="N635" i="1"/>
  <c r="P635" i="1"/>
  <c r="R635" i="1"/>
  <c r="T635" i="1"/>
  <c r="X635" i="1"/>
  <c r="G636" i="1"/>
  <c r="J636" i="1"/>
  <c r="L636" i="1"/>
  <c r="N636" i="1"/>
  <c r="P636" i="1"/>
  <c r="R636" i="1"/>
  <c r="T636" i="1"/>
  <c r="X636" i="1"/>
  <c r="G637" i="1"/>
  <c r="J637" i="1"/>
  <c r="L637" i="1"/>
  <c r="N637" i="1"/>
  <c r="P637" i="1"/>
  <c r="R637" i="1"/>
  <c r="T637" i="1"/>
  <c r="X637" i="1"/>
  <c r="G638" i="1"/>
  <c r="J638" i="1"/>
  <c r="L638" i="1"/>
  <c r="N638" i="1"/>
  <c r="P638" i="1"/>
  <c r="R638" i="1"/>
  <c r="T638" i="1"/>
  <c r="X638" i="1"/>
  <c r="G639" i="1"/>
  <c r="J639" i="1"/>
  <c r="L639" i="1"/>
  <c r="N639" i="1"/>
  <c r="P639" i="1"/>
  <c r="R639" i="1"/>
  <c r="T639" i="1"/>
  <c r="X639" i="1"/>
  <c r="G640" i="1"/>
  <c r="J640" i="1"/>
  <c r="L640" i="1"/>
  <c r="N640" i="1"/>
  <c r="P640" i="1"/>
  <c r="R640" i="1"/>
  <c r="T640" i="1"/>
  <c r="X640" i="1"/>
  <c r="G641" i="1"/>
  <c r="J641" i="1"/>
  <c r="L641" i="1"/>
  <c r="N641" i="1"/>
  <c r="P641" i="1"/>
  <c r="R641" i="1"/>
  <c r="T641" i="1"/>
  <c r="X641" i="1"/>
  <c r="G642" i="1"/>
  <c r="J642" i="1"/>
  <c r="L642" i="1"/>
  <c r="N642" i="1"/>
  <c r="P642" i="1"/>
  <c r="R642" i="1"/>
  <c r="T642" i="1"/>
  <c r="X642" i="1"/>
  <c r="G643" i="1"/>
  <c r="J643" i="1"/>
  <c r="L643" i="1"/>
  <c r="N643" i="1"/>
  <c r="P643" i="1"/>
  <c r="R643" i="1"/>
  <c r="T643" i="1"/>
  <c r="X643" i="1"/>
  <c r="G644" i="1"/>
  <c r="J644" i="1"/>
  <c r="L644" i="1"/>
  <c r="N644" i="1"/>
  <c r="P644" i="1"/>
  <c r="R644" i="1"/>
  <c r="T644" i="1"/>
  <c r="X644" i="1"/>
  <c r="G645" i="1"/>
  <c r="J645" i="1"/>
  <c r="L645" i="1"/>
  <c r="N645" i="1"/>
  <c r="P645" i="1"/>
  <c r="R645" i="1"/>
  <c r="T645" i="1"/>
  <c r="X645" i="1"/>
  <c r="G646" i="1"/>
  <c r="J646" i="1"/>
  <c r="L646" i="1"/>
  <c r="N646" i="1"/>
  <c r="P646" i="1"/>
  <c r="R646" i="1"/>
  <c r="T646" i="1"/>
  <c r="X646" i="1"/>
  <c r="G647" i="1"/>
  <c r="J647" i="1"/>
  <c r="L647" i="1"/>
  <c r="N647" i="1"/>
  <c r="P647" i="1"/>
  <c r="R647" i="1"/>
  <c r="T647" i="1"/>
  <c r="X647" i="1"/>
  <c r="G648" i="1"/>
  <c r="J648" i="1"/>
  <c r="L648" i="1"/>
  <c r="N648" i="1"/>
  <c r="P648" i="1"/>
  <c r="R648" i="1"/>
  <c r="T648" i="1"/>
  <c r="X648" i="1"/>
  <c r="G649" i="1"/>
  <c r="J649" i="1"/>
  <c r="L649" i="1"/>
  <c r="N649" i="1"/>
  <c r="P649" i="1"/>
  <c r="R649" i="1"/>
  <c r="T649" i="1"/>
  <c r="X649" i="1"/>
  <c r="G650" i="1"/>
  <c r="J650" i="1"/>
  <c r="L650" i="1"/>
  <c r="N650" i="1"/>
  <c r="P650" i="1"/>
  <c r="R650" i="1"/>
  <c r="T650" i="1"/>
  <c r="X650" i="1"/>
  <c r="G651" i="1"/>
  <c r="J651" i="1"/>
  <c r="L651" i="1"/>
  <c r="N651" i="1"/>
  <c r="P651" i="1"/>
  <c r="R651" i="1"/>
  <c r="T651" i="1"/>
  <c r="X651" i="1"/>
  <c r="G652" i="1"/>
  <c r="J652" i="1"/>
  <c r="L652" i="1"/>
  <c r="N652" i="1"/>
  <c r="P652" i="1"/>
  <c r="R652" i="1"/>
  <c r="T652" i="1"/>
  <c r="X652" i="1"/>
  <c r="G653" i="1"/>
  <c r="J653" i="1"/>
  <c r="L653" i="1"/>
  <c r="N653" i="1"/>
  <c r="P653" i="1"/>
  <c r="R653" i="1"/>
  <c r="T653" i="1"/>
  <c r="X653" i="1"/>
  <c r="G654" i="1"/>
  <c r="J654" i="1"/>
  <c r="L654" i="1"/>
  <c r="N654" i="1"/>
  <c r="P654" i="1"/>
  <c r="R654" i="1"/>
  <c r="T654" i="1"/>
  <c r="X654" i="1"/>
  <c r="G655" i="1"/>
  <c r="J655" i="1"/>
  <c r="L655" i="1"/>
  <c r="N655" i="1"/>
  <c r="P655" i="1"/>
  <c r="R655" i="1"/>
  <c r="T655" i="1"/>
  <c r="X655" i="1"/>
  <c r="G656" i="1"/>
  <c r="J656" i="1"/>
  <c r="L656" i="1"/>
  <c r="N656" i="1"/>
  <c r="P656" i="1"/>
  <c r="R656" i="1"/>
  <c r="T656" i="1"/>
  <c r="X656" i="1"/>
  <c r="G657" i="1"/>
  <c r="J657" i="1"/>
  <c r="L657" i="1"/>
  <c r="N657" i="1"/>
  <c r="P657" i="1"/>
  <c r="R657" i="1"/>
  <c r="T657" i="1"/>
  <c r="X657" i="1"/>
  <c r="G658" i="1"/>
  <c r="J658" i="1"/>
  <c r="L658" i="1"/>
  <c r="N658" i="1"/>
  <c r="P658" i="1"/>
  <c r="R658" i="1"/>
  <c r="T658" i="1"/>
  <c r="X658" i="1"/>
  <c r="G659" i="1"/>
  <c r="J659" i="1"/>
  <c r="L659" i="1"/>
  <c r="N659" i="1"/>
  <c r="P659" i="1"/>
  <c r="R659" i="1"/>
  <c r="T659" i="1"/>
  <c r="X659" i="1"/>
  <c r="G660" i="1"/>
  <c r="J660" i="1"/>
  <c r="L660" i="1"/>
  <c r="N660" i="1"/>
  <c r="P660" i="1"/>
  <c r="R660" i="1"/>
  <c r="T660" i="1"/>
  <c r="X660" i="1"/>
  <c r="G661" i="1"/>
  <c r="J661" i="1"/>
  <c r="L661" i="1"/>
  <c r="N661" i="1"/>
  <c r="P661" i="1"/>
  <c r="R661" i="1"/>
  <c r="T661" i="1"/>
  <c r="X661" i="1"/>
  <c r="G662" i="1"/>
  <c r="J662" i="1"/>
  <c r="L662" i="1"/>
  <c r="N662" i="1"/>
  <c r="P662" i="1"/>
  <c r="R662" i="1"/>
  <c r="T662" i="1"/>
  <c r="X662" i="1"/>
  <c r="G663" i="1"/>
  <c r="J663" i="1"/>
  <c r="L663" i="1"/>
  <c r="N663" i="1"/>
  <c r="P663" i="1"/>
  <c r="R663" i="1"/>
  <c r="T663" i="1"/>
  <c r="X663" i="1"/>
  <c r="G664" i="1"/>
  <c r="J664" i="1"/>
  <c r="L664" i="1"/>
  <c r="N664" i="1"/>
  <c r="P664" i="1"/>
  <c r="R664" i="1"/>
  <c r="T664" i="1"/>
  <c r="X664" i="1"/>
  <c r="G665" i="1"/>
  <c r="J665" i="1"/>
  <c r="L665" i="1"/>
  <c r="N665" i="1"/>
  <c r="P665" i="1"/>
  <c r="R665" i="1"/>
  <c r="T665" i="1"/>
  <c r="X665" i="1"/>
  <c r="G666" i="1"/>
  <c r="J666" i="1"/>
  <c r="L666" i="1"/>
  <c r="N666" i="1"/>
  <c r="P666" i="1"/>
  <c r="R666" i="1"/>
  <c r="T666" i="1"/>
  <c r="X666" i="1"/>
  <c r="G667" i="1"/>
  <c r="J667" i="1"/>
  <c r="L667" i="1"/>
  <c r="N667" i="1"/>
  <c r="P667" i="1"/>
  <c r="R667" i="1"/>
  <c r="T667" i="1"/>
  <c r="X667" i="1"/>
  <c r="G668" i="1"/>
  <c r="J668" i="1"/>
  <c r="L668" i="1"/>
  <c r="N668" i="1"/>
  <c r="P668" i="1"/>
  <c r="R668" i="1"/>
  <c r="T668" i="1"/>
  <c r="X668" i="1"/>
  <c r="G669" i="1"/>
  <c r="J669" i="1"/>
  <c r="L669" i="1"/>
  <c r="N669" i="1"/>
  <c r="P669" i="1"/>
  <c r="R669" i="1"/>
  <c r="T669" i="1"/>
  <c r="X669" i="1"/>
  <c r="G670" i="1"/>
  <c r="J670" i="1"/>
  <c r="L670" i="1"/>
  <c r="N670" i="1"/>
  <c r="P670" i="1"/>
  <c r="R670" i="1"/>
  <c r="T670" i="1"/>
  <c r="X670" i="1"/>
  <c r="G671" i="1"/>
  <c r="J671" i="1"/>
  <c r="L671" i="1"/>
  <c r="N671" i="1"/>
  <c r="P671" i="1"/>
  <c r="R671" i="1"/>
  <c r="T671" i="1"/>
  <c r="X671" i="1"/>
  <c r="G672" i="1"/>
  <c r="J672" i="1"/>
  <c r="L672" i="1"/>
  <c r="N672" i="1"/>
  <c r="P672" i="1"/>
  <c r="R672" i="1"/>
  <c r="T672" i="1"/>
  <c r="X672" i="1"/>
  <c r="G673" i="1"/>
  <c r="J673" i="1"/>
  <c r="L673" i="1"/>
  <c r="N673" i="1"/>
  <c r="P673" i="1"/>
  <c r="R673" i="1"/>
  <c r="T673" i="1"/>
  <c r="X673" i="1"/>
  <c r="G674" i="1"/>
  <c r="J674" i="1"/>
  <c r="L674" i="1"/>
  <c r="N674" i="1"/>
  <c r="P674" i="1"/>
  <c r="R674" i="1"/>
  <c r="T674" i="1"/>
  <c r="X674" i="1"/>
  <c r="G675" i="1"/>
  <c r="J675" i="1"/>
  <c r="L675" i="1"/>
  <c r="N675" i="1"/>
  <c r="P675" i="1"/>
  <c r="R675" i="1"/>
  <c r="T675" i="1"/>
  <c r="X675" i="1"/>
  <c r="G676" i="1"/>
  <c r="J676" i="1"/>
  <c r="L676" i="1"/>
  <c r="N676" i="1"/>
  <c r="P676" i="1"/>
  <c r="R676" i="1"/>
  <c r="T676" i="1"/>
  <c r="X676" i="1"/>
  <c r="G677" i="1"/>
  <c r="J677" i="1"/>
  <c r="L677" i="1"/>
  <c r="N677" i="1"/>
  <c r="P677" i="1"/>
  <c r="R677" i="1"/>
  <c r="T677" i="1"/>
  <c r="X677" i="1"/>
  <c r="G678" i="1"/>
  <c r="J678" i="1"/>
  <c r="L678" i="1"/>
  <c r="N678" i="1"/>
  <c r="P678" i="1"/>
  <c r="R678" i="1"/>
  <c r="T678" i="1"/>
  <c r="X678" i="1"/>
  <c r="G679" i="1"/>
  <c r="J679" i="1"/>
  <c r="L679" i="1"/>
  <c r="N679" i="1"/>
  <c r="P679" i="1"/>
  <c r="R679" i="1"/>
  <c r="T679" i="1"/>
  <c r="X679" i="1"/>
  <c r="G680" i="1"/>
  <c r="J680" i="1"/>
  <c r="L680" i="1"/>
  <c r="N680" i="1"/>
  <c r="P680" i="1"/>
  <c r="R680" i="1"/>
  <c r="T680" i="1"/>
  <c r="X680" i="1"/>
  <c r="G681" i="1"/>
  <c r="J681" i="1"/>
  <c r="L681" i="1"/>
  <c r="N681" i="1"/>
  <c r="P681" i="1"/>
  <c r="R681" i="1"/>
  <c r="T681" i="1"/>
  <c r="X681" i="1"/>
  <c r="G682" i="1"/>
  <c r="J682" i="1"/>
  <c r="L682" i="1"/>
  <c r="N682" i="1"/>
  <c r="P682" i="1"/>
  <c r="R682" i="1"/>
  <c r="T682" i="1"/>
  <c r="X682" i="1"/>
  <c r="G683" i="1"/>
  <c r="J683" i="1"/>
  <c r="L683" i="1"/>
  <c r="N683" i="1"/>
  <c r="P683" i="1"/>
  <c r="R683" i="1"/>
  <c r="T683" i="1"/>
  <c r="X683" i="1"/>
  <c r="G684" i="1"/>
  <c r="J684" i="1"/>
  <c r="L684" i="1"/>
  <c r="N684" i="1"/>
  <c r="P684" i="1"/>
  <c r="R684" i="1"/>
  <c r="T684" i="1"/>
  <c r="X684" i="1"/>
  <c r="G685" i="1"/>
  <c r="J685" i="1"/>
  <c r="L685" i="1"/>
  <c r="N685" i="1"/>
  <c r="P685" i="1"/>
  <c r="R685" i="1"/>
  <c r="T685" i="1"/>
  <c r="X685" i="1"/>
  <c r="G686" i="1"/>
  <c r="J686" i="1"/>
  <c r="L686" i="1"/>
  <c r="N686" i="1"/>
  <c r="P686" i="1"/>
  <c r="R686" i="1"/>
  <c r="T686" i="1"/>
  <c r="X686" i="1"/>
  <c r="G687" i="1"/>
  <c r="J687" i="1"/>
  <c r="L687" i="1"/>
  <c r="N687" i="1"/>
  <c r="P687" i="1"/>
  <c r="R687" i="1"/>
  <c r="T687" i="1"/>
  <c r="X687" i="1"/>
  <c r="G688" i="1"/>
  <c r="J688" i="1"/>
  <c r="L688" i="1"/>
  <c r="N688" i="1"/>
  <c r="P688" i="1"/>
  <c r="R688" i="1"/>
  <c r="T688" i="1"/>
  <c r="X688" i="1"/>
  <c r="G689" i="1"/>
  <c r="J689" i="1"/>
  <c r="L689" i="1"/>
  <c r="N689" i="1"/>
  <c r="P689" i="1"/>
  <c r="R689" i="1"/>
  <c r="T689" i="1"/>
  <c r="X689" i="1"/>
  <c r="G690" i="1"/>
  <c r="J690" i="1"/>
  <c r="L690" i="1"/>
  <c r="N690" i="1"/>
  <c r="P690" i="1"/>
  <c r="R690" i="1"/>
  <c r="T690" i="1"/>
  <c r="X690" i="1"/>
  <c r="G691" i="1"/>
  <c r="J691" i="1"/>
  <c r="L691" i="1"/>
  <c r="N691" i="1"/>
  <c r="P691" i="1"/>
  <c r="R691" i="1"/>
  <c r="T691" i="1"/>
  <c r="X691" i="1"/>
  <c r="G692" i="1"/>
  <c r="J692" i="1"/>
  <c r="L692" i="1"/>
  <c r="N692" i="1"/>
  <c r="P692" i="1"/>
  <c r="R692" i="1"/>
  <c r="T692" i="1"/>
  <c r="X692" i="1"/>
  <c r="G693" i="1"/>
  <c r="J693" i="1"/>
  <c r="L693" i="1"/>
  <c r="N693" i="1"/>
  <c r="P693" i="1"/>
  <c r="R693" i="1"/>
  <c r="T693" i="1"/>
  <c r="X693" i="1"/>
  <c r="G694" i="1"/>
  <c r="J694" i="1"/>
  <c r="L694" i="1"/>
  <c r="N694" i="1"/>
  <c r="P694" i="1"/>
  <c r="R694" i="1"/>
  <c r="T694" i="1"/>
  <c r="X694" i="1"/>
  <c r="G695" i="1"/>
  <c r="J695" i="1"/>
  <c r="L695" i="1"/>
  <c r="N695" i="1"/>
  <c r="P695" i="1"/>
  <c r="R695" i="1"/>
  <c r="T695" i="1"/>
  <c r="X695" i="1"/>
  <c r="G696" i="1"/>
  <c r="J696" i="1"/>
  <c r="L696" i="1"/>
  <c r="N696" i="1"/>
  <c r="P696" i="1"/>
  <c r="R696" i="1"/>
  <c r="T696" i="1"/>
  <c r="X696" i="1"/>
  <c r="G697" i="1"/>
  <c r="J697" i="1"/>
  <c r="L697" i="1"/>
  <c r="N697" i="1"/>
  <c r="P697" i="1"/>
  <c r="R697" i="1"/>
  <c r="T697" i="1"/>
  <c r="X697" i="1"/>
  <c r="G698" i="1"/>
  <c r="J698" i="1"/>
  <c r="L698" i="1"/>
  <c r="N698" i="1"/>
  <c r="P698" i="1"/>
  <c r="R698" i="1"/>
  <c r="T698" i="1"/>
  <c r="X698" i="1"/>
  <c r="G699" i="1"/>
  <c r="J699" i="1"/>
  <c r="L699" i="1"/>
  <c r="N699" i="1"/>
  <c r="P699" i="1"/>
  <c r="R699" i="1"/>
  <c r="T699" i="1"/>
  <c r="X699" i="1"/>
  <c r="G700" i="1"/>
  <c r="J700" i="1"/>
  <c r="L700" i="1"/>
  <c r="N700" i="1"/>
  <c r="P700" i="1"/>
  <c r="R700" i="1"/>
  <c r="T700" i="1"/>
  <c r="X700" i="1"/>
  <c r="G701" i="1"/>
  <c r="J701" i="1"/>
  <c r="L701" i="1"/>
  <c r="N701" i="1"/>
  <c r="P701" i="1"/>
  <c r="R701" i="1"/>
  <c r="T701" i="1"/>
  <c r="X701" i="1"/>
  <c r="G702" i="1"/>
  <c r="J702" i="1"/>
  <c r="L702" i="1"/>
  <c r="N702" i="1"/>
  <c r="P702" i="1"/>
  <c r="R702" i="1"/>
  <c r="T702" i="1"/>
  <c r="X702" i="1"/>
  <c r="G703" i="1"/>
  <c r="J703" i="1"/>
  <c r="L703" i="1"/>
  <c r="N703" i="1"/>
  <c r="P703" i="1"/>
  <c r="R703" i="1"/>
  <c r="T703" i="1"/>
  <c r="X703" i="1"/>
  <c r="G704" i="1"/>
  <c r="J704" i="1"/>
  <c r="L704" i="1"/>
  <c r="N704" i="1"/>
  <c r="P704" i="1"/>
  <c r="R704" i="1"/>
  <c r="T704" i="1"/>
  <c r="X704" i="1"/>
  <c r="G705" i="1"/>
  <c r="J705" i="1"/>
  <c r="L705" i="1"/>
  <c r="N705" i="1"/>
  <c r="P705" i="1"/>
  <c r="R705" i="1"/>
  <c r="T705" i="1"/>
  <c r="X705" i="1"/>
  <c r="G706" i="1"/>
  <c r="J706" i="1"/>
  <c r="L706" i="1"/>
  <c r="N706" i="1"/>
  <c r="P706" i="1"/>
  <c r="R706" i="1"/>
  <c r="T706" i="1"/>
  <c r="X706" i="1"/>
  <c r="G707" i="1"/>
  <c r="J707" i="1"/>
  <c r="L707" i="1"/>
  <c r="N707" i="1"/>
  <c r="P707" i="1"/>
  <c r="R707" i="1"/>
  <c r="T707" i="1"/>
  <c r="X707" i="1"/>
  <c r="G708" i="1"/>
  <c r="J708" i="1"/>
  <c r="L708" i="1"/>
  <c r="N708" i="1"/>
  <c r="P708" i="1"/>
  <c r="R708" i="1"/>
  <c r="T708" i="1"/>
  <c r="X708" i="1"/>
  <c r="G709" i="1"/>
  <c r="J709" i="1"/>
  <c r="L709" i="1"/>
  <c r="N709" i="1"/>
  <c r="P709" i="1"/>
  <c r="R709" i="1"/>
  <c r="T709" i="1"/>
  <c r="X709" i="1"/>
  <c r="G710" i="1"/>
  <c r="J710" i="1"/>
  <c r="L710" i="1"/>
  <c r="N710" i="1"/>
  <c r="P710" i="1"/>
  <c r="R710" i="1"/>
  <c r="T710" i="1"/>
  <c r="X710" i="1"/>
  <c r="G711" i="1"/>
  <c r="J711" i="1"/>
  <c r="L711" i="1"/>
  <c r="N711" i="1"/>
  <c r="P711" i="1"/>
  <c r="R711" i="1"/>
  <c r="T711" i="1"/>
  <c r="X711" i="1"/>
  <c r="G712" i="1"/>
  <c r="J712" i="1"/>
  <c r="L712" i="1"/>
  <c r="N712" i="1"/>
  <c r="P712" i="1"/>
  <c r="R712" i="1"/>
  <c r="T712" i="1"/>
  <c r="X712" i="1"/>
  <c r="G713" i="1"/>
  <c r="J713" i="1"/>
  <c r="L713" i="1"/>
  <c r="N713" i="1"/>
  <c r="P713" i="1"/>
  <c r="R713" i="1"/>
  <c r="T713" i="1"/>
  <c r="X713" i="1"/>
  <c r="G714" i="1"/>
  <c r="J714" i="1"/>
  <c r="L714" i="1"/>
  <c r="N714" i="1"/>
  <c r="P714" i="1"/>
  <c r="R714" i="1"/>
  <c r="T714" i="1"/>
  <c r="X714" i="1"/>
  <c r="G715" i="1"/>
  <c r="J715" i="1"/>
  <c r="L715" i="1"/>
  <c r="N715" i="1"/>
  <c r="P715" i="1"/>
  <c r="R715" i="1"/>
  <c r="T715" i="1"/>
  <c r="X715" i="1"/>
  <c r="G716" i="1"/>
  <c r="J716" i="1"/>
  <c r="L716" i="1"/>
  <c r="N716" i="1"/>
  <c r="P716" i="1"/>
  <c r="R716" i="1"/>
  <c r="T716" i="1"/>
  <c r="X716" i="1"/>
  <c r="G717" i="1"/>
  <c r="J717" i="1"/>
  <c r="L717" i="1"/>
  <c r="N717" i="1"/>
  <c r="P717" i="1"/>
  <c r="R717" i="1"/>
  <c r="T717" i="1"/>
  <c r="X717" i="1"/>
  <c r="G718" i="1"/>
  <c r="J718" i="1"/>
  <c r="L718" i="1"/>
  <c r="N718" i="1"/>
  <c r="P718" i="1"/>
  <c r="R718" i="1"/>
  <c r="T718" i="1"/>
  <c r="X718" i="1"/>
  <c r="G719" i="1"/>
  <c r="J719" i="1"/>
  <c r="L719" i="1"/>
  <c r="N719" i="1"/>
  <c r="P719" i="1"/>
  <c r="R719" i="1"/>
  <c r="T719" i="1"/>
  <c r="X719" i="1"/>
  <c r="G720" i="1"/>
  <c r="J720" i="1"/>
  <c r="L720" i="1"/>
  <c r="N720" i="1"/>
  <c r="P720" i="1"/>
  <c r="R720" i="1"/>
  <c r="T720" i="1"/>
  <c r="X720" i="1"/>
  <c r="G721" i="1"/>
  <c r="J721" i="1"/>
  <c r="L721" i="1"/>
  <c r="N721" i="1"/>
  <c r="P721" i="1"/>
  <c r="R721" i="1"/>
  <c r="T721" i="1"/>
  <c r="X721" i="1"/>
  <c r="G722" i="1"/>
  <c r="J722" i="1"/>
  <c r="L722" i="1"/>
  <c r="N722" i="1"/>
  <c r="P722" i="1"/>
  <c r="R722" i="1"/>
  <c r="T722" i="1"/>
  <c r="X722" i="1"/>
  <c r="G723" i="1"/>
  <c r="J723" i="1"/>
  <c r="L723" i="1"/>
  <c r="N723" i="1"/>
  <c r="P723" i="1"/>
  <c r="R723" i="1"/>
  <c r="T723" i="1"/>
  <c r="X723" i="1"/>
  <c r="G724" i="1"/>
  <c r="J724" i="1"/>
  <c r="L724" i="1"/>
  <c r="N724" i="1"/>
  <c r="P724" i="1"/>
  <c r="R724" i="1"/>
  <c r="T724" i="1"/>
  <c r="X724" i="1"/>
  <c r="G725" i="1"/>
  <c r="J725" i="1"/>
  <c r="L725" i="1"/>
  <c r="N725" i="1"/>
  <c r="P725" i="1"/>
  <c r="R725" i="1"/>
  <c r="T725" i="1"/>
  <c r="X725" i="1"/>
  <c r="G726" i="1"/>
  <c r="J726" i="1"/>
  <c r="L726" i="1"/>
  <c r="N726" i="1"/>
  <c r="P726" i="1"/>
  <c r="R726" i="1"/>
  <c r="T726" i="1"/>
  <c r="X726" i="1"/>
  <c r="G727" i="1"/>
  <c r="J727" i="1"/>
  <c r="L727" i="1"/>
  <c r="N727" i="1"/>
  <c r="P727" i="1"/>
  <c r="R727" i="1"/>
  <c r="T727" i="1"/>
  <c r="X727" i="1"/>
  <c r="G728" i="1"/>
  <c r="J728" i="1"/>
  <c r="L728" i="1"/>
  <c r="N728" i="1"/>
  <c r="P728" i="1"/>
  <c r="R728" i="1"/>
  <c r="T728" i="1"/>
  <c r="X728" i="1"/>
  <c r="G729" i="1"/>
  <c r="J729" i="1"/>
  <c r="L729" i="1"/>
  <c r="N729" i="1"/>
  <c r="P729" i="1"/>
  <c r="R729" i="1"/>
  <c r="T729" i="1"/>
  <c r="X729" i="1"/>
  <c r="G730" i="1"/>
  <c r="J730" i="1"/>
  <c r="L730" i="1"/>
  <c r="N730" i="1"/>
  <c r="P730" i="1"/>
  <c r="R730" i="1"/>
  <c r="T730" i="1"/>
  <c r="X730" i="1"/>
  <c r="G731" i="1"/>
  <c r="J731" i="1"/>
  <c r="L731" i="1"/>
  <c r="N731" i="1"/>
  <c r="P731" i="1"/>
  <c r="R731" i="1"/>
  <c r="T731" i="1"/>
  <c r="X731" i="1"/>
  <c r="G732" i="1"/>
  <c r="J732" i="1"/>
  <c r="L732" i="1"/>
  <c r="N732" i="1"/>
  <c r="P732" i="1"/>
  <c r="R732" i="1"/>
  <c r="T732" i="1"/>
  <c r="X732" i="1"/>
  <c r="G733" i="1"/>
  <c r="J733" i="1"/>
  <c r="L733" i="1"/>
  <c r="N733" i="1"/>
  <c r="P733" i="1"/>
  <c r="R733" i="1"/>
  <c r="T733" i="1"/>
  <c r="X733" i="1"/>
  <c r="G734" i="1"/>
  <c r="J734" i="1"/>
  <c r="L734" i="1"/>
  <c r="N734" i="1"/>
  <c r="P734" i="1"/>
  <c r="R734" i="1"/>
  <c r="T734" i="1"/>
  <c r="X734" i="1"/>
  <c r="G735" i="1"/>
  <c r="J735" i="1"/>
  <c r="L735" i="1"/>
  <c r="N735" i="1"/>
  <c r="P735" i="1"/>
  <c r="R735" i="1"/>
  <c r="T735" i="1"/>
  <c r="X735" i="1"/>
  <c r="G736" i="1"/>
  <c r="J736" i="1"/>
  <c r="L736" i="1"/>
  <c r="N736" i="1"/>
  <c r="P736" i="1"/>
  <c r="R736" i="1"/>
  <c r="T736" i="1"/>
  <c r="X736" i="1"/>
  <c r="G737" i="1"/>
  <c r="J737" i="1"/>
  <c r="L737" i="1"/>
  <c r="N737" i="1"/>
  <c r="P737" i="1"/>
  <c r="R737" i="1"/>
  <c r="T737" i="1"/>
  <c r="X737" i="1"/>
  <c r="G738" i="1"/>
  <c r="J738" i="1"/>
  <c r="L738" i="1"/>
  <c r="N738" i="1"/>
  <c r="P738" i="1"/>
  <c r="R738" i="1"/>
  <c r="T738" i="1"/>
  <c r="X738" i="1"/>
  <c r="G739" i="1"/>
  <c r="J739" i="1"/>
  <c r="L739" i="1"/>
  <c r="N739" i="1"/>
  <c r="P739" i="1"/>
  <c r="R739" i="1"/>
  <c r="T739" i="1"/>
  <c r="X739" i="1"/>
  <c r="G740" i="1"/>
  <c r="J740" i="1"/>
  <c r="L740" i="1"/>
  <c r="N740" i="1"/>
  <c r="P740" i="1"/>
  <c r="R740" i="1"/>
  <c r="T740" i="1"/>
  <c r="X740" i="1"/>
  <c r="G741" i="1"/>
  <c r="J741" i="1"/>
  <c r="L741" i="1"/>
  <c r="N741" i="1"/>
  <c r="P741" i="1"/>
  <c r="R741" i="1"/>
  <c r="T741" i="1"/>
  <c r="X741" i="1"/>
  <c r="G742" i="1"/>
  <c r="J742" i="1"/>
  <c r="L742" i="1"/>
  <c r="N742" i="1"/>
  <c r="P742" i="1"/>
  <c r="R742" i="1"/>
  <c r="T742" i="1"/>
  <c r="X742" i="1"/>
  <c r="G743" i="1"/>
  <c r="J743" i="1"/>
  <c r="L743" i="1"/>
  <c r="N743" i="1"/>
  <c r="P743" i="1"/>
  <c r="R743" i="1"/>
  <c r="T743" i="1"/>
  <c r="X743" i="1"/>
  <c r="G744" i="1"/>
  <c r="J744" i="1"/>
  <c r="L744" i="1"/>
  <c r="N744" i="1"/>
  <c r="P744" i="1"/>
  <c r="R744" i="1"/>
  <c r="T744" i="1"/>
  <c r="X744" i="1"/>
  <c r="G745" i="1"/>
  <c r="J745" i="1"/>
  <c r="L745" i="1"/>
  <c r="N745" i="1"/>
  <c r="P745" i="1"/>
  <c r="R745" i="1"/>
  <c r="T745" i="1"/>
  <c r="X745" i="1"/>
  <c r="G746" i="1"/>
  <c r="J746" i="1"/>
  <c r="L746" i="1"/>
  <c r="N746" i="1"/>
  <c r="P746" i="1"/>
  <c r="R746" i="1"/>
  <c r="T746" i="1"/>
  <c r="X746" i="1"/>
  <c r="G747" i="1"/>
  <c r="J747" i="1"/>
  <c r="L747" i="1"/>
  <c r="N747" i="1"/>
  <c r="P747" i="1"/>
  <c r="R747" i="1"/>
  <c r="T747" i="1"/>
  <c r="X747" i="1"/>
  <c r="G748" i="1"/>
  <c r="J748" i="1"/>
  <c r="L748" i="1"/>
  <c r="N748" i="1"/>
  <c r="P748" i="1"/>
  <c r="R748" i="1"/>
  <c r="T748" i="1"/>
  <c r="X748" i="1"/>
  <c r="G749" i="1"/>
  <c r="J749" i="1"/>
  <c r="L749" i="1"/>
  <c r="N749" i="1"/>
  <c r="P749" i="1"/>
  <c r="R749" i="1"/>
  <c r="T749" i="1"/>
  <c r="X749" i="1"/>
  <c r="G750" i="1"/>
  <c r="J750" i="1"/>
  <c r="L750" i="1"/>
  <c r="N750" i="1"/>
  <c r="P750" i="1"/>
  <c r="R750" i="1"/>
  <c r="T750" i="1"/>
  <c r="X750" i="1"/>
  <c r="G751" i="1"/>
  <c r="J751" i="1"/>
  <c r="L751" i="1"/>
  <c r="N751" i="1"/>
  <c r="P751" i="1"/>
  <c r="R751" i="1"/>
  <c r="T751" i="1"/>
  <c r="X751" i="1"/>
  <c r="G752" i="1"/>
  <c r="J752" i="1"/>
  <c r="L752" i="1"/>
  <c r="N752" i="1"/>
  <c r="P752" i="1"/>
  <c r="R752" i="1"/>
  <c r="T752" i="1"/>
  <c r="X752" i="1"/>
  <c r="G753" i="1"/>
  <c r="J753" i="1"/>
  <c r="L753" i="1"/>
  <c r="N753" i="1"/>
  <c r="P753" i="1"/>
  <c r="R753" i="1"/>
  <c r="T753" i="1"/>
  <c r="X753" i="1"/>
  <c r="G754" i="1"/>
  <c r="J754" i="1"/>
  <c r="L754" i="1"/>
  <c r="N754" i="1"/>
  <c r="P754" i="1"/>
  <c r="R754" i="1"/>
  <c r="T754" i="1"/>
  <c r="X754" i="1"/>
  <c r="G755" i="1"/>
  <c r="J755" i="1"/>
  <c r="L755" i="1"/>
  <c r="N755" i="1"/>
  <c r="P755" i="1"/>
  <c r="R755" i="1"/>
  <c r="T755" i="1"/>
  <c r="X755" i="1"/>
  <c r="G756" i="1"/>
  <c r="J756" i="1"/>
  <c r="L756" i="1"/>
  <c r="N756" i="1"/>
  <c r="P756" i="1"/>
  <c r="R756" i="1"/>
  <c r="T756" i="1"/>
  <c r="X756" i="1"/>
  <c r="G757" i="1"/>
  <c r="J757" i="1"/>
  <c r="L757" i="1"/>
  <c r="N757" i="1"/>
  <c r="P757" i="1"/>
  <c r="R757" i="1"/>
  <c r="T757" i="1"/>
  <c r="X757" i="1"/>
  <c r="G758" i="1"/>
  <c r="J758" i="1"/>
  <c r="L758" i="1"/>
  <c r="N758" i="1"/>
  <c r="P758" i="1"/>
  <c r="R758" i="1"/>
  <c r="T758" i="1"/>
  <c r="X758" i="1"/>
  <c r="G759" i="1"/>
  <c r="J759" i="1"/>
  <c r="L759" i="1"/>
  <c r="N759" i="1"/>
  <c r="P759" i="1"/>
  <c r="R759" i="1"/>
  <c r="T759" i="1"/>
  <c r="X759" i="1"/>
  <c r="G760" i="1"/>
  <c r="J760" i="1"/>
  <c r="L760" i="1"/>
  <c r="N760" i="1"/>
  <c r="P760" i="1"/>
  <c r="R760" i="1"/>
  <c r="T760" i="1"/>
  <c r="X760" i="1"/>
  <c r="G761" i="1"/>
  <c r="J761" i="1"/>
  <c r="L761" i="1"/>
  <c r="N761" i="1"/>
  <c r="P761" i="1"/>
  <c r="R761" i="1"/>
  <c r="T761" i="1"/>
  <c r="X761" i="1"/>
  <c r="G762" i="1"/>
  <c r="J762" i="1"/>
  <c r="L762" i="1"/>
  <c r="N762" i="1"/>
  <c r="P762" i="1"/>
  <c r="R762" i="1"/>
  <c r="T762" i="1"/>
  <c r="X762" i="1"/>
  <c r="G763" i="1"/>
  <c r="J763" i="1"/>
  <c r="L763" i="1"/>
  <c r="N763" i="1"/>
  <c r="P763" i="1"/>
  <c r="R763" i="1"/>
  <c r="T763" i="1"/>
  <c r="X763" i="1"/>
  <c r="G764" i="1"/>
  <c r="J764" i="1"/>
  <c r="L764" i="1"/>
  <c r="N764" i="1"/>
  <c r="P764" i="1"/>
  <c r="R764" i="1"/>
  <c r="T764" i="1"/>
  <c r="X764" i="1"/>
  <c r="G765" i="1"/>
  <c r="J765" i="1"/>
  <c r="L765" i="1"/>
  <c r="N765" i="1"/>
  <c r="P765" i="1"/>
  <c r="R765" i="1"/>
  <c r="T765" i="1"/>
  <c r="X765" i="1"/>
  <c r="G766" i="1"/>
  <c r="J766" i="1"/>
  <c r="L766" i="1"/>
  <c r="N766" i="1"/>
  <c r="P766" i="1"/>
  <c r="R766" i="1"/>
  <c r="T766" i="1"/>
  <c r="X766" i="1"/>
  <c r="G767" i="1"/>
  <c r="J767" i="1"/>
  <c r="L767" i="1"/>
  <c r="N767" i="1"/>
  <c r="P767" i="1"/>
  <c r="R767" i="1"/>
  <c r="T767" i="1"/>
  <c r="X767" i="1"/>
  <c r="G768" i="1"/>
  <c r="J768" i="1"/>
  <c r="L768" i="1"/>
  <c r="N768" i="1"/>
  <c r="P768" i="1"/>
  <c r="R768" i="1"/>
  <c r="T768" i="1"/>
  <c r="X768" i="1"/>
  <c r="G769" i="1"/>
  <c r="J769" i="1"/>
  <c r="L769" i="1"/>
  <c r="N769" i="1"/>
  <c r="P769" i="1"/>
  <c r="R769" i="1"/>
  <c r="T769" i="1"/>
  <c r="X769" i="1"/>
  <c r="G770" i="1"/>
  <c r="J770" i="1"/>
  <c r="L770" i="1"/>
  <c r="N770" i="1"/>
  <c r="P770" i="1"/>
  <c r="R770" i="1"/>
  <c r="T770" i="1"/>
  <c r="X770" i="1"/>
  <c r="G771" i="1"/>
  <c r="J771" i="1"/>
  <c r="L771" i="1"/>
  <c r="N771" i="1"/>
  <c r="P771" i="1"/>
  <c r="R771" i="1"/>
  <c r="T771" i="1"/>
  <c r="X771" i="1"/>
  <c r="G772" i="1"/>
  <c r="J772" i="1"/>
  <c r="L772" i="1"/>
  <c r="N772" i="1"/>
  <c r="P772" i="1"/>
  <c r="R772" i="1"/>
  <c r="T772" i="1"/>
  <c r="X772" i="1"/>
  <c r="G773" i="1"/>
  <c r="J773" i="1"/>
  <c r="L773" i="1"/>
  <c r="N773" i="1"/>
  <c r="P773" i="1"/>
  <c r="R773" i="1"/>
  <c r="T773" i="1"/>
  <c r="X773" i="1"/>
  <c r="G774" i="1"/>
  <c r="J774" i="1"/>
  <c r="L774" i="1"/>
  <c r="N774" i="1"/>
  <c r="P774" i="1"/>
  <c r="R774" i="1"/>
  <c r="T774" i="1"/>
  <c r="X774" i="1"/>
  <c r="G775" i="1"/>
  <c r="J775" i="1"/>
  <c r="L775" i="1"/>
  <c r="N775" i="1"/>
  <c r="P775" i="1"/>
  <c r="R775" i="1"/>
  <c r="T775" i="1"/>
  <c r="X775" i="1"/>
  <c r="G776" i="1"/>
  <c r="J776" i="1"/>
  <c r="L776" i="1"/>
  <c r="N776" i="1"/>
  <c r="P776" i="1"/>
  <c r="R776" i="1"/>
  <c r="T776" i="1"/>
  <c r="X776" i="1"/>
  <c r="G777" i="1"/>
  <c r="J777" i="1"/>
  <c r="L777" i="1"/>
  <c r="N777" i="1"/>
  <c r="P777" i="1"/>
  <c r="R777" i="1"/>
  <c r="T777" i="1"/>
  <c r="X777" i="1"/>
  <c r="G778" i="1"/>
  <c r="J778" i="1"/>
  <c r="L778" i="1"/>
  <c r="N778" i="1"/>
  <c r="P778" i="1"/>
  <c r="R778" i="1"/>
  <c r="T778" i="1"/>
  <c r="X778" i="1"/>
  <c r="G779" i="1"/>
  <c r="J779" i="1"/>
  <c r="L779" i="1"/>
  <c r="N779" i="1"/>
  <c r="P779" i="1"/>
  <c r="R779" i="1"/>
  <c r="T779" i="1"/>
  <c r="X779" i="1"/>
  <c r="G780" i="1"/>
  <c r="J780" i="1"/>
  <c r="L780" i="1"/>
  <c r="N780" i="1"/>
  <c r="P780" i="1"/>
  <c r="R780" i="1"/>
  <c r="T780" i="1"/>
  <c r="X780" i="1"/>
  <c r="G781" i="1"/>
  <c r="J781" i="1"/>
  <c r="L781" i="1"/>
  <c r="N781" i="1"/>
  <c r="P781" i="1"/>
  <c r="R781" i="1"/>
  <c r="T781" i="1"/>
  <c r="X781" i="1"/>
  <c r="G782" i="1"/>
  <c r="J782" i="1"/>
  <c r="L782" i="1"/>
  <c r="N782" i="1"/>
  <c r="P782" i="1"/>
  <c r="R782" i="1"/>
  <c r="T782" i="1"/>
  <c r="X782" i="1"/>
  <c r="G783" i="1"/>
  <c r="J783" i="1"/>
  <c r="L783" i="1"/>
  <c r="N783" i="1"/>
  <c r="P783" i="1"/>
  <c r="R783" i="1"/>
  <c r="T783" i="1"/>
  <c r="X783" i="1"/>
  <c r="G784" i="1"/>
  <c r="J784" i="1"/>
  <c r="L784" i="1"/>
  <c r="N784" i="1"/>
  <c r="P784" i="1"/>
  <c r="R784" i="1"/>
  <c r="T784" i="1"/>
  <c r="X784" i="1"/>
  <c r="G785" i="1"/>
  <c r="J785" i="1"/>
  <c r="L785" i="1"/>
  <c r="N785" i="1"/>
  <c r="P785" i="1"/>
  <c r="R785" i="1"/>
  <c r="T785" i="1"/>
  <c r="X785" i="1"/>
  <c r="G786" i="1"/>
  <c r="J786" i="1"/>
  <c r="L786" i="1"/>
  <c r="N786" i="1"/>
  <c r="P786" i="1"/>
  <c r="R786" i="1"/>
  <c r="T786" i="1"/>
  <c r="X786" i="1"/>
  <c r="G787" i="1"/>
  <c r="J787" i="1"/>
  <c r="L787" i="1"/>
  <c r="N787" i="1"/>
  <c r="P787" i="1"/>
  <c r="R787" i="1"/>
  <c r="T787" i="1"/>
  <c r="X787" i="1"/>
  <c r="G788" i="1"/>
  <c r="J788" i="1"/>
  <c r="L788" i="1"/>
  <c r="N788" i="1"/>
  <c r="P788" i="1"/>
  <c r="R788" i="1"/>
  <c r="T788" i="1"/>
  <c r="X788" i="1"/>
  <c r="G789" i="1"/>
  <c r="J789" i="1"/>
  <c r="L789" i="1"/>
  <c r="N789" i="1"/>
  <c r="P789" i="1"/>
  <c r="R789" i="1"/>
  <c r="T789" i="1"/>
  <c r="X789" i="1"/>
  <c r="G790" i="1"/>
  <c r="J790" i="1"/>
  <c r="L790" i="1"/>
  <c r="N790" i="1"/>
  <c r="P790" i="1"/>
  <c r="R790" i="1"/>
  <c r="T790" i="1"/>
  <c r="X790" i="1"/>
  <c r="G791" i="1"/>
  <c r="J791" i="1"/>
  <c r="L791" i="1"/>
  <c r="N791" i="1"/>
  <c r="P791" i="1"/>
  <c r="R791" i="1"/>
  <c r="T791" i="1"/>
  <c r="X791" i="1"/>
  <c r="G792" i="1"/>
  <c r="J792" i="1"/>
  <c r="L792" i="1"/>
  <c r="N792" i="1"/>
  <c r="P792" i="1"/>
  <c r="R792" i="1"/>
  <c r="T792" i="1"/>
  <c r="X792" i="1"/>
  <c r="G793" i="1"/>
  <c r="J793" i="1"/>
  <c r="L793" i="1"/>
  <c r="N793" i="1"/>
  <c r="P793" i="1"/>
  <c r="R793" i="1"/>
  <c r="T793" i="1"/>
  <c r="X793" i="1"/>
  <c r="G794" i="1"/>
  <c r="J794" i="1"/>
  <c r="L794" i="1"/>
  <c r="N794" i="1"/>
  <c r="P794" i="1"/>
  <c r="R794" i="1"/>
  <c r="T794" i="1"/>
  <c r="X794" i="1"/>
  <c r="G795" i="1"/>
  <c r="J795" i="1"/>
  <c r="L795" i="1"/>
  <c r="N795" i="1"/>
  <c r="P795" i="1"/>
  <c r="R795" i="1"/>
  <c r="T795" i="1"/>
  <c r="X795" i="1"/>
  <c r="G796" i="1"/>
  <c r="J796" i="1"/>
  <c r="L796" i="1"/>
  <c r="N796" i="1"/>
  <c r="P796" i="1"/>
  <c r="R796" i="1"/>
  <c r="T796" i="1"/>
  <c r="X796" i="1"/>
  <c r="G797" i="1"/>
  <c r="J797" i="1"/>
  <c r="L797" i="1"/>
  <c r="N797" i="1"/>
  <c r="P797" i="1"/>
  <c r="R797" i="1"/>
  <c r="T797" i="1"/>
  <c r="X797" i="1"/>
  <c r="G798" i="1"/>
  <c r="J798" i="1"/>
  <c r="L798" i="1"/>
  <c r="N798" i="1"/>
  <c r="P798" i="1"/>
  <c r="R798" i="1"/>
  <c r="T798" i="1"/>
  <c r="X798" i="1"/>
  <c r="G799" i="1"/>
  <c r="J799" i="1"/>
  <c r="L799" i="1"/>
  <c r="N799" i="1"/>
  <c r="P799" i="1"/>
  <c r="R799" i="1"/>
  <c r="T799" i="1"/>
  <c r="X799" i="1"/>
  <c r="G800" i="1"/>
  <c r="J800" i="1"/>
  <c r="L800" i="1"/>
  <c r="N800" i="1"/>
  <c r="P800" i="1"/>
  <c r="R800" i="1"/>
  <c r="T800" i="1"/>
  <c r="X800" i="1"/>
  <c r="G801" i="1"/>
  <c r="J801" i="1"/>
  <c r="L801" i="1"/>
  <c r="N801" i="1"/>
  <c r="P801" i="1"/>
  <c r="R801" i="1"/>
  <c r="T801" i="1"/>
  <c r="X801" i="1"/>
  <c r="G802" i="1"/>
  <c r="J802" i="1"/>
  <c r="L802" i="1"/>
  <c r="N802" i="1"/>
  <c r="P802" i="1"/>
  <c r="R802" i="1"/>
  <c r="T802" i="1"/>
  <c r="X802" i="1"/>
  <c r="G803" i="1"/>
  <c r="J803" i="1"/>
  <c r="L803" i="1"/>
  <c r="N803" i="1"/>
  <c r="P803" i="1"/>
  <c r="R803" i="1"/>
  <c r="T803" i="1"/>
  <c r="X803" i="1"/>
  <c r="G804" i="1"/>
  <c r="J804" i="1"/>
  <c r="L804" i="1"/>
  <c r="N804" i="1"/>
  <c r="P804" i="1"/>
  <c r="R804" i="1"/>
  <c r="T804" i="1"/>
  <c r="X804" i="1"/>
  <c r="G805" i="1"/>
  <c r="J805" i="1"/>
  <c r="L805" i="1"/>
  <c r="N805" i="1"/>
  <c r="P805" i="1"/>
  <c r="R805" i="1"/>
  <c r="T805" i="1"/>
  <c r="X805" i="1"/>
  <c r="G806" i="1"/>
  <c r="J806" i="1"/>
  <c r="L806" i="1"/>
  <c r="N806" i="1"/>
  <c r="P806" i="1"/>
  <c r="R806" i="1"/>
  <c r="T806" i="1"/>
  <c r="X806" i="1"/>
  <c r="G807" i="1"/>
  <c r="J807" i="1"/>
  <c r="L807" i="1"/>
  <c r="N807" i="1"/>
  <c r="P807" i="1"/>
  <c r="R807" i="1"/>
  <c r="T807" i="1"/>
  <c r="X807" i="1"/>
  <c r="G808" i="1"/>
  <c r="J808" i="1"/>
  <c r="L808" i="1"/>
  <c r="N808" i="1"/>
  <c r="P808" i="1"/>
  <c r="R808" i="1"/>
  <c r="T808" i="1"/>
  <c r="X808" i="1"/>
  <c r="G809" i="1"/>
  <c r="J809" i="1"/>
  <c r="L809" i="1"/>
  <c r="N809" i="1"/>
  <c r="P809" i="1"/>
  <c r="R809" i="1"/>
  <c r="T809" i="1"/>
  <c r="X809" i="1"/>
  <c r="G810" i="1"/>
  <c r="J810" i="1"/>
  <c r="L810" i="1"/>
  <c r="N810" i="1"/>
  <c r="P810" i="1"/>
  <c r="R810" i="1"/>
  <c r="T810" i="1"/>
  <c r="X810" i="1"/>
  <c r="G811" i="1"/>
  <c r="J811" i="1"/>
  <c r="L811" i="1"/>
  <c r="N811" i="1"/>
  <c r="P811" i="1"/>
  <c r="R811" i="1"/>
  <c r="T811" i="1"/>
  <c r="X811" i="1"/>
  <c r="G812" i="1"/>
  <c r="J812" i="1"/>
  <c r="L812" i="1"/>
  <c r="N812" i="1"/>
  <c r="P812" i="1"/>
  <c r="R812" i="1"/>
  <c r="T812" i="1"/>
  <c r="X812" i="1"/>
  <c r="G813" i="1"/>
  <c r="J813" i="1"/>
  <c r="L813" i="1"/>
  <c r="N813" i="1"/>
  <c r="P813" i="1"/>
  <c r="R813" i="1"/>
  <c r="T813" i="1"/>
  <c r="X813" i="1"/>
  <c r="G814" i="1"/>
  <c r="J814" i="1"/>
  <c r="L814" i="1"/>
  <c r="N814" i="1"/>
  <c r="P814" i="1"/>
  <c r="R814" i="1"/>
  <c r="T814" i="1"/>
  <c r="X814" i="1"/>
  <c r="G815" i="1"/>
  <c r="J815" i="1"/>
  <c r="L815" i="1"/>
  <c r="N815" i="1"/>
  <c r="P815" i="1"/>
  <c r="R815" i="1"/>
  <c r="T815" i="1"/>
  <c r="X815" i="1"/>
  <c r="G816" i="1"/>
  <c r="J816" i="1"/>
  <c r="L816" i="1"/>
  <c r="N816" i="1"/>
  <c r="P816" i="1"/>
  <c r="R816" i="1"/>
  <c r="T816" i="1"/>
  <c r="X816" i="1"/>
  <c r="G817" i="1"/>
  <c r="J817" i="1"/>
  <c r="L817" i="1"/>
  <c r="N817" i="1"/>
  <c r="P817" i="1"/>
  <c r="R817" i="1"/>
  <c r="T817" i="1"/>
  <c r="X817" i="1"/>
  <c r="G818" i="1"/>
  <c r="J818" i="1"/>
  <c r="L818" i="1"/>
  <c r="N818" i="1"/>
  <c r="P818" i="1"/>
  <c r="R818" i="1"/>
  <c r="T818" i="1"/>
  <c r="X818" i="1"/>
  <c r="G819" i="1"/>
  <c r="J819" i="1"/>
  <c r="L819" i="1"/>
  <c r="N819" i="1"/>
  <c r="P819" i="1"/>
  <c r="R819" i="1"/>
  <c r="T819" i="1"/>
  <c r="X819" i="1"/>
  <c r="G820" i="1"/>
  <c r="J820" i="1"/>
  <c r="L820" i="1"/>
  <c r="N820" i="1"/>
  <c r="P820" i="1"/>
  <c r="R820" i="1"/>
  <c r="T820" i="1"/>
  <c r="X820" i="1"/>
  <c r="G821" i="1"/>
  <c r="J821" i="1"/>
  <c r="L821" i="1"/>
  <c r="N821" i="1"/>
  <c r="P821" i="1"/>
  <c r="R821" i="1"/>
  <c r="T821" i="1"/>
  <c r="X821" i="1"/>
  <c r="G822" i="1"/>
  <c r="J822" i="1"/>
  <c r="L822" i="1"/>
  <c r="N822" i="1"/>
  <c r="P822" i="1"/>
  <c r="R822" i="1"/>
  <c r="T822" i="1"/>
  <c r="X822" i="1"/>
  <c r="G823" i="1"/>
  <c r="J823" i="1"/>
  <c r="L823" i="1"/>
  <c r="N823" i="1"/>
  <c r="P823" i="1"/>
  <c r="R823" i="1"/>
  <c r="T823" i="1"/>
  <c r="X823" i="1"/>
  <c r="G824" i="1"/>
  <c r="J824" i="1"/>
  <c r="L824" i="1"/>
  <c r="N824" i="1"/>
  <c r="P824" i="1"/>
  <c r="R824" i="1"/>
  <c r="T824" i="1"/>
  <c r="X824" i="1"/>
  <c r="G825" i="1"/>
  <c r="J825" i="1"/>
  <c r="L825" i="1"/>
  <c r="N825" i="1"/>
  <c r="P825" i="1"/>
  <c r="R825" i="1"/>
  <c r="T825" i="1"/>
  <c r="X825" i="1"/>
  <c r="G826" i="1"/>
  <c r="J826" i="1"/>
  <c r="L826" i="1"/>
  <c r="N826" i="1"/>
  <c r="P826" i="1"/>
  <c r="R826" i="1"/>
  <c r="T826" i="1"/>
  <c r="X826" i="1"/>
  <c r="G827" i="1"/>
  <c r="J827" i="1"/>
  <c r="L827" i="1"/>
  <c r="N827" i="1"/>
  <c r="P827" i="1"/>
  <c r="R827" i="1"/>
  <c r="T827" i="1"/>
  <c r="X827" i="1"/>
  <c r="G828" i="1"/>
  <c r="J828" i="1"/>
  <c r="L828" i="1"/>
  <c r="N828" i="1"/>
  <c r="P828" i="1"/>
  <c r="R828" i="1"/>
  <c r="T828" i="1"/>
  <c r="X828" i="1"/>
  <c r="G829" i="1"/>
  <c r="J829" i="1"/>
  <c r="L829" i="1"/>
  <c r="N829" i="1"/>
  <c r="P829" i="1"/>
  <c r="R829" i="1"/>
  <c r="T829" i="1"/>
  <c r="X829" i="1"/>
  <c r="G830" i="1"/>
  <c r="J830" i="1"/>
  <c r="L830" i="1"/>
  <c r="N830" i="1"/>
  <c r="P830" i="1"/>
  <c r="R830" i="1"/>
  <c r="T830" i="1"/>
  <c r="X830" i="1"/>
  <c r="G831" i="1"/>
  <c r="J831" i="1"/>
  <c r="L831" i="1"/>
  <c r="N831" i="1"/>
  <c r="P831" i="1"/>
  <c r="R831" i="1"/>
  <c r="T831" i="1"/>
  <c r="X831" i="1"/>
  <c r="G832" i="1"/>
  <c r="J832" i="1"/>
  <c r="L832" i="1"/>
  <c r="N832" i="1"/>
  <c r="P832" i="1"/>
  <c r="R832" i="1"/>
  <c r="T832" i="1"/>
  <c r="X832" i="1"/>
  <c r="G833" i="1"/>
  <c r="J833" i="1"/>
  <c r="L833" i="1"/>
  <c r="N833" i="1"/>
  <c r="P833" i="1"/>
  <c r="R833" i="1"/>
  <c r="T833" i="1"/>
  <c r="X833" i="1"/>
  <c r="G834" i="1"/>
  <c r="J834" i="1"/>
  <c r="L834" i="1"/>
  <c r="N834" i="1"/>
  <c r="P834" i="1"/>
  <c r="R834" i="1"/>
  <c r="T834" i="1"/>
  <c r="X834" i="1"/>
  <c r="G835" i="1"/>
  <c r="J835" i="1"/>
  <c r="L835" i="1"/>
  <c r="N835" i="1"/>
  <c r="P835" i="1"/>
  <c r="R835" i="1"/>
  <c r="T835" i="1"/>
  <c r="X835" i="1"/>
  <c r="G836" i="1"/>
  <c r="J836" i="1"/>
  <c r="L836" i="1"/>
  <c r="N836" i="1"/>
  <c r="P836" i="1"/>
  <c r="R836" i="1"/>
  <c r="T836" i="1"/>
  <c r="X836" i="1"/>
  <c r="G837" i="1"/>
  <c r="J837" i="1"/>
  <c r="L837" i="1"/>
  <c r="N837" i="1"/>
  <c r="P837" i="1"/>
  <c r="R837" i="1"/>
  <c r="T837" i="1"/>
  <c r="X837" i="1"/>
  <c r="G838" i="1"/>
  <c r="J838" i="1"/>
  <c r="L838" i="1"/>
  <c r="N838" i="1"/>
  <c r="P838" i="1"/>
  <c r="R838" i="1"/>
  <c r="T838" i="1"/>
  <c r="X838" i="1"/>
  <c r="G839" i="1"/>
  <c r="J839" i="1"/>
  <c r="L839" i="1"/>
  <c r="N839" i="1"/>
  <c r="P839" i="1"/>
  <c r="R839" i="1"/>
  <c r="T839" i="1"/>
  <c r="X839" i="1"/>
  <c r="G840" i="1"/>
  <c r="J840" i="1"/>
  <c r="L840" i="1"/>
  <c r="N840" i="1"/>
  <c r="P840" i="1"/>
  <c r="R840" i="1"/>
  <c r="T840" i="1"/>
  <c r="X840" i="1"/>
  <c r="G841" i="1"/>
  <c r="J841" i="1"/>
  <c r="L841" i="1"/>
  <c r="N841" i="1"/>
  <c r="P841" i="1"/>
  <c r="R841" i="1"/>
  <c r="T841" i="1"/>
  <c r="X841" i="1"/>
  <c r="G842" i="1"/>
  <c r="J842" i="1"/>
  <c r="L842" i="1"/>
  <c r="N842" i="1"/>
  <c r="P842" i="1"/>
  <c r="R842" i="1"/>
  <c r="T842" i="1"/>
  <c r="X842" i="1"/>
  <c r="G843" i="1"/>
  <c r="J843" i="1"/>
  <c r="L843" i="1"/>
  <c r="N843" i="1"/>
  <c r="P843" i="1"/>
  <c r="R843" i="1"/>
  <c r="T843" i="1"/>
  <c r="X843" i="1"/>
  <c r="G844" i="1"/>
  <c r="J844" i="1"/>
  <c r="L844" i="1"/>
  <c r="N844" i="1"/>
  <c r="P844" i="1"/>
  <c r="R844" i="1"/>
  <c r="T844" i="1"/>
  <c r="X844" i="1"/>
  <c r="G845" i="1"/>
  <c r="J845" i="1"/>
  <c r="L845" i="1"/>
  <c r="N845" i="1"/>
  <c r="P845" i="1"/>
  <c r="R845" i="1"/>
  <c r="T845" i="1"/>
  <c r="X845" i="1"/>
  <c r="G846" i="1"/>
  <c r="J846" i="1"/>
  <c r="L846" i="1"/>
  <c r="N846" i="1"/>
  <c r="P846" i="1"/>
  <c r="R846" i="1"/>
  <c r="T846" i="1"/>
  <c r="X846" i="1"/>
  <c r="G847" i="1"/>
  <c r="J847" i="1"/>
  <c r="L847" i="1"/>
  <c r="N847" i="1"/>
  <c r="P847" i="1"/>
  <c r="R847" i="1"/>
  <c r="T847" i="1"/>
  <c r="X847" i="1"/>
  <c r="G848" i="1"/>
  <c r="J848" i="1"/>
  <c r="L848" i="1"/>
  <c r="N848" i="1"/>
  <c r="P848" i="1"/>
  <c r="R848" i="1"/>
  <c r="T848" i="1"/>
  <c r="X848" i="1"/>
  <c r="G849" i="1"/>
  <c r="J849" i="1"/>
  <c r="L849" i="1"/>
  <c r="N849" i="1"/>
  <c r="P849" i="1"/>
  <c r="R849" i="1"/>
  <c r="T849" i="1"/>
  <c r="X849" i="1"/>
  <c r="G850" i="1"/>
  <c r="J850" i="1"/>
  <c r="L850" i="1"/>
  <c r="N850" i="1"/>
  <c r="P850" i="1"/>
  <c r="R850" i="1"/>
  <c r="T850" i="1"/>
  <c r="X850" i="1"/>
  <c r="G851" i="1"/>
  <c r="J851" i="1"/>
  <c r="L851" i="1"/>
  <c r="N851" i="1"/>
  <c r="P851" i="1"/>
  <c r="R851" i="1"/>
  <c r="T851" i="1"/>
  <c r="X851" i="1"/>
  <c r="G852" i="1"/>
  <c r="J852" i="1"/>
  <c r="L852" i="1"/>
  <c r="N852" i="1"/>
  <c r="P852" i="1"/>
  <c r="R852" i="1"/>
  <c r="T852" i="1"/>
  <c r="X852" i="1"/>
  <c r="G853" i="1"/>
  <c r="J853" i="1"/>
  <c r="L853" i="1"/>
  <c r="N853" i="1"/>
  <c r="P853" i="1"/>
  <c r="R853" i="1"/>
  <c r="T853" i="1"/>
  <c r="X853" i="1"/>
  <c r="G854" i="1"/>
  <c r="J854" i="1"/>
  <c r="L854" i="1"/>
  <c r="N854" i="1"/>
  <c r="P854" i="1"/>
  <c r="R854" i="1"/>
  <c r="T854" i="1"/>
  <c r="X854" i="1"/>
  <c r="G855" i="1"/>
  <c r="J855" i="1"/>
  <c r="L855" i="1"/>
  <c r="N855" i="1"/>
  <c r="P855" i="1"/>
  <c r="R855" i="1"/>
  <c r="T855" i="1"/>
  <c r="X855" i="1"/>
  <c r="G856" i="1"/>
  <c r="J856" i="1"/>
  <c r="L856" i="1"/>
  <c r="N856" i="1"/>
  <c r="P856" i="1"/>
  <c r="R856" i="1"/>
  <c r="T856" i="1"/>
  <c r="X856" i="1"/>
  <c r="G857" i="1"/>
  <c r="J857" i="1"/>
  <c r="L857" i="1"/>
  <c r="N857" i="1"/>
  <c r="P857" i="1"/>
  <c r="R857" i="1"/>
  <c r="T857" i="1"/>
  <c r="X857" i="1"/>
  <c r="G858" i="1"/>
  <c r="J858" i="1"/>
  <c r="L858" i="1"/>
  <c r="N858" i="1"/>
  <c r="P858" i="1"/>
  <c r="R858" i="1"/>
  <c r="T858" i="1"/>
  <c r="X858" i="1"/>
  <c r="G859" i="1"/>
  <c r="J859" i="1"/>
  <c r="L859" i="1"/>
  <c r="N859" i="1"/>
  <c r="P859" i="1"/>
  <c r="R859" i="1"/>
  <c r="T859" i="1"/>
  <c r="X859" i="1"/>
  <c r="G860" i="1"/>
  <c r="J860" i="1"/>
  <c r="L860" i="1"/>
  <c r="N860" i="1"/>
  <c r="P860" i="1"/>
  <c r="R860" i="1"/>
  <c r="T860" i="1"/>
  <c r="X860" i="1"/>
  <c r="G861" i="1"/>
  <c r="J861" i="1"/>
  <c r="L861" i="1"/>
  <c r="N861" i="1"/>
  <c r="P861" i="1"/>
  <c r="R861" i="1"/>
  <c r="T861" i="1"/>
  <c r="X861" i="1"/>
  <c r="G862" i="1"/>
  <c r="J862" i="1"/>
  <c r="L862" i="1"/>
  <c r="N862" i="1"/>
  <c r="P862" i="1"/>
  <c r="R862" i="1"/>
  <c r="T862" i="1"/>
  <c r="X862" i="1"/>
  <c r="G863" i="1"/>
  <c r="J863" i="1"/>
  <c r="L863" i="1"/>
  <c r="N863" i="1"/>
  <c r="P863" i="1"/>
  <c r="R863" i="1"/>
  <c r="T863" i="1"/>
  <c r="X863" i="1"/>
  <c r="G864" i="1"/>
  <c r="J864" i="1"/>
  <c r="L864" i="1"/>
  <c r="N864" i="1"/>
  <c r="P864" i="1"/>
  <c r="R864" i="1"/>
  <c r="T864" i="1"/>
  <c r="X864" i="1"/>
  <c r="G865" i="1"/>
  <c r="J865" i="1"/>
  <c r="L865" i="1"/>
  <c r="N865" i="1"/>
  <c r="P865" i="1"/>
  <c r="R865" i="1"/>
  <c r="T865" i="1"/>
  <c r="X865" i="1"/>
  <c r="G866" i="1"/>
  <c r="J866" i="1"/>
  <c r="L866" i="1"/>
  <c r="N866" i="1"/>
  <c r="P866" i="1"/>
  <c r="R866" i="1"/>
  <c r="T866" i="1"/>
  <c r="X866" i="1"/>
  <c r="G867" i="1"/>
  <c r="J867" i="1"/>
  <c r="L867" i="1"/>
  <c r="N867" i="1"/>
  <c r="P867" i="1"/>
  <c r="R867" i="1"/>
  <c r="T867" i="1"/>
  <c r="X867" i="1"/>
  <c r="G868" i="1"/>
  <c r="J868" i="1"/>
  <c r="L868" i="1"/>
  <c r="N868" i="1"/>
  <c r="P868" i="1"/>
  <c r="R868" i="1"/>
  <c r="T868" i="1"/>
  <c r="X868" i="1"/>
  <c r="G869" i="1"/>
  <c r="J869" i="1"/>
  <c r="L869" i="1"/>
  <c r="N869" i="1"/>
  <c r="P869" i="1"/>
  <c r="R869" i="1"/>
  <c r="T869" i="1"/>
  <c r="X869" i="1"/>
  <c r="G870" i="1"/>
  <c r="J870" i="1"/>
  <c r="L870" i="1"/>
  <c r="N870" i="1"/>
  <c r="P870" i="1"/>
  <c r="R870" i="1"/>
  <c r="T870" i="1"/>
  <c r="X870" i="1"/>
  <c r="G871" i="1"/>
  <c r="J871" i="1"/>
  <c r="L871" i="1"/>
  <c r="N871" i="1"/>
  <c r="P871" i="1"/>
  <c r="R871" i="1"/>
  <c r="T871" i="1"/>
  <c r="X871" i="1"/>
  <c r="G872" i="1"/>
  <c r="J872" i="1"/>
  <c r="L872" i="1"/>
  <c r="N872" i="1"/>
  <c r="P872" i="1"/>
  <c r="R872" i="1"/>
  <c r="T872" i="1"/>
  <c r="X872" i="1"/>
  <c r="G873" i="1"/>
  <c r="J873" i="1"/>
  <c r="L873" i="1"/>
  <c r="N873" i="1"/>
  <c r="P873" i="1"/>
  <c r="R873" i="1"/>
  <c r="T873" i="1"/>
  <c r="X873" i="1"/>
  <c r="G874" i="1"/>
  <c r="J874" i="1"/>
  <c r="L874" i="1"/>
  <c r="N874" i="1"/>
  <c r="P874" i="1"/>
  <c r="R874" i="1"/>
  <c r="T874" i="1"/>
  <c r="X874" i="1"/>
  <c r="G875" i="1"/>
  <c r="J875" i="1"/>
  <c r="L875" i="1"/>
  <c r="N875" i="1"/>
  <c r="P875" i="1"/>
  <c r="R875" i="1"/>
  <c r="T875" i="1"/>
  <c r="X875" i="1"/>
  <c r="G876" i="1"/>
  <c r="J876" i="1"/>
  <c r="L876" i="1"/>
  <c r="N876" i="1"/>
  <c r="P876" i="1"/>
  <c r="R876" i="1"/>
  <c r="T876" i="1"/>
  <c r="X876" i="1"/>
  <c r="G877" i="1"/>
  <c r="J877" i="1"/>
  <c r="L877" i="1"/>
  <c r="N877" i="1"/>
  <c r="P877" i="1"/>
  <c r="R877" i="1"/>
  <c r="T877" i="1"/>
  <c r="X877" i="1"/>
  <c r="G878" i="1"/>
  <c r="J878" i="1"/>
  <c r="L878" i="1"/>
  <c r="N878" i="1"/>
  <c r="P878" i="1"/>
  <c r="R878" i="1"/>
  <c r="T878" i="1"/>
  <c r="X878" i="1"/>
  <c r="G879" i="1"/>
  <c r="J879" i="1"/>
  <c r="L879" i="1"/>
  <c r="N879" i="1"/>
  <c r="P879" i="1"/>
  <c r="R879" i="1"/>
  <c r="T879" i="1"/>
  <c r="X879" i="1"/>
  <c r="G880" i="1"/>
  <c r="J880" i="1"/>
  <c r="L880" i="1"/>
  <c r="N880" i="1"/>
  <c r="P880" i="1"/>
  <c r="R880" i="1"/>
  <c r="T880" i="1"/>
  <c r="X880" i="1"/>
  <c r="G881" i="1"/>
  <c r="J881" i="1"/>
  <c r="L881" i="1"/>
  <c r="N881" i="1"/>
  <c r="P881" i="1"/>
  <c r="R881" i="1"/>
  <c r="T881" i="1"/>
  <c r="X881" i="1"/>
  <c r="G882" i="1"/>
  <c r="J882" i="1"/>
  <c r="L882" i="1"/>
  <c r="N882" i="1"/>
  <c r="P882" i="1"/>
  <c r="R882" i="1"/>
  <c r="T882" i="1"/>
  <c r="X882" i="1"/>
  <c r="G883" i="1"/>
  <c r="J883" i="1"/>
  <c r="L883" i="1"/>
  <c r="N883" i="1"/>
  <c r="P883" i="1"/>
  <c r="R883" i="1"/>
  <c r="T883" i="1"/>
  <c r="X883" i="1"/>
  <c r="G884" i="1"/>
  <c r="J884" i="1"/>
  <c r="L884" i="1"/>
  <c r="N884" i="1"/>
  <c r="P884" i="1"/>
  <c r="R884" i="1"/>
  <c r="T884" i="1"/>
  <c r="X884" i="1"/>
  <c r="G885" i="1"/>
  <c r="J885" i="1"/>
  <c r="L885" i="1"/>
  <c r="N885" i="1"/>
  <c r="P885" i="1"/>
  <c r="R885" i="1"/>
  <c r="T885" i="1"/>
  <c r="X885" i="1"/>
  <c r="G886" i="1"/>
  <c r="J886" i="1"/>
  <c r="L886" i="1"/>
  <c r="N886" i="1"/>
  <c r="P886" i="1"/>
  <c r="R886" i="1"/>
  <c r="T886" i="1"/>
  <c r="X886" i="1"/>
  <c r="G887" i="1"/>
  <c r="J887" i="1"/>
  <c r="L887" i="1"/>
  <c r="N887" i="1"/>
  <c r="P887" i="1"/>
  <c r="R887" i="1"/>
  <c r="T887" i="1"/>
  <c r="X887" i="1"/>
  <c r="G888" i="1"/>
  <c r="J888" i="1"/>
  <c r="L888" i="1"/>
  <c r="N888" i="1"/>
  <c r="P888" i="1"/>
  <c r="R888" i="1"/>
  <c r="T888" i="1"/>
  <c r="X888" i="1"/>
  <c r="G889" i="1"/>
  <c r="J889" i="1"/>
  <c r="L889" i="1"/>
  <c r="N889" i="1"/>
  <c r="P889" i="1"/>
  <c r="R889" i="1"/>
  <c r="T889" i="1"/>
  <c r="X889" i="1"/>
  <c r="G890" i="1"/>
  <c r="J890" i="1"/>
  <c r="L890" i="1"/>
  <c r="N890" i="1"/>
  <c r="P890" i="1"/>
  <c r="R890" i="1"/>
  <c r="T890" i="1"/>
  <c r="X890" i="1"/>
  <c r="G891" i="1"/>
  <c r="J891" i="1"/>
  <c r="L891" i="1"/>
  <c r="N891" i="1"/>
  <c r="P891" i="1"/>
  <c r="R891" i="1"/>
  <c r="T891" i="1"/>
  <c r="X891" i="1"/>
  <c r="G892" i="1"/>
  <c r="J892" i="1"/>
  <c r="L892" i="1"/>
  <c r="N892" i="1"/>
  <c r="P892" i="1"/>
  <c r="R892" i="1"/>
  <c r="T892" i="1"/>
  <c r="X892" i="1"/>
  <c r="G893" i="1"/>
  <c r="J893" i="1"/>
  <c r="L893" i="1"/>
  <c r="N893" i="1"/>
  <c r="P893" i="1"/>
  <c r="R893" i="1"/>
  <c r="T893" i="1"/>
  <c r="X893" i="1"/>
  <c r="G894" i="1"/>
  <c r="J894" i="1"/>
  <c r="L894" i="1"/>
  <c r="N894" i="1"/>
  <c r="P894" i="1"/>
  <c r="R894" i="1"/>
  <c r="T894" i="1"/>
  <c r="X894" i="1"/>
  <c r="G895" i="1"/>
  <c r="J895" i="1"/>
  <c r="L895" i="1"/>
  <c r="N895" i="1"/>
  <c r="P895" i="1"/>
  <c r="R895" i="1"/>
  <c r="T895" i="1"/>
  <c r="X895" i="1"/>
  <c r="G896" i="1"/>
  <c r="J896" i="1"/>
  <c r="L896" i="1"/>
  <c r="N896" i="1"/>
  <c r="P896" i="1"/>
  <c r="R896" i="1"/>
  <c r="T896" i="1"/>
  <c r="X896" i="1"/>
  <c r="G897" i="1"/>
  <c r="J897" i="1"/>
  <c r="L897" i="1"/>
  <c r="N897" i="1"/>
  <c r="P897" i="1"/>
  <c r="R897" i="1"/>
  <c r="T897" i="1"/>
  <c r="X897" i="1"/>
  <c r="G898" i="1"/>
  <c r="J898" i="1"/>
  <c r="L898" i="1"/>
  <c r="N898" i="1"/>
  <c r="P898" i="1"/>
  <c r="R898" i="1"/>
  <c r="T898" i="1"/>
  <c r="X898" i="1"/>
  <c r="G899" i="1"/>
  <c r="J899" i="1"/>
  <c r="L899" i="1"/>
  <c r="N899" i="1"/>
  <c r="P899" i="1"/>
  <c r="R899" i="1"/>
  <c r="T899" i="1"/>
  <c r="X899" i="1"/>
  <c r="G900" i="1"/>
  <c r="J900" i="1"/>
  <c r="L900" i="1"/>
  <c r="N900" i="1"/>
  <c r="P900" i="1"/>
  <c r="R900" i="1"/>
  <c r="T900" i="1"/>
  <c r="X900" i="1"/>
  <c r="G901" i="1"/>
  <c r="J901" i="1"/>
  <c r="L901" i="1"/>
  <c r="N901" i="1"/>
  <c r="P901" i="1"/>
  <c r="R901" i="1"/>
  <c r="T901" i="1"/>
  <c r="X901" i="1"/>
  <c r="G902" i="1"/>
  <c r="J902" i="1"/>
  <c r="L902" i="1"/>
  <c r="N902" i="1"/>
  <c r="P902" i="1"/>
  <c r="R902" i="1"/>
  <c r="T902" i="1"/>
  <c r="X902" i="1"/>
  <c r="G903" i="1"/>
  <c r="J903" i="1"/>
  <c r="L903" i="1"/>
  <c r="N903" i="1"/>
  <c r="P903" i="1"/>
  <c r="R903" i="1"/>
  <c r="T903" i="1"/>
  <c r="X903" i="1"/>
  <c r="G904" i="1"/>
  <c r="J904" i="1"/>
  <c r="L904" i="1"/>
  <c r="N904" i="1"/>
  <c r="P904" i="1"/>
  <c r="R904" i="1"/>
  <c r="T904" i="1"/>
  <c r="X904" i="1"/>
  <c r="G905" i="1"/>
  <c r="J905" i="1"/>
  <c r="L905" i="1"/>
  <c r="N905" i="1"/>
  <c r="P905" i="1"/>
  <c r="R905" i="1"/>
  <c r="T905" i="1"/>
  <c r="X905" i="1"/>
  <c r="G906" i="1"/>
  <c r="J906" i="1"/>
  <c r="L906" i="1"/>
  <c r="N906" i="1"/>
  <c r="P906" i="1"/>
  <c r="R906" i="1"/>
  <c r="T906" i="1"/>
  <c r="X906" i="1"/>
  <c r="G907" i="1"/>
  <c r="J907" i="1"/>
  <c r="L907" i="1"/>
  <c r="N907" i="1"/>
  <c r="P907" i="1"/>
  <c r="R907" i="1"/>
  <c r="T907" i="1"/>
  <c r="X907" i="1"/>
  <c r="G908" i="1"/>
  <c r="J908" i="1"/>
  <c r="L908" i="1"/>
  <c r="N908" i="1"/>
  <c r="P908" i="1"/>
  <c r="R908" i="1"/>
  <c r="T908" i="1"/>
  <c r="X908" i="1"/>
  <c r="G909" i="1"/>
  <c r="J909" i="1"/>
  <c r="L909" i="1"/>
  <c r="N909" i="1"/>
  <c r="P909" i="1"/>
  <c r="R909" i="1"/>
  <c r="T909" i="1"/>
  <c r="X909" i="1"/>
  <c r="G910" i="1"/>
  <c r="J910" i="1"/>
  <c r="L910" i="1"/>
  <c r="N910" i="1"/>
  <c r="P910" i="1"/>
  <c r="R910" i="1"/>
  <c r="T910" i="1"/>
  <c r="X910" i="1"/>
  <c r="G911" i="1"/>
  <c r="J911" i="1"/>
  <c r="L911" i="1"/>
  <c r="N911" i="1"/>
  <c r="P911" i="1"/>
  <c r="R911" i="1"/>
  <c r="T911" i="1"/>
  <c r="X911" i="1"/>
  <c r="G912" i="1"/>
  <c r="J912" i="1"/>
  <c r="L912" i="1"/>
  <c r="N912" i="1"/>
  <c r="P912" i="1"/>
  <c r="R912" i="1"/>
  <c r="T912" i="1"/>
  <c r="X912" i="1"/>
  <c r="G913" i="1"/>
  <c r="J913" i="1"/>
  <c r="L913" i="1"/>
  <c r="N913" i="1"/>
  <c r="P913" i="1"/>
  <c r="R913" i="1"/>
  <c r="T913" i="1"/>
  <c r="X913" i="1"/>
  <c r="G914" i="1"/>
  <c r="J914" i="1"/>
  <c r="L914" i="1"/>
  <c r="N914" i="1"/>
  <c r="P914" i="1"/>
  <c r="R914" i="1"/>
  <c r="T914" i="1"/>
  <c r="X914" i="1"/>
  <c r="G915" i="1"/>
  <c r="J915" i="1"/>
  <c r="L915" i="1"/>
  <c r="N915" i="1"/>
  <c r="P915" i="1"/>
  <c r="R915" i="1"/>
  <c r="T915" i="1"/>
  <c r="X915" i="1"/>
  <c r="G916" i="1"/>
  <c r="J916" i="1"/>
  <c r="L916" i="1"/>
  <c r="N916" i="1"/>
  <c r="P916" i="1"/>
  <c r="R916" i="1"/>
  <c r="T916" i="1"/>
  <c r="X916" i="1"/>
  <c r="G917" i="1"/>
  <c r="J917" i="1"/>
  <c r="L917" i="1"/>
  <c r="N917" i="1"/>
  <c r="P917" i="1"/>
  <c r="R917" i="1"/>
  <c r="T917" i="1"/>
  <c r="X917" i="1"/>
  <c r="G918" i="1"/>
  <c r="J918" i="1"/>
  <c r="L918" i="1"/>
  <c r="N918" i="1"/>
  <c r="P918" i="1"/>
  <c r="R918" i="1"/>
  <c r="T918" i="1"/>
  <c r="X918" i="1"/>
  <c r="G919" i="1"/>
  <c r="J919" i="1"/>
  <c r="L919" i="1"/>
  <c r="N919" i="1"/>
  <c r="P919" i="1"/>
  <c r="R919" i="1"/>
  <c r="T919" i="1"/>
  <c r="X919" i="1"/>
  <c r="G920" i="1"/>
  <c r="J920" i="1"/>
  <c r="L920" i="1"/>
  <c r="N920" i="1"/>
  <c r="P920" i="1"/>
  <c r="R920" i="1"/>
  <c r="T920" i="1"/>
  <c r="X920" i="1"/>
  <c r="G921" i="1"/>
  <c r="J921" i="1"/>
  <c r="L921" i="1"/>
  <c r="N921" i="1"/>
  <c r="P921" i="1"/>
  <c r="R921" i="1"/>
  <c r="T921" i="1"/>
  <c r="X921" i="1"/>
  <c r="G922" i="1"/>
  <c r="J922" i="1"/>
  <c r="L922" i="1"/>
  <c r="N922" i="1"/>
  <c r="P922" i="1"/>
  <c r="R922" i="1"/>
  <c r="T922" i="1"/>
  <c r="X922" i="1"/>
  <c r="G923" i="1"/>
  <c r="J923" i="1"/>
  <c r="L923" i="1"/>
  <c r="N923" i="1"/>
  <c r="P923" i="1"/>
  <c r="R923" i="1"/>
  <c r="T923" i="1"/>
  <c r="X923" i="1"/>
  <c r="G924" i="1"/>
  <c r="J924" i="1"/>
  <c r="L924" i="1"/>
  <c r="N924" i="1"/>
  <c r="P924" i="1"/>
  <c r="R924" i="1"/>
  <c r="T924" i="1"/>
  <c r="X924" i="1"/>
  <c r="G925" i="1"/>
  <c r="J925" i="1"/>
  <c r="L925" i="1"/>
  <c r="N925" i="1"/>
  <c r="P925" i="1"/>
  <c r="R925" i="1"/>
  <c r="T925" i="1"/>
  <c r="X925" i="1"/>
  <c r="G926" i="1"/>
  <c r="J926" i="1"/>
  <c r="L926" i="1"/>
  <c r="N926" i="1"/>
  <c r="P926" i="1"/>
  <c r="R926" i="1"/>
  <c r="T926" i="1"/>
  <c r="X926" i="1"/>
  <c r="G927" i="1"/>
  <c r="J927" i="1"/>
  <c r="L927" i="1"/>
  <c r="N927" i="1"/>
  <c r="P927" i="1"/>
  <c r="R927" i="1"/>
  <c r="T927" i="1"/>
  <c r="X927" i="1"/>
  <c r="G928" i="1"/>
  <c r="J928" i="1"/>
  <c r="L928" i="1"/>
  <c r="N928" i="1"/>
  <c r="P928" i="1"/>
  <c r="R928" i="1"/>
  <c r="T928" i="1"/>
  <c r="X928" i="1"/>
  <c r="G929" i="1"/>
  <c r="J929" i="1"/>
  <c r="L929" i="1"/>
  <c r="N929" i="1"/>
  <c r="P929" i="1"/>
  <c r="R929" i="1"/>
  <c r="T929" i="1"/>
  <c r="X929" i="1"/>
  <c r="G930" i="1"/>
  <c r="J930" i="1"/>
  <c r="L930" i="1"/>
  <c r="N930" i="1"/>
  <c r="P930" i="1"/>
  <c r="R930" i="1"/>
  <c r="T930" i="1"/>
  <c r="X930" i="1"/>
  <c r="G931" i="1"/>
  <c r="J931" i="1"/>
  <c r="L931" i="1"/>
  <c r="N931" i="1"/>
  <c r="P931" i="1"/>
  <c r="R931" i="1"/>
  <c r="T931" i="1"/>
  <c r="X931" i="1"/>
  <c r="G932" i="1"/>
  <c r="J932" i="1"/>
  <c r="L932" i="1"/>
  <c r="N932" i="1"/>
  <c r="P932" i="1"/>
  <c r="R932" i="1"/>
  <c r="T932" i="1"/>
  <c r="X932" i="1"/>
  <c r="G933" i="1"/>
  <c r="J933" i="1"/>
  <c r="L933" i="1"/>
  <c r="N933" i="1"/>
  <c r="P933" i="1"/>
  <c r="R933" i="1"/>
  <c r="T933" i="1"/>
  <c r="X933" i="1"/>
  <c r="G934" i="1"/>
  <c r="J934" i="1"/>
  <c r="L934" i="1"/>
  <c r="N934" i="1"/>
  <c r="P934" i="1"/>
  <c r="R934" i="1"/>
  <c r="T934" i="1"/>
  <c r="X934" i="1"/>
  <c r="G935" i="1"/>
  <c r="J935" i="1"/>
  <c r="L935" i="1"/>
  <c r="N935" i="1"/>
  <c r="P935" i="1"/>
  <c r="R935" i="1"/>
  <c r="T935" i="1"/>
  <c r="X935" i="1"/>
  <c r="G936" i="1"/>
  <c r="J936" i="1"/>
  <c r="L936" i="1"/>
  <c r="N936" i="1"/>
  <c r="P936" i="1"/>
  <c r="R936" i="1"/>
  <c r="T936" i="1"/>
  <c r="X936" i="1"/>
  <c r="G937" i="1"/>
  <c r="J937" i="1"/>
  <c r="L937" i="1"/>
  <c r="N937" i="1"/>
  <c r="P937" i="1"/>
  <c r="R937" i="1"/>
  <c r="T937" i="1"/>
  <c r="X937" i="1"/>
  <c r="G938" i="1"/>
  <c r="J938" i="1"/>
  <c r="L938" i="1"/>
  <c r="N938" i="1"/>
  <c r="P938" i="1"/>
  <c r="R938" i="1"/>
  <c r="T938" i="1"/>
  <c r="X938" i="1"/>
  <c r="G939" i="1"/>
  <c r="J939" i="1"/>
  <c r="L939" i="1"/>
  <c r="N939" i="1"/>
  <c r="P939" i="1"/>
  <c r="R939" i="1"/>
  <c r="T939" i="1"/>
  <c r="X939" i="1"/>
  <c r="G940" i="1"/>
  <c r="J940" i="1"/>
  <c r="L940" i="1"/>
  <c r="N940" i="1"/>
  <c r="P940" i="1"/>
  <c r="R940" i="1"/>
  <c r="T940" i="1"/>
  <c r="X940" i="1"/>
  <c r="G941" i="1"/>
  <c r="J941" i="1"/>
  <c r="L941" i="1"/>
  <c r="N941" i="1"/>
  <c r="P941" i="1"/>
  <c r="R941" i="1"/>
  <c r="T941" i="1"/>
  <c r="X941" i="1"/>
  <c r="G942" i="1"/>
  <c r="J942" i="1"/>
  <c r="L942" i="1"/>
  <c r="N942" i="1"/>
  <c r="P942" i="1"/>
  <c r="R942" i="1"/>
  <c r="T942" i="1"/>
  <c r="X942" i="1"/>
  <c r="G943" i="1"/>
  <c r="J943" i="1"/>
  <c r="L943" i="1"/>
  <c r="N943" i="1"/>
  <c r="P943" i="1"/>
  <c r="R943" i="1"/>
  <c r="T943" i="1"/>
  <c r="X943" i="1"/>
  <c r="G944" i="1"/>
  <c r="J944" i="1"/>
  <c r="L944" i="1"/>
  <c r="N944" i="1"/>
  <c r="P944" i="1"/>
  <c r="R944" i="1"/>
  <c r="T944" i="1"/>
  <c r="X944" i="1"/>
  <c r="G945" i="1"/>
  <c r="J945" i="1"/>
  <c r="L945" i="1"/>
  <c r="N945" i="1"/>
  <c r="P945" i="1"/>
  <c r="R945" i="1"/>
  <c r="T945" i="1"/>
  <c r="X945" i="1"/>
  <c r="G946" i="1"/>
  <c r="J946" i="1"/>
  <c r="L946" i="1"/>
  <c r="N946" i="1"/>
  <c r="P946" i="1"/>
  <c r="R946" i="1"/>
  <c r="T946" i="1"/>
  <c r="X946" i="1"/>
  <c r="G947" i="1"/>
  <c r="J947" i="1"/>
  <c r="L947" i="1"/>
  <c r="N947" i="1"/>
  <c r="P947" i="1"/>
  <c r="R947" i="1"/>
  <c r="T947" i="1"/>
  <c r="X947" i="1"/>
  <c r="G948" i="1"/>
  <c r="J948" i="1"/>
  <c r="L948" i="1"/>
  <c r="N948" i="1"/>
  <c r="P948" i="1"/>
  <c r="R948" i="1"/>
  <c r="T948" i="1"/>
  <c r="X948" i="1"/>
  <c r="G949" i="1"/>
  <c r="J949" i="1"/>
  <c r="L949" i="1"/>
  <c r="N949" i="1"/>
  <c r="P949" i="1"/>
  <c r="R949" i="1"/>
  <c r="T949" i="1"/>
  <c r="X949" i="1"/>
  <c r="G950" i="1"/>
  <c r="J950" i="1"/>
  <c r="L950" i="1"/>
  <c r="N950" i="1"/>
  <c r="P950" i="1"/>
  <c r="R950" i="1"/>
  <c r="T950" i="1"/>
  <c r="X950" i="1"/>
  <c r="G951" i="1"/>
  <c r="J951" i="1"/>
  <c r="L951" i="1"/>
  <c r="N951" i="1"/>
  <c r="P951" i="1"/>
  <c r="R951" i="1"/>
  <c r="T951" i="1"/>
  <c r="X951" i="1"/>
  <c r="G952" i="1"/>
  <c r="J952" i="1"/>
  <c r="L952" i="1"/>
  <c r="N952" i="1"/>
  <c r="P952" i="1"/>
  <c r="R952" i="1"/>
  <c r="T952" i="1"/>
  <c r="X952" i="1"/>
  <c r="G953" i="1"/>
  <c r="J953" i="1"/>
  <c r="L953" i="1"/>
  <c r="N953" i="1"/>
  <c r="P953" i="1"/>
  <c r="R953" i="1"/>
  <c r="T953" i="1"/>
  <c r="X953" i="1"/>
  <c r="G954" i="1"/>
  <c r="J954" i="1"/>
  <c r="L954" i="1"/>
  <c r="N954" i="1"/>
  <c r="P954" i="1"/>
  <c r="R954" i="1"/>
  <c r="T954" i="1"/>
  <c r="X954" i="1"/>
  <c r="G955" i="1"/>
  <c r="J955" i="1"/>
  <c r="L955" i="1"/>
  <c r="N955" i="1"/>
  <c r="P955" i="1"/>
  <c r="R955" i="1"/>
  <c r="T955" i="1"/>
  <c r="X955" i="1"/>
  <c r="G956" i="1"/>
  <c r="J956" i="1"/>
  <c r="L956" i="1"/>
  <c r="N956" i="1"/>
  <c r="P956" i="1"/>
  <c r="R956" i="1"/>
  <c r="T956" i="1"/>
  <c r="X956" i="1"/>
  <c r="G957" i="1"/>
  <c r="J957" i="1"/>
  <c r="L957" i="1"/>
  <c r="N957" i="1"/>
  <c r="P957" i="1"/>
  <c r="R957" i="1"/>
  <c r="T957" i="1"/>
  <c r="X957" i="1"/>
  <c r="G958" i="1"/>
  <c r="J958" i="1"/>
  <c r="L958" i="1"/>
  <c r="N958" i="1"/>
  <c r="P958" i="1"/>
  <c r="R958" i="1"/>
  <c r="T958" i="1"/>
  <c r="X958" i="1"/>
  <c r="G959" i="1"/>
  <c r="J959" i="1"/>
  <c r="L959" i="1"/>
  <c r="N959" i="1"/>
  <c r="P959" i="1"/>
  <c r="R959" i="1"/>
  <c r="T959" i="1"/>
  <c r="X959" i="1"/>
  <c r="G960" i="1"/>
  <c r="J960" i="1"/>
  <c r="L960" i="1"/>
  <c r="N960" i="1"/>
  <c r="P960" i="1"/>
  <c r="R960" i="1"/>
  <c r="T960" i="1"/>
  <c r="X960" i="1"/>
  <c r="G961" i="1"/>
  <c r="J961" i="1"/>
  <c r="L961" i="1"/>
  <c r="N961" i="1"/>
  <c r="P961" i="1"/>
  <c r="R961" i="1"/>
  <c r="T961" i="1"/>
  <c r="X961" i="1"/>
  <c r="G962" i="1"/>
  <c r="J962" i="1"/>
  <c r="L962" i="1"/>
  <c r="N962" i="1"/>
  <c r="P962" i="1"/>
  <c r="R962" i="1"/>
  <c r="T962" i="1"/>
  <c r="X962" i="1"/>
  <c r="G963" i="1"/>
  <c r="J963" i="1"/>
  <c r="L963" i="1"/>
  <c r="N963" i="1"/>
  <c r="P963" i="1"/>
  <c r="R963" i="1"/>
  <c r="T963" i="1"/>
  <c r="X963" i="1"/>
  <c r="G964" i="1"/>
  <c r="J964" i="1"/>
  <c r="L964" i="1"/>
  <c r="N964" i="1"/>
  <c r="P964" i="1"/>
  <c r="R964" i="1"/>
  <c r="T964" i="1"/>
  <c r="X964" i="1"/>
  <c r="G965" i="1"/>
  <c r="J965" i="1"/>
  <c r="L965" i="1"/>
  <c r="N965" i="1"/>
  <c r="P965" i="1"/>
  <c r="R965" i="1"/>
  <c r="T965" i="1"/>
  <c r="X965" i="1"/>
  <c r="G966" i="1"/>
  <c r="J966" i="1"/>
  <c r="L966" i="1"/>
  <c r="N966" i="1"/>
  <c r="P966" i="1"/>
  <c r="R966" i="1"/>
  <c r="T966" i="1"/>
  <c r="X966" i="1"/>
  <c r="G967" i="1"/>
  <c r="J967" i="1"/>
  <c r="L967" i="1"/>
  <c r="N967" i="1"/>
  <c r="P967" i="1"/>
  <c r="R967" i="1"/>
  <c r="T967" i="1"/>
  <c r="X967" i="1"/>
  <c r="G968" i="1"/>
  <c r="J968" i="1"/>
  <c r="L968" i="1"/>
  <c r="N968" i="1"/>
  <c r="P968" i="1"/>
  <c r="R968" i="1"/>
  <c r="T968" i="1"/>
  <c r="X968" i="1"/>
  <c r="G969" i="1"/>
  <c r="J969" i="1"/>
  <c r="L969" i="1"/>
  <c r="N969" i="1"/>
  <c r="P969" i="1"/>
  <c r="R969" i="1"/>
  <c r="T969" i="1"/>
  <c r="X969" i="1"/>
  <c r="G970" i="1"/>
  <c r="J970" i="1"/>
  <c r="L970" i="1"/>
  <c r="N970" i="1"/>
  <c r="P970" i="1"/>
  <c r="R970" i="1"/>
  <c r="T970" i="1"/>
  <c r="X970" i="1"/>
  <c r="G971" i="1"/>
  <c r="J971" i="1"/>
  <c r="L971" i="1"/>
  <c r="N971" i="1"/>
  <c r="P971" i="1"/>
  <c r="R971" i="1"/>
  <c r="T971" i="1"/>
  <c r="X971" i="1"/>
  <c r="G972" i="1"/>
  <c r="J972" i="1"/>
  <c r="L972" i="1"/>
  <c r="N972" i="1"/>
  <c r="P972" i="1"/>
  <c r="R972" i="1"/>
  <c r="T972" i="1"/>
  <c r="X972" i="1"/>
  <c r="G973" i="1"/>
  <c r="J973" i="1"/>
  <c r="L973" i="1"/>
  <c r="N973" i="1"/>
  <c r="P973" i="1"/>
  <c r="R973" i="1"/>
  <c r="T973" i="1"/>
  <c r="X973" i="1"/>
  <c r="G974" i="1"/>
  <c r="J974" i="1"/>
  <c r="L974" i="1"/>
  <c r="N974" i="1"/>
  <c r="P974" i="1"/>
  <c r="R974" i="1"/>
  <c r="T974" i="1"/>
  <c r="X974" i="1"/>
  <c r="G975" i="1"/>
  <c r="J975" i="1"/>
  <c r="L975" i="1"/>
  <c r="N975" i="1"/>
  <c r="P975" i="1"/>
  <c r="R975" i="1"/>
  <c r="T975" i="1"/>
  <c r="X975" i="1"/>
  <c r="G976" i="1"/>
  <c r="J976" i="1"/>
  <c r="L976" i="1"/>
  <c r="N976" i="1"/>
  <c r="P976" i="1"/>
  <c r="R976" i="1"/>
  <c r="T976" i="1"/>
  <c r="X976" i="1"/>
  <c r="G977" i="1"/>
  <c r="J977" i="1"/>
  <c r="L977" i="1"/>
  <c r="N977" i="1"/>
  <c r="P977" i="1"/>
  <c r="R977" i="1"/>
  <c r="T977" i="1"/>
  <c r="X977" i="1"/>
  <c r="G978" i="1"/>
  <c r="J978" i="1"/>
  <c r="L978" i="1"/>
  <c r="N978" i="1"/>
  <c r="P978" i="1"/>
  <c r="R978" i="1"/>
  <c r="T978" i="1"/>
  <c r="X978" i="1"/>
  <c r="G979" i="1"/>
  <c r="J979" i="1"/>
  <c r="L979" i="1"/>
  <c r="N979" i="1"/>
  <c r="P979" i="1"/>
  <c r="R979" i="1"/>
  <c r="T979" i="1"/>
  <c r="X979" i="1"/>
  <c r="G980" i="1"/>
  <c r="J980" i="1"/>
  <c r="L980" i="1"/>
  <c r="N980" i="1"/>
  <c r="P980" i="1"/>
  <c r="R980" i="1"/>
  <c r="T980" i="1"/>
  <c r="X980" i="1"/>
  <c r="G981" i="1"/>
  <c r="J981" i="1"/>
  <c r="L981" i="1"/>
  <c r="N981" i="1"/>
  <c r="P981" i="1"/>
  <c r="R981" i="1"/>
  <c r="T981" i="1"/>
  <c r="X981" i="1"/>
  <c r="G982" i="1"/>
  <c r="J982" i="1"/>
  <c r="L982" i="1"/>
  <c r="N982" i="1"/>
  <c r="P982" i="1"/>
  <c r="R982" i="1"/>
  <c r="T982" i="1"/>
  <c r="X982" i="1"/>
  <c r="G983" i="1"/>
  <c r="J983" i="1"/>
  <c r="L983" i="1"/>
  <c r="N983" i="1"/>
  <c r="P983" i="1"/>
  <c r="R983" i="1"/>
  <c r="T983" i="1"/>
  <c r="X983" i="1"/>
  <c r="G984" i="1"/>
  <c r="J984" i="1"/>
  <c r="L984" i="1"/>
  <c r="N984" i="1"/>
  <c r="P984" i="1"/>
  <c r="R984" i="1"/>
  <c r="T984" i="1"/>
  <c r="X984" i="1"/>
  <c r="G985" i="1"/>
  <c r="J985" i="1"/>
  <c r="L985" i="1"/>
  <c r="N985" i="1"/>
  <c r="P985" i="1"/>
  <c r="R985" i="1"/>
  <c r="T985" i="1"/>
  <c r="X985" i="1"/>
  <c r="G986" i="1"/>
  <c r="J986" i="1"/>
  <c r="L986" i="1"/>
  <c r="N986" i="1"/>
  <c r="P986" i="1"/>
  <c r="R986" i="1"/>
  <c r="T986" i="1"/>
  <c r="X986" i="1"/>
  <c r="G987" i="1"/>
  <c r="J987" i="1"/>
  <c r="L987" i="1"/>
  <c r="N987" i="1"/>
  <c r="P987" i="1"/>
  <c r="R987" i="1"/>
  <c r="T987" i="1"/>
  <c r="X987" i="1"/>
  <c r="G988" i="1"/>
  <c r="J988" i="1"/>
  <c r="L988" i="1"/>
  <c r="N988" i="1"/>
  <c r="P988" i="1"/>
  <c r="R988" i="1"/>
  <c r="T988" i="1"/>
  <c r="X988" i="1"/>
  <c r="G989" i="1"/>
  <c r="J989" i="1"/>
  <c r="L989" i="1"/>
  <c r="N989" i="1"/>
  <c r="P989" i="1"/>
  <c r="R989" i="1"/>
  <c r="T989" i="1"/>
  <c r="X989" i="1"/>
  <c r="G990" i="1"/>
  <c r="J990" i="1"/>
  <c r="L990" i="1"/>
  <c r="N990" i="1"/>
  <c r="P990" i="1"/>
  <c r="R990" i="1"/>
  <c r="T990" i="1"/>
  <c r="X990" i="1"/>
  <c r="G991" i="1"/>
  <c r="J991" i="1"/>
  <c r="L991" i="1"/>
  <c r="N991" i="1"/>
  <c r="P991" i="1"/>
  <c r="R991" i="1"/>
  <c r="T991" i="1"/>
  <c r="X991" i="1"/>
  <c r="G992" i="1"/>
  <c r="J992" i="1"/>
  <c r="L992" i="1"/>
  <c r="N992" i="1"/>
  <c r="P992" i="1"/>
  <c r="R992" i="1"/>
  <c r="T992" i="1"/>
  <c r="X992" i="1"/>
  <c r="G993" i="1"/>
  <c r="J993" i="1"/>
  <c r="L993" i="1"/>
  <c r="N993" i="1"/>
  <c r="P993" i="1"/>
  <c r="R993" i="1"/>
  <c r="T993" i="1"/>
  <c r="X993" i="1"/>
  <c r="G994" i="1"/>
  <c r="J994" i="1"/>
  <c r="L994" i="1"/>
  <c r="N994" i="1"/>
  <c r="P994" i="1"/>
  <c r="R994" i="1"/>
  <c r="T994" i="1"/>
  <c r="X994" i="1"/>
  <c r="G995" i="1"/>
  <c r="J995" i="1"/>
  <c r="L995" i="1"/>
  <c r="N995" i="1"/>
  <c r="P995" i="1"/>
  <c r="R995" i="1"/>
  <c r="T995" i="1"/>
  <c r="X995" i="1"/>
  <c r="G996" i="1"/>
  <c r="J996" i="1"/>
  <c r="L996" i="1"/>
  <c r="N996" i="1"/>
  <c r="P996" i="1"/>
  <c r="R996" i="1"/>
  <c r="T996" i="1"/>
  <c r="X996" i="1"/>
  <c r="G997" i="1"/>
  <c r="J997" i="1"/>
  <c r="L997" i="1"/>
  <c r="N997" i="1"/>
  <c r="P997" i="1"/>
  <c r="R997" i="1"/>
  <c r="T997" i="1"/>
  <c r="X997" i="1"/>
  <c r="G998" i="1"/>
  <c r="J998" i="1"/>
  <c r="L998" i="1"/>
  <c r="N998" i="1"/>
  <c r="P998" i="1"/>
  <c r="R998" i="1"/>
  <c r="T998" i="1"/>
  <c r="X998" i="1"/>
  <c r="G999" i="1"/>
  <c r="J999" i="1"/>
  <c r="L999" i="1"/>
  <c r="N999" i="1"/>
  <c r="P999" i="1"/>
  <c r="R999" i="1"/>
  <c r="T999" i="1"/>
  <c r="X999" i="1"/>
  <c r="G1000" i="1"/>
  <c r="J1000" i="1"/>
  <c r="L1000" i="1"/>
  <c r="N1000" i="1"/>
  <c r="P1000" i="1"/>
  <c r="R1000" i="1"/>
  <c r="T1000" i="1"/>
  <c r="X1000" i="1"/>
  <c r="G1001" i="1"/>
  <c r="J1001" i="1"/>
  <c r="L1001" i="1"/>
  <c r="N1001" i="1"/>
  <c r="P1001" i="1"/>
  <c r="R1001" i="1"/>
  <c r="T1001" i="1"/>
  <c r="X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61F430-D680-4CE6-8082-F84E89AE831B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2" xr16:uid="{57B9EAB1-075C-4C7D-962F-44C0DA85D8CF}" keepAlive="1" name="Query - dataset_2" description="Connection to the 'dataset_2' query in the workbook." type="5" refreshedVersion="0" background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<sst xmlns="http://schemas.openxmlformats.org/spreadsheetml/2006/main" count="37" uniqueCount="30">
  <si>
    <t>minimum rentals</t>
  </si>
  <si>
    <t>maximum rentals</t>
  </si>
  <si>
    <t>windspeed</t>
  </si>
  <si>
    <t>Humidity</t>
  </si>
  <si>
    <t>Temprature</t>
  </si>
  <si>
    <t>count</t>
  </si>
  <si>
    <t>registered users</t>
  </si>
  <si>
    <t>casual users</t>
  </si>
  <si>
    <t>min</t>
  </si>
  <si>
    <t>max</t>
  </si>
  <si>
    <t>average</t>
  </si>
  <si>
    <t>sum</t>
  </si>
  <si>
    <t>rental demand category</t>
  </si>
  <si>
    <t>windspeed category</t>
  </si>
  <si>
    <t>humidity category</t>
  </si>
  <si>
    <t xml:space="preserve">  AT category</t>
  </si>
  <si>
    <t>Apparent Temperature</t>
  </si>
  <si>
    <t>Temprature category</t>
  </si>
  <si>
    <t>weather category</t>
  </si>
  <si>
    <t>weather situation</t>
  </si>
  <si>
    <t>day name</t>
  </si>
  <si>
    <t>Day of the week</t>
  </si>
  <si>
    <t>holiday or not</t>
  </si>
  <si>
    <t>session of day</t>
  </si>
  <si>
    <t>hour</t>
  </si>
  <si>
    <t>Month</t>
  </si>
  <si>
    <t>Year</t>
  </si>
  <si>
    <t>Season of the year</t>
  </si>
  <si>
    <t>Date 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</si>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</sst>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2" fillId="0" borderId="1" xfId="0" applyNumberFormat="1" applyFont="1" applyBorder="1"/>
    <xf numFmtId="14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D8CAD2-B7E3-4FCF-B0F6-C12B7249FA6E}" autoFormatId="16" applyNumberFormats="0" applyBorderFormats="0" applyFontFormats="0" applyPatternFormats="0" applyAlignmentFormats="0" applyWidthHeightFormats="0">
  <queryTableRefresh nextId="27">
    <queryTableFields count="24">
      <queryTableField id="1" name="instant" tableColumnId="1"/>
      <queryTableField id="2" name="Date Day" tableColumnId="2"/>
      <queryTableField id="3" name="Season of the year" tableColumnId="3"/>
      <queryTableField id="4" name="Year" tableColumnId="4"/>
      <queryTableField id="5" name="Month" tableColumnId="5"/>
      <queryTableField id="6" name="hour" tableColumnId="6"/>
      <queryTableField id="7" name="session of day" tableColumnId="7"/>
      <queryTableField id="8" name="holiday or not" tableColumnId="8"/>
      <queryTableField id="9" name="Day of the week" tableColumnId="9"/>
      <queryTableField id="10" name="day name" tableColumnId="10"/>
      <queryTableField id="11" name="weather situation" tableColumnId="11"/>
      <queryTableField id="12" name="weather category" tableColumnId="12"/>
      <queryTableField id="13" name="Temprature" tableColumnId="13"/>
      <queryTableField id="14" name="Temprature category" tableColumnId="14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5" name="Column25" tableColumnId="25"/>
      <queryTableField id="26" name="Column26" tableColumnId="26"/>
    </queryTableFields>
    <queryTableDeletedFields count="2">
      <deletedField name="Column15"/>
      <deletedField name="Column2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D98E2-F15D-4530-8E2F-290546EA317E}" name="dataset_1" displayName="dataset_1" ref="A1:X1002" tableType="queryTable" totalsRowCount="1">
  <autoFilter ref="A1:X1001" xr:uid="{24A62B32-1BD0-49D8-83BC-87985FADBA89}"/>
  <tableColumns count="24">
    <tableColumn id="1" xr3:uid="{49D73C15-6EB3-4976-BEAF-31C2847BF6A0}" uniqueName="1" name="instant" queryTableFieldId="1"/>
    <tableColumn id="2" xr3:uid="{3A767011-A8C3-4177-81AA-E031B0B0B445}" uniqueName="2" name="Date Day" queryTableFieldId="2" dataDxfId="8"/>
    <tableColumn id="3" xr3:uid="{CD537ADD-A508-4FFC-A192-F0E2DC5E705B}" uniqueName="3" name="Season of the year" queryTableFieldId="3"/>
    <tableColumn id="4" xr3:uid="{1E092CF3-0F73-46F7-950D-710E55400D86}" uniqueName="4" name="Year" queryTableFieldId="4"/>
    <tableColumn id="5" xr3:uid="{09C50617-CB8B-4B4D-80F5-985C86E3DDC2}" uniqueName="5" name="Month" queryTableFieldId="5"/>
    <tableColumn id="6" xr3:uid="{14B53BC8-6655-4780-BC38-4E7407E243FE}" uniqueName="6" name="hour" queryTableFieldId="6"/>
    <tableColumn id="7" xr3:uid="{E840C367-BECA-42C7-9CFB-F0D6F5E83BA3}" uniqueName="7" name="session of day" queryTableFieldId="7" dataDxfId="7"/>
    <tableColumn id="8" xr3:uid="{1C6A6688-C9A5-4D5E-AC79-3DEFC34A6C72}" uniqueName="8" name="holiday or not" queryTableFieldId="8"/>
    <tableColumn id="9" xr3:uid="{0D641509-B6E0-4C1C-A3AB-9335422D9C28}" uniqueName="9" name="Day of the week" queryTableFieldId="9"/>
    <tableColumn id="10" xr3:uid="{866E13D1-9043-4DD0-B97F-2418B5EA702D}" uniqueName="10" name="day name" queryTableFieldId="10" dataDxfId="6"/>
    <tableColumn id="11" xr3:uid="{5E13AA45-04F7-4CFA-9353-4D1F35D936C1}" uniqueName="11" name="weather situation" queryTableFieldId="11"/>
    <tableColumn id="12" xr3:uid="{364BFD2B-8326-4BCE-9AE2-5F015D61B7BE}" uniqueName="12" name="weather category" queryTableFieldId="12" dataDxfId="5"/>
    <tableColumn id="13" xr3:uid="{4D63F520-455A-4911-AF37-760365DAFCFF}" uniqueName="13" name="Temprature" queryTableFieldId="13"/>
    <tableColumn id="14" xr3:uid="{E5CF9939-C4E4-4649-AE6E-5EC3FD874684}" uniqueName="14" name="Temprature category" queryTableFieldId="14" dataDxfId="4"/>
    <tableColumn id="16" xr3:uid="{98751962-F919-4054-B774-46C2149B20DA}" uniqueName="16" name="Apparent Temperature" queryTableFieldId="16"/>
    <tableColumn id="17" xr3:uid="{84B3A83C-A991-4BFA-9CD8-71CA2AB2E495}" uniqueName="17" name="  AT category" queryTableFieldId="17" dataDxfId="3"/>
    <tableColumn id="18" xr3:uid="{73EFB03E-69F8-4974-9711-21E511128FF3}" uniqueName="18" name="Humidity" queryTableFieldId="18"/>
    <tableColumn id="19" xr3:uid="{6AB309DB-EDA5-4DC0-8BD6-4D2170EEEBDF}" uniqueName="19" name="humidity category" queryTableFieldId="19" dataDxfId="2"/>
    <tableColumn id="20" xr3:uid="{B910A5FE-BF63-4ABC-A01D-A81B803BD3AC}" uniqueName="20" name="windspeed" queryTableFieldId="20"/>
    <tableColumn id="21" xr3:uid="{DCB78825-8333-4FA7-8439-47B75F3B2A7B}" uniqueName="21" name="windspeed category" queryTableFieldId="21" dataDxfId="1"/>
    <tableColumn id="22" xr3:uid="{40FCF5D9-0E54-4AA5-8D04-0017C8971B13}" uniqueName="22" name="casual users" queryTableFieldId="22"/>
    <tableColumn id="23" xr3:uid="{190E3141-2DE1-47F5-87C3-D0ECC8B437FF}" uniqueName="23" name="registered users" queryTableFieldId="23"/>
    <tableColumn id="25" xr3:uid="{692FEB62-9AD6-496A-B8BE-17DA5F707068}" uniqueName="25" name="count" queryTableFieldId="25"/>
    <tableColumn id="26" xr3:uid="{00B1C858-4FD0-48C0-8B42-F7AD2CFB4921}" uniqueName="26" name="rental demand category" totalsRowFunction="count" queryTableFieldId="26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25C1-F156-44EB-AEB3-8B438D7F8099}">
  <dimension ref="A1:AI1002"/>
  <sheetViews>
    <sheetView tabSelected="1" topLeftCell="N1" workbookViewId="0">
      <selection sqref="A1:XFD1048576"/>
    </sheetView>
  </sheetViews>
  <sheetFormatPr defaultRowHeight="15" x14ac:dyDescent="0.25"/>
  <cols>
    <col min="1" max="1" width="9.42578125" bestFit="1" customWidth="1"/>
    <col min="2" max="2" width="11.140625" bestFit="1" customWidth="1"/>
    <col min="3" max="3" width="19.85546875" bestFit="1" customWidth="1"/>
    <col min="4" max="4" width="7.28515625" bestFit="1" customWidth="1"/>
    <col min="5" max="5" width="9.28515625" bestFit="1" customWidth="1"/>
    <col min="6" max="6" width="7.42578125" bestFit="1" customWidth="1"/>
    <col min="7" max="7" width="15.85546875" bestFit="1" customWidth="1"/>
    <col min="8" max="8" width="15.7109375" bestFit="1" customWidth="1"/>
    <col min="9" max="9" width="17.7109375" bestFit="1" customWidth="1"/>
    <col min="10" max="10" width="11.85546875" bestFit="1" customWidth="1"/>
    <col min="11" max="11" width="19.140625" bestFit="1" customWidth="1"/>
    <col min="12" max="12" width="18.85546875" bestFit="1" customWidth="1"/>
    <col min="13" max="13" width="13.7109375" bestFit="1" customWidth="1"/>
    <col min="14" max="14" width="22" bestFit="1" customWidth="1"/>
    <col min="15" max="15" width="24" bestFit="1" customWidth="1"/>
    <col min="16" max="16" width="14.42578125" bestFit="1" customWidth="1"/>
    <col min="17" max="17" width="11.42578125" bestFit="1" customWidth="1"/>
    <col min="18" max="18" width="19.5703125" bestFit="1" customWidth="1"/>
    <col min="19" max="19" width="13.140625" bestFit="1" customWidth="1"/>
    <col min="20" max="20" width="21.42578125" bestFit="1" customWidth="1"/>
    <col min="21" max="21" width="13.85546875" bestFit="1" customWidth="1"/>
    <col min="22" max="22" width="17.7109375" bestFit="1" customWidth="1"/>
    <col min="23" max="23" width="8.28515625" bestFit="1" customWidth="1"/>
    <col min="24" max="24" width="24.7109375" bestFit="1" customWidth="1"/>
    <col min="30" max="30" width="16.5703125" bestFit="1" customWidth="1"/>
  </cols>
  <sheetData>
    <row r="1" spans="1:35" x14ac:dyDescent="0.25">
      <c r="A1" t="s">
        <v>29</v>
      </c>
      <c r="B1" t="s">
        <v>28</v>
      </c>
      <c r="C1" t="s">
        <v>27</v>
      </c>
      <c r="D1" t="s">
        <v>26</v>
      </c>
      <c r="E1" t="s">
        <v>25</v>
      </c>
      <c r="F1" t="s">
        <v>24</v>
      </c>
      <c r="G1" t="s">
        <v>23</v>
      </c>
      <c r="H1" t="s">
        <v>22</v>
      </c>
      <c r="I1" t="s">
        <v>21</v>
      </c>
      <c r="J1" t="s">
        <v>20</v>
      </c>
      <c r="K1" t="s">
        <v>19</v>
      </c>
      <c r="L1" t="s">
        <v>18</v>
      </c>
      <c r="M1" t="s">
        <v>4</v>
      </c>
      <c r="N1" t="s">
        <v>17</v>
      </c>
      <c r="O1" t="s">
        <v>16</v>
      </c>
      <c r="P1" t="s">
        <v>15</v>
      </c>
      <c r="Q1" t="s">
        <v>3</v>
      </c>
      <c r="R1" t="s">
        <v>14</v>
      </c>
      <c r="S1" t="s">
        <v>2</v>
      </c>
      <c r="T1" t="s">
        <v>13</v>
      </c>
      <c r="U1" t="s">
        <v>7</v>
      </c>
      <c r="V1" t="s">
        <v>6</v>
      </c>
      <c r="W1" t="s">
        <v>5</v>
      </c>
      <c r="X1" t="s">
        <v>12</v>
      </c>
    </row>
    <row r="2" spans="1:35" x14ac:dyDescent="0.25">
      <c r="A2">
        <v>1</v>
      </c>
      <c r="B2" s="2">
        <v>40544</v>
      </c>
      <c r="C2">
        <v>1</v>
      </c>
      <c r="D2">
        <v>0</v>
      </c>
      <c r="E2">
        <v>1</v>
      </c>
      <c r="F2">
        <v>0</v>
      </c>
      <c r="G2" t="str">
        <f>IF(F2&lt;6,"Night",IF(F2&lt;12,"Morning",IF(F2&lt;18,"Afternoon","Evening")))</f>
        <v>Night</v>
      </c>
      <c r="H2">
        <v>0</v>
      </c>
      <c r="I2">
        <v>6</v>
      </c>
      <c r="J2" t="str">
        <f>CHOOSE(I2+1,"Monday","Tuesday","Wednesday","Thursday","Friday","Saturday","Sunday")</f>
        <v>Sunday</v>
      </c>
      <c r="K2">
        <v>1</v>
      </c>
      <c r="L2" t="str">
        <f>CHOOSE(K2+1,"error","Clear","Misty","Rainy","Severe heater")</f>
        <v>Clear</v>
      </c>
      <c r="M2">
        <v>0.24</v>
      </c>
      <c r="N2" t="str">
        <f>IF(M2&lt;=0.2,"Low",IF(M2&lt;=0.4,"Mid","High"))</f>
        <v>Mid</v>
      </c>
      <c r="O2">
        <v>0.28789999999999999</v>
      </c>
      <c r="P2" t="str">
        <f>IF(O2&lt;=0.15,"Very Cold",IF(O2&lt;=0.3,"Cold",IF(O2&lt;=0.45,"Pleasant","Hot")))</f>
        <v>Cold</v>
      </c>
      <c r="Q2">
        <v>0.81</v>
      </c>
      <c r="R2" t="str">
        <f>IF(Q2&lt;=0.25,"Low ",IF(Q2&lt;=0.5,"Moderate ",IF(Q2&lt;=0.75,"High ","Very High ")))</f>
        <v xml:space="preserve">Very High </v>
      </c>
      <c r="S2">
        <v>0</v>
      </c>
      <c r="T2" t="str">
        <f>IF(S2&lt;=0.15,"Calm",IF(S2&lt;=0.3,"Light Wind",IF(S2&lt;=0.45,"Moderate Wind","Strong Wind")))</f>
        <v>Calm</v>
      </c>
      <c r="U2">
        <v>3</v>
      </c>
      <c r="V2">
        <v>13</v>
      </c>
      <c r="W2">
        <v>16</v>
      </c>
      <c r="X2" t="str">
        <f>IF(W2&lt;=75,"Low Demand",IF(W2&lt;=150,"Medium Demand",IF(W2&lt;=225,"High Demand","Very High Demand")))</f>
        <v>Low Demand</v>
      </c>
    </row>
    <row r="3" spans="1:35" x14ac:dyDescent="0.25">
      <c r="A3">
        <v>2</v>
      </c>
      <c r="B3" s="2">
        <v>40544</v>
      </c>
      <c r="C3">
        <v>1</v>
      </c>
      <c r="D3">
        <v>0</v>
      </c>
      <c r="E3">
        <v>1</v>
      </c>
      <c r="F3">
        <v>1</v>
      </c>
      <c r="G3" t="str">
        <f>IF(F3&lt;6,"Night",IF(F3&lt;12,"Morning",IF(F3&lt;18,"Afternoon","Evening")))</f>
        <v>Night</v>
      </c>
      <c r="H3">
        <v>0</v>
      </c>
      <c r="I3">
        <v>6</v>
      </c>
      <c r="J3" t="str">
        <f>CHOOSE(I3+1,"Monday","Tuesday","Wednesday","Thursday","Friday","Saturday","Sunday")</f>
        <v>Sunday</v>
      </c>
      <c r="K3">
        <v>1</v>
      </c>
      <c r="L3" t="str">
        <f>CHOOSE(K3+1,"error","Clear","Misty","Rainy","Severe heater")</f>
        <v>Clear</v>
      </c>
      <c r="M3">
        <v>0.22</v>
      </c>
      <c r="N3" t="str">
        <f>IF(M3&lt;=0.2,"Low",IF(M3&lt;=0.4,"Mid","High"))</f>
        <v>Mid</v>
      </c>
      <c r="O3">
        <v>0.2727</v>
      </c>
      <c r="P3" t="str">
        <f>IF(O3&lt;=0.15,"Very Cold",IF(O3&lt;=0.3,"Cold",IF(O3&lt;=0.45,"Pleasant","Hot")))</f>
        <v>Cold</v>
      </c>
      <c r="Q3">
        <v>0.8</v>
      </c>
      <c r="R3" t="str">
        <f>IF(Q3&lt;=0.25,"Low ",IF(Q3&lt;=0.5,"Moderate ",IF(Q3&lt;=0.75,"High ","Very High ")))</f>
        <v xml:space="preserve">Very High </v>
      </c>
      <c r="S3">
        <v>0</v>
      </c>
      <c r="T3" t="str">
        <f>IF(S3&lt;=0.15,"Calm",IF(S3&lt;=0.3,"Light Wind",IF(S3&lt;=0.45,"Moderate Wind","Strong Wind")))</f>
        <v>Calm</v>
      </c>
      <c r="U3">
        <v>8</v>
      </c>
      <c r="V3">
        <v>32</v>
      </c>
      <c r="W3">
        <v>40</v>
      </c>
      <c r="X3" t="str">
        <f>IF(W3&lt;=75,"Low Demand",IF(W3&lt;=150,"Medium Demand",IF(W3&lt;=225,"High Demand","Very High Demand")))</f>
        <v>Low Demand</v>
      </c>
    </row>
    <row r="4" spans="1:35" x14ac:dyDescent="0.25">
      <c r="A4">
        <v>3</v>
      </c>
      <c r="B4" s="2">
        <v>40544</v>
      </c>
      <c r="C4">
        <v>1</v>
      </c>
      <c r="D4">
        <v>0</v>
      </c>
      <c r="E4">
        <v>1</v>
      </c>
      <c r="F4">
        <v>2</v>
      </c>
      <c r="G4" t="str">
        <f>IF(F4&lt;6,"Night",IF(F4&lt;12,"Morning",IF(F4&lt;18,"Afternoon","Evening")))</f>
        <v>Night</v>
      </c>
      <c r="H4">
        <v>0</v>
      </c>
      <c r="I4">
        <v>6</v>
      </c>
      <c r="J4" t="str">
        <f>CHOOSE(I4+1,"Monday","Tuesday","Wednesday","Thursday","Friday","Saturday","Sunday")</f>
        <v>Sunday</v>
      </c>
      <c r="K4">
        <v>1</v>
      </c>
      <c r="L4" t="str">
        <f>CHOOSE(K4+1,"error","Clear","Misty","Rainy","Severe heater")</f>
        <v>Clear</v>
      </c>
      <c r="M4">
        <v>0.22</v>
      </c>
      <c r="N4" t="str">
        <f>IF(M4&lt;=0.2,"Low",IF(M4&lt;=0.4,"Mid","High"))</f>
        <v>Mid</v>
      </c>
      <c r="O4">
        <v>0.2727</v>
      </c>
      <c r="P4" t="str">
        <f>IF(O4&lt;=0.15,"Very Cold",IF(O4&lt;=0.3,"Cold",IF(O4&lt;=0.45,"Pleasant","Hot")))</f>
        <v>Cold</v>
      </c>
      <c r="Q4">
        <v>0.8</v>
      </c>
      <c r="R4" t="str">
        <f>IF(Q4&lt;=0.25,"Low ",IF(Q4&lt;=0.5,"Moderate ",IF(Q4&lt;=0.75,"High ","Very High ")))</f>
        <v xml:space="preserve">Very High </v>
      </c>
      <c r="S4">
        <v>0</v>
      </c>
      <c r="T4" t="str">
        <f>IF(S4&lt;=0.15,"Calm",IF(S4&lt;=0.3,"Light Wind",IF(S4&lt;=0.45,"Moderate Wind","Strong Wind")))</f>
        <v>Calm</v>
      </c>
      <c r="U4">
        <v>5</v>
      </c>
      <c r="V4">
        <v>27</v>
      </c>
      <c r="W4">
        <v>32</v>
      </c>
      <c r="X4" t="str">
        <f>IF(W4&lt;=75,"Low Demand",IF(W4&lt;=150,"Medium Demand",IF(W4&lt;=225,"High Demand","Very High Demand")))</f>
        <v>Low Demand</v>
      </c>
    </row>
    <row r="5" spans="1:35" x14ac:dyDescent="0.25">
      <c r="A5">
        <v>4</v>
      </c>
      <c r="B5" s="2">
        <v>40544</v>
      </c>
      <c r="C5">
        <v>1</v>
      </c>
      <c r="D5">
        <v>0</v>
      </c>
      <c r="E5">
        <v>1</v>
      </c>
      <c r="F5">
        <v>3</v>
      </c>
      <c r="G5" t="str">
        <f>IF(F5&lt;6,"Night",IF(F5&lt;12,"Morning",IF(F5&lt;18,"Afternoon","Evening")))</f>
        <v>Night</v>
      </c>
      <c r="H5">
        <v>0</v>
      </c>
      <c r="I5">
        <v>6</v>
      </c>
      <c r="J5" t="str">
        <f>CHOOSE(I5+1,"Monday","Tuesday","Wednesday","Thursday","Friday","Saturday","Sunday")</f>
        <v>Sunday</v>
      </c>
      <c r="K5">
        <v>1</v>
      </c>
      <c r="L5" t="str">
        <f>CHOOSE(K5+1,"error","Clear","Misty","Rainy","Severe heater")</f>
        <v>Clear</v>
      </c>
      <c r="M5">
        <v>0.24</v>
      </c>
      <c r="N5" t="str">
        <f>IF(M5&lt;=0.2,"Low",IF(M5&lt;=0.4,"Mid","High"))</f>
        <v>Mid</v>
      </c>
      <c r="O5">
        <v>0.28789999999999999</v>
      </c>
      <c r="P5" t="str">
        <f>IF(O5&lt;=0.15,"Very Cold",IF(O5&lt;=0.3,"Cold",IF(O5&lt;=0.45,"Pleasant","Hot")))</f>
        <v>Cold</v>
      </c>
      <c r="Q5">
        <v>0.75</v>
      </c>
      <c r="R5" t="str">
        <f>IF(Q5&lt;=0.25,"Low ",IF(Q5&lt;=0.5,"Moderate ",IF(Q5&lt;=0.75,"High ","Very High ")))</f>
        <v xml:space="preserve">High </v>
      </c>
      <c r="S5">
        <v>0</v>
      </c>
      <c r="T5" t="str">
        <f>IF(S5&lt;=0.15,"Calm",IF(S5&lt;=0.3,"Light Wind",IF(S5&lt;=0.45,"Moderate Wind","Strong Wind")))</f>
        <v>Calm</v>
      </c>
      <c r="U5">
        <v>3</v>
      </c>
      <c r="V5">
        <v>10</v>
      </c>
      <c r="W5">
        <v>13</v>
      </c>
      <c r="X5" t="str">
        <f>IF(W5&lt;=75,"Low Demand",IF(W5&lt;=150,"Medium Demand",IF(W5&lt;=225,"High Demand","Very High Demand")))</f>
        <v>Low Demand</v>
      </c>
    </row>
    <row r="6" spans="1:35" x14ac:dyDescent="0.25">
      <c r="A6">
        <v>5</v>
      </c>
      <c r="B6" s="2">
        <v>40544</v>
      </c>
      <c r="C6">
        <v>1</v>
      </c>
      <c r="D6">
        <v>0</v>
      </c>
      <c r="E6">
        <v>1</v>
      </c>
      <c r="F6">
        <v>4</v>
      </c>
      <c r="G6" t="str">
        <f>IF(F6&lt;6,"Night",IF(F6&lt;12,"Morning",IF(F6&lt;18,"Afternoon","Evening")))</f>
        <v>Night</v>
      </c>
      <c r="H6">
        <v>0</v>
      </c>
      <c r="I6">
        <v>6</v>
      </c>
      <c r="J6" t="str">
        <f>CHOOSE(I6+1,"Monday","Tuesday","Wednesday","Thursday","Friday","Saturday","Sunday")</f>
        <v>Sunday</v>
      </c>
      <c r="K6">
        <v>1</v>
      </c>
      <c r="L6" t="str">
        <f>CHOOSE(K6+1,"error","Clear","Misty","Rainy","Severe heater")</f>
        <v>Clear</v>
      </c>
      <c r="M6">
        <v>0.24</v>
      </c>
      <c r="N6" t="str">
        <f>IF(M6&lt;=0.2,"Low",IF(M6&lt;=0.4,"Mid","High"))</f>
        <v>Mid</v>
      </c>
      <c r="O6">
        <v>0.28789999999999999</v>
      </c>
      <c r="P6" t="str">
        <f>IF(O6&lt;=0.15,"Very Cold",IF(O6&lt;=0.3,"Cold",IF(O6&lt;=0.45,"Pleasant","Hot")))</f>
        <v>Cold</v>
      </c>
      <c r="Q6">
        <v>0.75</v>
      </c>
      <c r="R6" t="str">
        <f>IF(Q6&lt;=0.25,"Low ",IF(Q6&lt;=0.5,"Moderate ",IF(Q6&lt;=0.75,"High ","Very High ")))</f>
        <v xml:space="preserve">High </v>
      </c>
      <c r="S6">
        <v>0</v>
      </c>
      <c r="T6" t="str">
        <f>IF(S6&lt;=0.15,"Calm",IF(S6&lt;=0.3,"Light Wind",IF(S6&lt;=0.45,"Moderate Wind","Strong Wind")))</f>
        <v>Calm</v>
      </c>
      <c r="U6">
        <v>0</v>
      </c>
      <c r="V6">
        <v>1</v>
      </c>
      <c r="W6">
        <v>1</v>
      </c>
      <c r="X6" t="str">
        <f>IF(W6&lt;=75,"Low Demand",IF(W6&lt;=150,"Medium Demand",IF(W6&lt;=225,"High Demand","Very High Demand")))</f>
        <v>Low Demand</v>
      </c>
    </row>
    <row r="7" spans="1:35" x14ac:dyDescent="0.25">
      <c r="A7">
        <v>6</v>
      </c>
      <c r="B7" s="2">
        <v>40544</v>
      </c>
      <c r="C7">
        <v>1</v>
      </c>
      <c r="D7">
        <v>0</v>
      </c>
      <c r="E7">
        <v>1</v>
      </c>
      <c r="F7">
        <v>5</v>
      </c>
      <c r="G7" t="str">
        <f>IF(F7&lt;6,"Night",IF(F7&lt;12,"Morning",IF(F7&lt;18,"Afternoon","Evening")))</f>
        <v>Night</v>
      </c>
      <c r="H7">
        <v>0</v>
      </c>
      <c r="I7">
        <v>6</v>
      </c>
      <c r="J7" t="str">
        <f>CHOOSE(I7+1,"Monday","Tuesday","Wednesday","Thursday","Friday","Saturday","Sunday")</f>
        <v>Sunday</v>
      </c>
      <c r="K7">
        <v>2</v>
      </c>
      <c r="L7" t="str">
        <f>CHOOSE(K7+1,"error","Clear","Misty","Rainy","Severe heater")</f>
        <v>Misty</v>
      </c>
      <c r="M7">
        <v>0.24</v>
      </c>
      <c r="N7" t="str">
        <f>IF(M7&lt;=0.2,"Low",IF(M7&lt;=0.4,"Mid","High"))</f>
        <v>Mid</v>
      </c>
      <c r="O7">
        <v>0.2576</v>
      </c>
      <c r="P7" t="str">
        <f>IF(O7&lt;=0.15,"Very Cold",IF(O7&lt;=0.3,"Cold",IF(O7&lt;=0.45,"Pleasant","Hot")))</f>
        <v>Cold</v>
      </c>
      <c r="Q7">
        <v>0.75</v>
      </c>
      <c r="R7" t="str">
        <f>IF(Q7&lt;=0.25,"Low ",IF(Q7&lt;=0.5,"Moderate ",IF(Q7&lt;=0.75,"High ","Very High ")))</f>
        <v xml:space="preserve">High </v>
      </c>
      <c r="S7">
        <v>8.9599999999999999E-2</v>
      </c>
      <c r="T7" t="str">
        <f>IF(S7&lt;=0.15,"Calm",IF(S7&lt;=0.3,"Light Wind",IF(S7&lt;=0.45,"Moderate Wind","Strong Wind")))</f>
        <v>Calm</v>
      </c>
      <c r="U7">
        <v>0</v>
      </c>
      <c r="V7">
        <v>1</v>
      </c>
      <c r="W7">
        <v>1</v>
      </c>
      <c r="X7" t="str">
        <f>IF(W7&lt;=75,"Low Demand",IF(W7&lt;=150,"Medium Demand",IF(W7&lt;=225,"High Demand","Very High Demand")))</f>
        <v>Low Demand</v>
      </c>
    </row>
    <row r="8" spans="1:35" x14ac:dyDescent="0.25">
      <c r="A8">
        <v>7</v>
      </c>
      <c r="B8" s="2">
        <v>40544</v>
      </c>
      <c r="C8">
        <v>1</v>
      </c>
      <c r="D8">
        <v>0</v>
      </c>
      <c r="E8">
        <v>1</v>
      </c>
      <c r="F8">
        <v>6</v>
      </c>
      <c r="G8" t="str">
        <f>IF(F8&lt;6,"Night",IF(F8&lt;12,"Morning",IF(F8&lt;18,"Afternoon","Evening")))</f>
        <v>Morning</v>
      </c>
      <c r="H8">
        <v>0</v>
      </c>
      <c r="I8">
        <v>6</v>
      </c>
      <c r="J8" t="str">
        <f>CHOOSE(I8+1,"Monday","Tuesday","Wednesday","Thursday","Friday","Saturday","Sunday")</f>
        <v>Sunday</v>
      </c>
      <c r="K8">
        <v>1</v>
      </c>
      <c r="L8" t="str">
        <f>CHOOSE(K8+1,"error","Clear","Misty","Rainy","Severe heater")</f>
        <v>Clear</v>
      </c>
      <c r="M8">
        <v>0.22</v>
      </c>
      <c r="N8" t="str">
        <f>IF(M8&lt;=0.2,"Low",IF(M8&lt;=0.4,"Mid","High"))</f>
        <v>Mid</v>
      </c>
      <c r="O8">
        <v>0.2727</v>
      </c>
      <c r="P8" t="str">
        <f>IF(O8&lt;=0.15,"Very Cold",IF(O8&lt;=0.3,"Cold",IF(O8&lt;=0.45,"Pleasant","Hot")))</f>
        <v>Cold</v>
      </c>
      <c r="Q8">
        <v>0.8</v>
      </c>
      <c r="R8" t="str">
        <f>IF(Q8&lt;=0.25,"Low ",IF(Q8&lt;=0.5,"Moderate ",IF(Q8&lt;=0.75,"High ","Very High ")))</f>
        <v xml:space="preserve">Very High </v>
      </c>
      <c r="S8">
        <v>0</v>
      </c>
      <c r="T8" t="str">
        <f>IF(S8&lt;=0.15,"Calm",IF(S8&lt;=0.3,"Light Wind",IF(S8&lt;=0.45,"Moderate Wind","Strong Wind")))</f>
        <v>Calm</v>
      </c>
      <c r="U8">
        <v>2</v>
      </c>
      <c r="V8">
        <v>0</v>
      </c>
      <c r="W8">
        <v>2</v>
      </c>
      <c r="X8" t="str">
        <f>IF(W8&lt;=75,"Low Demand",IF(W8&lt;=150,"Medium Demand",IF(W8&lt;=225,"High Demand","Very High Demand")))</f>
        <v>Low Demand</v>
      </c>
    </row>
    <row r="9" spans="1:35" x14ac:dyDescent="0.25">
      <c r="A9">
        <v>8</v>
      </c>
      <c r="B9" s="2">
        <v>40544</v>
      </c>
      <c r="C9">
        <v>1</v>
      </c>
      <c r="D9">
        <v>0</v>
      </c>
      <c r="E9">
        <v>1</v>
      </c>
      <c r="F9">
        <v>7</v>
      </c>
      <c r="G9" t="str">
        <f>IF(F9&lt;6,"Night",IF(F9&lt;12,"Morning",IF(F9&lt;18,"Afternoon","Evening")))</f>
        <v>Morning</v>
      </c>
      <c r="H9">
        <v>0</v>
      </c>
      <c r="I9">
        <v>6</v>
      </c>
      <c r="J9" t="str">
        <f>CHOOSE(I9+1,"Monday","Tuesday","Wednesday","Thursday","Friday","Saturday","Sunday")</f>
        <v>Sunday</v>
      </c>
      <c r="K9">
        <v>1</v>
      </c>
      <c r="L9" t="str">
        <f>CHOOSE(K9+1,"error","Clear","Misty","Rainy","Severe heater")</f>
        <v>Clear</v>
      </c>
      <c r="M9">
        <v>0.2</v>
      </c>
      <c r="N9" t="str">
        <f>IF(M9&lt;=0.2,"Low",IF(M9&lt;=0.4,"Mid","High"))</f>
        <v>Low</v>
      </c>
      <c r="O9">
        <v>0.2576</v>
      </c>
      <c r="P9" t="str">
        <f>IF(O9&lt;=0.15,"Very Cold",IF(O9&lt;=0.3,"Cold",IF(O9&lt;=0.45,"Pleasant","Hot")))</f>
        <v>Cold</v>
      </c>
      <c r="Q9">
        <v>0.86</v>
      </c>
      <c r="R9" t="str">
        <f>IF(Q9&lt;=0.25,"Low ",IF(Q9&lt;=0.5,"Moderate ",IF(Q9&lt;=0.75,"High ","Very High ")))</f>
        <v xml:space="preserve">Very High </v>
      </c>
      <c r="S9">
        <v>0</v>
      </c>
      <c r="T9" t="str">
        <f>IF(S9&lt;=0.15,"Calm",IF(S9&lt;=0.3,"Light Wind",IF(S9&lt;=0.45,"Moderate Wind","Strong Wind")))</f>
        <v>Calm</v>
      </c>
      <c r="U9">
        <v>1</v>
      </c>
      <c r="V9">
        <v>2</v>
      </c>
      <c r="W9">
        <v>3</v>
      </c>
      <c r="X9" t="str">
        <f>IF(W9&lt;=75,"Low Demand",IF(W9&lt;=150,"Medium Demand",IF(W9&lt;=225,"High Demand","Very High Demand")))</f>
        <v>Low Demand</v>
      </c>
    </row>
    <row r="10" spans="1:35" x14ac:dyDescent="0.25">
      <c r="A10">
        <v>9</v>
      </c>
      <c r="B10" s="2">
        <v>40544</v>
      </c>
      <c r="C10">
        <v>1</v>
      </c>
      <c r="D10">
        <v>0</v>
      </c>
      <c r="E10">
        <v>1</v>
      </c>
      <c r="F10">
        <v>8</v>
      </c>
      <c r="G10" t="str">
        <f>IF(F10&lt;6,"Night",IF(F10&lt;12,"Morning",IF(F10&lt;18,"Afternoon","Evening")))</f>
        <v>Morning</v>
      </c>
      <c r="H10">
        <v>0</v>
      </c>
      <c r="I10">
        <v>6</v>
      </c>
      <c r="J10" t="str">
        <f>CHOOSE(I10+1,"Monday","Tuesday","Wednesday","Thursday","Friday","Saturday","Sunday")</f>
        <v>Sunday</v>
      </c>
      <c r="K10">
        <v>1</v>
      </c>
      <c r="L10" t="str">
        <f>CHOOSE(K10+1,"error","Clear","Misty","Rainy","Severe heater")</f>
        <v>Clear</v>
      </c>
      <c r="M10">
        <v>0.24</v>
      </c>
      <c r="N10" t="str">
        <f>IF(M10&lt;=0.2,"Low",IF(M10&lt;=0.4,"Mid","High"))</f>
        <v>Mid</v>
      </c>
      <c r="O10">
        <v>0.30304999999999999</v>
      </c>
      <c r="P10" t="str">
        <f>IF(O10&lt;=0.15,"Very Cold",IF(O10&lt;=0.3,"Cold",IF(O10&lt;=0.45,"Pleasant","Hot")))</f>
        <v>Pleasant</v>
      </c>
      <c r="Q10">
        <v>0.75</v>
      </c>
      <c r="R10" t="str">
        <f>IF(Q10&lt;=0.25,"Low ",IF(Q10&lt;=0.5,"Moderate ",IF(Q10&lt;=0.75,"High ","Very High ")))</f>
        <v xml:space="preserve">High </v>
      </c>
      <c r="S10">
        <v>0</v>
      </c>
      <c r="T10" t="str">
        <f>IF(S10&lt;=0.15,"Calm",IF(S10&lt;=0.3,"Light Wind",IF(S10&lt;=0.45,"Moderate Wind","Strong Wind")))</f>
        <v>Calm</v>
      </c>
      <c r="U10">
        <v>1</v>
      </c>
      <c r="V10">
        <v>7</v>
      </c>
      <c r="W10">
        <v>8</v>
      </c>
      <c r="X10" t="str">
        <f>IF(W10&lt;=75,"Low Demand",IF(W10&lt;=150,"Medium Demand",IF(W10&lt;=225,"High Demand","Very High Demand")))</f>
        <v>Low Demand</v>
      </c>
    </row>
    <row r="11" spans="1:35" x14ac:dyDescent="0.25">
      <c r="A11">
        <v>10</v>
      </c>
      <c r="B11" s="2">
        <v>40544</v>
      </c>
      <c r="C11">
        <v>1</v>
      </c>
      <c r="D11">
        <v>0</v>
      </c>
      <c r="E11">
        <v>1</v>
      </c>
      <c r="F11">
        <v>9</v>
      </c>
      <c r="G11" t="str">
        <f>IF(F11&lt;6,"Night",IF(F11&lt;12,"Morning",IF(F11&lt;18,"Afternoon","Evening")))</f>
        <v>Morning</v>
      </c>
      <c r="H11">
        <v>0</v>
      </c>
      <c r="I11">
        <v>6</v>
      </c>
      <c r="J11" t="str">
        <f>CHOOSE(I11+1,"Monday","Tuesday","Wednesday","Thursday","Friday","Saturday","Sunday")</f>
        <v>Sunday</v>
      </c>
      <c r="K11">
        <v>1</v>
      </c>
      <c r="L11" t="str">
        <f>CHOOSE(K11+1,"error","Clear","Misty","Rainy","Severe heater")</f>
        <v>Clear</v>
      </c>
      <c r="M11">
        <v>0.32</v>
      </c>
      <c r="N11" t="str">
        <f>IF(M11&lt;=0.2,"Low",IF(M11&lt;=0.4,"Mid","High"))</f>
        <v>Mid</v>
      </c>
      <c r="O11">
        <v>0.34849999999999998</v>
      </c>
      <c r="P11" t="str">
        <f>IF(O11&lt;=0.15,"Very Cold",IF(O11&lt;=0.3,"Cold",IF(O11&lt;=0.45,"Pleasant","Hot")))</f>
        <v>Pleasant</v>
      </c>
      <c r="Q11">
        <v>0.76</v>
      </c>
      <c r="R11" t="str">
        <f>IF(Q11&lt;=0.25,"Low ",IF(Q11&lt;=0.5,"Moderate ",IF(Q11&lt;=0.75,"High ","Very High ")))</f>
        <v xml:space="preserve">Very High </v>
      </c>
      <c r="S11">
        <v>0</v>
      </c>
      <c r="T11" t="str">
        <f>IF(S11&lt;=0.15,"Calm",IF(S11&lt;=0.3,"Light Wind",IF(S11&lt;=0.45,"Moderate Wind","Strong Wind")))</f>
        <v>Calm</v>
      </c>
      <c r="U11">
        <v>8</v>
      </c>
      <c r="V11">
        <v>6</v>
      </c>
      <c r="W11">
        <v>14</v>
      </c>
      <c r="X11" t="str">
        <f>IF(W11&lt;=75,"Low Demand",IF(W11&lt;=150,"Medium Demand",IF(W11&lt;=225,"High Demand","Very High Demand")))</f>
        <v>Low Demand</v>
      </c>
      <c r="AD11" s="4"/>
      <c r="AE11" s="9" t="s">
        <v>11</v>
      </c>
      <c r="AF11" s="9" t="s">
        <v>10</v>
      </c>
      <c r="AG11" s="9" t="s">
        <v>9</v>
      </c>
      <c r="AH11" s="9" t="s">
        <v>8</v>
      </c>
      <c r="AI11" s="9" t="s">
        <v>5</v>
      </c>
    </row>
    <row r="12" spans="1:35" x14ac:dyDescent="0.25">
      <c r="A12">
        <v>11</v>
      </c>
      <c r="B12" s="2">
        <v>40544</v>
      </c>
      <c r="C12">
        <v>1</v>
      </c>
      <c r="D12">
        <v>0</v>
      </c>
      <c r="E12">
        <v>1</v>
      </c>
      <c r="F12">
        <v>10</v>
      </c>
      <c r="G12" t="str">
        <f>IF(F12&lt;6,"Night",IF(F12&lt;12,"Morning",IF(F12&lt;18,"Afternoon","Evening")))</f>
        <v>Morning</v>
      </c>
      <c r="H12">
        <v>0</v>
      </c>
      <c r="I12">
        <v>6</v>
      </c>
      <c r="J12" t="str">
        <f>CHOOSE(I12+1,"Monday","Tuesday","Wednesday","Thursday","Friday","Saturday","Sunday")</f>
        <v>Sunday</v>
      </c>
      <c r="K12">
        <v>1</v>
      </c>
      <c r="L12" t="str">
        <f>CHOOSE(K12+1,"error","Clear","Misty","Rainy","Severe heater")</f>
        <v>Clear</v>
      </c>
      <c r="M12">
        <v>0.38</v>
      </c>
      <c r="N12" t="str">
        <f>IF(M12&lt;=0.2,"Low",IF(M12&lt;=0.4,"Mid","High"))</f>
        <v>Mid</v>
      </c>
      <c r="O12">
        <v>0.39389999999999997</v>
      </c>
      <c r="P12" t="str">
        <f>IF(O12&lt;=0.15,"Very Cold",IF(O12&lt;=0.3,"Cold",IF(O12&lt;=0.45,"Pleasant","Hot")))</f>
        <v>Pleasant</v>
      </c>
      <c r="Q12">
        <v>0.76</v>
      </c>
      <c r="R12" t="str">
        <f>IF(Q12&lt;=0.25,"Low ",IF(Q12&lt;=0.5,"Moderate ",IF(Q12&lt;=0.75,"High ","Very High ")))</f>
        <v xml:space="preserve">Very High </v>
      </c>
      <c r="S12">
        <v>0.25369999999999998</v>
      </c>
      <c r="T12" t="str">
        <f>IF(S12&lt;=0.15,"Calm",IF(S12&lt;=0.3,"Light Wind",IF(S12&lt;=0.45,"Moderate Wind","Strong Wind")))</f>
        <v>Light Wind</v>
      </c>
      <c r="U12">
        <v>12</v>
      </c>
      <c r="V12">
        <v>24</v>
      </c>
      <c r="W12">
        <v>36</v>
      </c>
      <c r="X12" t="str">
        <f>IF(W12&lt;=75,"Low Demand",IF(W12&lt;=150,"Medium Demand",IF(W12&lt;=225,"High Demand","Very High Demand")))</f>
        <v>Low Demand</v>
      </c>
      <c r="AD12" s="8" t="s">
        <v>7</v>
      </c>
      <c r="AE12" s="4">
        <f>SUM(dataset_1[casual users])</f>
        <v>4921</v>
      </c>
      <c r="AF12" s="4"/>
      <c r="AG12" s="4"/>
      <c r="AH12" s="4"/>
      <c r="AI12" s="4"/>
    </row>
    <row r="13" spans="1:35" x14ac:dyDescent="0.25">
      <c r="A13">
        <v>12</v>
      </c>
      <c r="B13" s="2">
        <v>40544</v>
      </c>
      <c r="C13">
        <v>1</v>
      </c>
      <c r="D13">
        <v>0</v>
      </c>
      <c r="E13">
        <v>1</v>
      </c>
      <c r="F13">
        <v>11</v>
      </c>
      <c r="G13" t="str">
        <f>IF(F13&lt;6,"Night",IF(F13&lt;12,"Morning",IF(F13&lt;18,"Afternoon","Evening")))</f>
        <v>Morning</v>
      </c>
      <c r="H13">
        <v>0</v>
      </c>
      <c r="I13">
        <v>6</v>
      </c>
      <c r="J13" t="str">
        <f>CHOOSE(I13+1,"Monday","Tuesday","Wednesday","Thursday","Friday","Saturday","Sunday")</f>
        <v>Sunday</v>
      </c>
      <c r="K13">
        <v>1</v>
      </c>
      <c r="L13" t="str">
        <f>CHOOSE(K13+1,"error","Clear","Misty","Rainy","Severe heater")</f>
        <v>Clear</v>
      </c>
      <c r="M13">
        <v>0.36</v>
      </c>
      <c r="N13" t="str">
        <f>IF(M13&lt;=0.2,"Low",IF(M13&lt;=0.4,"Mid","High"))</f>
        <v>Mid</v>
      </c>
      <c r="O13">
        <v>0.33329999999999999</v>
      </c>
      <c r="P13" t="str">
        <f>IF(O13&lt;=0.15,"Very Cold",IF(O13&lt;=0.3,"Cold",IF(O13&lt;=0.45,"Pleasant","Hot")))</f>
        <v>Pleasant</v>
      </c>
      <c r="Q13">
        <v>0.81</v>
      </c>
      <c r="R13" t="str">
        <f>IF(Q13&lt;=0.25,"Low ",IF(Q13&lt;=0.5,"Moderate ",IF(Q13&lt;=0.75,"High ","Very High ")))</f>
        <v xml:space="preserve">Very High </v>
      </c>
      <c r="S13">
        <v>0.28360000000000002</v>
      </c>
      <c r="T13" t="str">
        <f>IF(S13&lt;=0.15,"Calm",IF(S13&lt;=0.3,"Light Wind",IF(S13&lt;=0.45,"Moderate Wind","Strong Wind")))</f>
        <v>Light Wind</v>
      </c>
      <c r="U13">
        <v>26</v>
      </c>
      <c r="V13">
        <v>30</v>
      </c>
      <c r="W13">
        <v>56</v>
      </c>
      <c r="X13" t="str">
        <f>IF(W13&lt;=75,"Low Demand",IF(W13&lt;=150,"Medium Demand",IF(W13&lt;=225,"High Demand","Very High Demand")))</f>
        <v>Low Demand</v>
      </c>
      <c r="AD13" s="8" t="s">
        <v>6</v>
      </c>
      <c r="AE13" s="4">
        <f>SUM(dataset_1[registered users])</f>
        <v>53383</v>
      </c>
      <c r="AF13" s="4"/>
      <c r="AG13" s="4"/>
      <c r="AH13" s="4"/>
      <c r="AI13" s="4"/>
    </row>
    <row r="14" spans="1:35" x14ac:dyDescent="0.25">
      <c r="A14">
        <v>13</v>
      </c>
      <c r="B14" s="2">
        <v>40544</v>
      </c>
      <c r="C14">
        <v>1</v>
      </c>
      <c r="D14">
        <v>0</v>
      </c>
      <c r="E14">
        <v>1</v>
      </c>
      <c r="F14">
        <v>12</v>
      </c>
      <c r="G14" t="str">
        <f>IF(F14&lt;6,"Night",IF(F14&lt;12,"Morning",IF(F14&lt;18,"Afternoon","Evening")))</f>
        <v>Afternoon</v>
      </c>
      <c r="H14">
        <v>0</v>
      </c>
      <c r="I14">
        <v>6</v>
      </c>
      <c r="J14" t="str">
        <f>CHOOSE(I14+1,"Monday","Tuesday","Wednesday","Thursday","Friday","Saturday","Sunday")</f>
        <v>Sunday</v>
      </c>
      <c r="K14">
        <v>1</v>
      </c>
      <c r="L14" t="str">
        <f>CHOOSE(K14+1,"error","Clear","Misty","Rainy","Severe heater")</f>
        <v>Clear</v>
      </c>
      <c r="M14">
        <v>0.42</v>
      </c>
      <c r="N14" t="str">
        <f>IF(M14&lt;=0.2,"Low",IF(M14&lt;=0.4,"Mid","High"))</f>
        <v>High</v>
      </c>
      <c r="O14">
        <v>0.42420000000000002</v>
      </c>
      <c r="P14" t="str">
        <f>IF(O14&lt;=0.15,"Very Cold",IF(O14&lt;=0.3,"Cold",IF(O14&lt;=0.45,"Pleasant","Hot")))</f>
        <v>Pleasant</v>
      </c>
      <c r="Q14">
        <v>0.77</v>
      </c>
      <c r="R14" t="str">
        <f>IF(Q14&lt;=0.25,"Low ",IF(Q14&lt;=0.5,"Moderate ",IF(Q14&lt;=0.75,"High ","Very High ")))</f>
        <v xml:space="preserve">Very High </v>
      </c>
      <c r="S14">
        <v>0.28360000000000002</v>
      </c>
      <c r="T14" t="str">
        <f>IF(S14&lt;=0.15,"Calm",IF(S14&lt;=0.3,"Light Wind",IF(S14&lt;=0.45,"Moderate Wind","Strong Wind")))</f>
        <v>Light Wind</v>
      </c>
      <c r="U14">
        <v>29</v>
      </c>
      <c r="V14">
        <v>55</v>
      </c>
      <c r="W14">
        <v>84</v>
      </c>
      <c r="X14" t="str">
        <f>IF(W14&lt;=75,"Low Demand",IF(W14&lt;=150,"Medium Demand",IF(W14&lt;=225,"High Demand","Very High Demand")))</f>
        <v>Medium Demand</v>
      </c>
      <c r="AD14" s="8" t="s">
        <v>5</v>
      </c>
      <c r="AE14" s="4">
        <f>SUM(dataset_1[count])</f>
        <v>58304</v>
      </c>
      <c r="AF14" s="4">
        <f>AVERAGE(dataset_1[count])</f>
        <v>58.304000000000002</v>
      </c>
      <c r="AG14" s="4"/>
      <c r="AH14" s="4"/>
      <c r="AI14" s="4"/>
    </row>
    <row r="15" spans="1:35" x14ac:dyDescent="0.25">
      <c r="A15">
        <v>14</v>
      </c>
      <c r="B15" s="2">
        <v>40544</v>
      </c>
      <c r="C15">
        <v>1</v>
      </c>
      <c r="D15">
        <v>0</v>
      </c>
      <c r="E15">
        <v>1</v>
      </c>
      <c r="F15">
        <v>13</v>
      </c>
      <c r="G15" t="str">
        <f>IF(F15&lt;6,"Night",IF(F15&lt;12,"Morning",IF(F15&lt;18,"Afternoon","Evening")))</f>
        <v>Afternoon</v>
      </c>
      <c r="H15">
        <v>0</v>
      </c>
      <c r="I15">
        <v>6</v>
      </c>
      <c r="J15" t="str">
        <f>CHOOSE(I15+1,"Monday","Tuesday","Wednesday","Thursday","Friday","Saturday","Sunday")</f>
        <v>Sunday</v>
      </c>
      <c r="K15">
        <v>2</v>
      </c>
      <c r="L15" t="str">
        <f>CHOOSE(K15+1,"error","Clear","Misty","Rainy","Severe heater")</f>
        <v>Misty</v>
      </c>
      <c r="M15">
        <v>0.46</v>
      </c>
      <c r="N15" t="str">
        <f>IF(M15&lt;=0.2,"Low",IF(M15&lt;=0.4,"Mid","High"))</f>
        <v>High</v>
      </c>
      <c r="O15">
        <v>0.45450000000000002</v>
      </c>
      <c r="P15" t="str">
        <f>IF(O15&lt;=0.15,"Very Cold",IF(O15&lt;=0.3,"Cold",IF(O15&lt;=0.45,"Pleasant","Hot")))</f>
        <v>Hot</v>
      </c>
      <c r="Q15">
        <v>0.72</v>
      </c>
      <c r="R15" t="str">
        <f>IF(Q15&lt;=0.25,"Low ",IF(Q15&lt;=0.5,"Moderate ",IF(Q15&lt;=0.75,"High ","Very High ")))</f>
        <v xml:space="preserve">High </v>
      </c>
      <c r="S15">
        <v>0.29849999999999999</v>
      </c>
      <c r="T15" t="str">
        <f>IF(S15&lt;=0.15,"Calm",IF(S15&lt;=0.3,"Light Wind",IF(S15&lt;=0.45,"Moderate Wind","Strong Wind")))</f>
        <v>Light Wind</v>
      </c>
      <c r="U15">
        <v>47</v>
      </c>
      <c r="V15">
        <v>47</v>
      </c>
      <c r="W15">
        <v>94</v>
      </c>
      <c r="X15" t="str">
        <f>IF(W15&lt;=75,"Low Demand",IF(W15&lt;=150,"Medium Demand",IF(W15&lt;=225,"High Demand","Very High Demand")))</f>
        <v>Medium Demand</v>
      </c>
      <c r="AD15" s="7" t="s">
        <v>4</v>
      </c>
      <c r="AE15" s="4"/>
      <c r="AF15" s="4">
        <f t="array" ref="AF15">AVERAGE(dataset_1[Temprature])</f>
        <v>0.20589999999999964</v>
      </c>
      <c r="AG15" s="4"/>
      <c r="AH15" s="4"/>
      <c r="AI15" s="4"/>
    </row>
    <row r="16" spans="1:35" x14ac:dyDescent="0.25">
      <c r="A16">
        <v>15</v>
      </c>
      <c r="B16" s="2">
        <v>40544</v>
      </c>
      <c r="C16">
        <v>1</v>
      </c>
      <c r="D16">
        <v>0</v>
      </c>
      <c r="E16">
        <v>1</v>
      </c>
      <c r="F16">
        <v>14</v>
      </c>
      <c r="G16" t="str">
        <f>IF(F16&lt;6,"Night",IF(F16&lt;12,"Morning",IF(F16&lt;18,"Afternoon","Evening")))</f>
        <v>Afternoon</v>
      </c>
      <c r="H16">
        <v>0</v>
      </c>
      <c r="I16">
        <v>6</v>
      </c>
      <c r="J16" t="str">
        <f>CHOOSE(I16+1,"Monday","Tuesday","Wednesday","Thursday","Friday","Saturday","Sunday")</f>
        <v>Sunday</v>
      </c>
      <c r="K16">
        <v>2</v>
      </c>
      <c r="L16" t="str">
        <f>CHOOSE(K16+1,"error","Clear","Misty","Rainy","Severe heater")</f>
        <v>Misty</v>
      </c>
      <c r="M16">
        <v>0.46</v>
      </c>
      <c r="N16" t="str">
        <f>IF(M16&lt;=0.2,"Low",IF(M16&lt;=0.4,"Mid","High"))</f>
        <v>High</v>
      </c>
      <c r="O16">
        <v>0.45450000000000002</v>
      </c>
      <c r="P16" t="str">
        <f>IF(O16&lt;=0.15,"Very Cold",IF(O16&lt;=0.3,"Cold",IF(O16&lt;=0.45,"Pleasant","Hot")))</f>
        <v>Hot</v>
      </c>
      <c r="Q16">
        <v>0.72</v>
      </c>
      <c r="R16" t="str">
        <f>IF(Q16&lt;=0.25,"Low ",IF(Q16&lt;=0.5,"Moderate ",IF(Q16&lt;=0.75,"High ","Very High ")))</f>
        <v xml:space="preserve">High </v>
      </c>
      <c r="S16">
        <v>0.28360000000000002</v>
      </c>
      <c r="T16" t="str">
        <f>IF(S16&lt;=0.15,"Calm",IF(S16&lt;=0.3,"Light Wind",IF(S16&lt;=0.45,"Moderate Wind","Strong Wind")))</f>
        <v>Light Wind</v>
      </c>
      <c r="U16">
        <v>35</v>
      </c>
      <c r="V16">
        <v>71</v>
      </c>
      <c r="W16">
        <v>106</v>
      </c>
      <c r="X16" t="str">
        <f>IF(W16&lt;=75,"Low Demand",IF(W16&lt;=150,"Medium Demand",IF(W16&lt;=225,"High Demand","Very High Demand")))</f>
        <v>Medium Demand</v>
      </c>
      <c r="AD16" s="6" t="s">
        <v>3</v>
      </c>
      <c r="AE16" s="4"/>
      <c r="AF16" s="4">
        <f>AVERAGE(dataset_1[Humidity])</f>
        <v>0.58248000000000033</v>
      </c>
      <c r="AG16" s="4"/>
      <c r="AH16" s="4"/>
      <c r="AI16" s="4"/>
    </row>
    <row r="17" spans="1:35" x14ac:dyDescent="0.25">
      <c r="A17">
        <v>16</v>
      </c>
      <c r="B17" s="2">
        <v>40544</v>
      </c>
      <c r="C17">
        <v>1</v>
      </c>
      <c r="D17">
        <v>0</v>
      </c>
      <c r="E17">
        <v>1</v>
      </c>
      <c r="F17">
        <v>15</v>
      </c>
      <c r="G17" t="str">
        <f>IF(F17&lt;6,"Night",IF(F17&lt;12,"Morning",IF(F17&lt;18,"Afternoon","Evening")))</f>
        <v>Afternoon</v>
      </c>
      <c r="H17">
        <v>0</v>
      </c>
      <c r="I17">
        <v>6</v>
      </c>
      <c r="J17" t="str">
        <f>CHOOSE(I17+1,"Monday","Tuesday","Wednesday","Thursday","Friday","Saturday","Sunday")</f>
        <v>Sunday</v>
      </c>
      <c r="K17">
        <v>2</v>
      </c>
      <c r="L17" t="str">
        <f>CHOOSE(K17+1,"error","Clear","Misty","Rainy","Severe heater")</f>
        <v>Misty</v>
      </c>
      <c r="M17">
        <v>0.44</v>
      </c>
      <c r="N17" t="str">
        <f>IF(M17&lt;=0.2,"Low",IF(M17&lt;=0.4,"Mid","High"))</f>
        <v>High</v>
      </c>
      <c r="O17">
        <v>0.43940000000000001</v>
      </c>
      <c r="P17" t="str">
        <f>IF(O17&lt;=0.15,"Very Cold",IF(O17&lt;=0.3,"Cold",IF(O17&lt;=0.45,"Pleasant","Hot")))</f>
        <v>Pleasant</v>
      </c>
      <c r="Q17">
        <v>0.77</v>
      </c>
      <c r="R17" t="str">
        <f>IF(Q17&lt;=0.25,"Low ",IF(Q17&lt;=0.5,"Moderate ",IF(Q17&lt;=0.75,"High ","Very High ")))</f>
        <v xml:space="preserve">Very High </v>
      </c>
      <c r="S17">
        <v>0.29849999999999999</v>
      </c>
      <c r="T17" t="str">
        <f>IF(S17&lt;=0.15,"Calm",IF(S17&lt;=0.3,"Light Wind",IF(S17&lt;=0.45,"Moderate Wind","Strong Wind")))</f>
        <v>Light Wind</v>
      </c>
      <c r="U17">
        <v>40</v>
      </c>
      <c r="V17">
        <v>70</v>
      </c>
      <c r="W17">
        <v>110</v>
      </c>
      <c r="X17" t="str">
        <f>IF(W17&lt;=75,"Low Demand",IF(W17&lt;=150,"Medium Demand",IF(W17&lt;=225,"High Demand","Very High Demand")))</f>
        <v>Medium Demand</v>
      </c>
      <c r="AD17" s="5" t="s">
        <v>2</v>
      </c>
      <c r="AE17" s="4"/>
      <c r="AF17" s="4">
        <f>AVERAGE(dataset_1[windspeed])</f>
        <v>0.19493129999999903</v>
      </c>
      <c r="AG17" s="4"/>
      <c r="AH17" s="4"/>
      <c r="AI17" s="4"/>
    </row>
    <row r="18" spans="1:35" x14ac:dyDescent="0.25">
      <c r="A18">
        <v>17</v>
      </c>
      <c r="B18" s="2">
        <v>40544</v>
      </c>
      <c r="C18">
        <v>1</v>
      </c>
      <c r="D18">
        <v>0</v>
      </c>
      <c r="E18">
        <v>1</v>
      </c>
      <c r="F18">
        <v>16</v>
      </c>
      <c r="G18" t="str">
        <f>IF(F18&lt;6,"Night",IF(F18&lt;12,"Morning",IF(F18&lt;18,"Afternoon","Evening")))</f>
        <v>Afternoon</v>
      </c>
      <c r="H18">
        <v>0</v>
      </c>
      <c r="I18">
        <v>6</v>
      </c>
      <c r="J18" t="str">
        <f>CHOOSE(I18+1,"Monday","Tuesday","Wednesday","Thursday","Friday","Saturday","Sunday")</f>
        <v>Sunday</v>
      </c>
      <c r="K18">
        <v>2</v>
      </c>
      <c r="L18" t="str">
        <f>CHOOSE(K18+1,"error","Clear","Misty","Rainy","Severe heater")</f>
        <v>Misty</v>
      </c>
      <c r="M18">
        <v>0.42</v>
      </c>
      <c r="N18" t="str">
        <f>IF(M18&lt;=0.2,"Low",IF(M18&lt;=0.4,"Mid","High"))</f>
        <v>High</v>
      </c>
      <c r="O18">
        <v>0.42420000000000002</v>
      </c>
      <c r="P18" t="str">
        <f>IF(O18&lt;=0.15,"Very Cold",IF(O18&lt;=0.3,"Cold",IF(O18&lt;=0.45,"Pleasant","Hot")))</f>
        <v>Pleasant</v>
      </c>
      <c r="Q18">
        <v>0.82</v>
      </c>
      <c r="R18" t="str">
        <f>IF(Q18&lt;=0.25,"Low ",IF(Q18&lt;=0.5,"Moderate ",IF(Q18&lt;=0.75,"High ","Very High ")))</f>
        <v xml:space="preserve">Very High </v>
      </c>
      <c r="S18">
        <v>0.29849999999999999</v>
      </c>
      <c r="T18" t="str">
        <f>IF(S18&lt;=0.15,"Calm",IF(S18&lt;=0.3,"Light Wind",IF(S18&lt;=0.45,"Moderate Wind","Strong Wind")))</f>
        <v>Light Wind</v>
      </c>
      <c r="U18">
        <v>41</v>
      </c>
      <c r="V18">
        <v>52</v>
      </c>
      <c r="W18">
        <v>93</v>
      </c>
      <c r="X18" t="str">
        <f>IF(W18&lt;=75,"Low Demand",IF(W18&lt;=150,"Medium Demand",IF(W18&lt;=225,"High Demand","Very High Demand")))</f>
        <v>Medium Demand</v>
      </c>
      <c r="AD18" s="3" t="s">
        <v>1</v>
      </c>
      <c r="AE18">
        <f>MAX(dataset_1[count])</f>
        <v>249</v>
      </c>
    </row>
    <row r="19" spans="1:35" x14ac:dyDescent="0.25">
      <c r="A19">
        <v>18</v>
      </c>
      <c r="B19" s="2">
        <v>40544</v>
      </c>
      <c r="C19">
        <v>1</v>
      </c>
      <c r="D19">
        <v>0</v>
      </c>
      <c r="E19">
        <v>1</v>
      </c>
      <c r="F19">
        <v>17</v>
      </c>
      <c r="G19" t="str">
        <f>IF(F19&lt;6,"Night",IF(F19&lt;12,"Morning",IF(F19&lt;18,"Afternoon","Evening")))</f>
        <v>Afternoon</v>
      </c>
      <c r="H19">
        <v>0</v>
      </c>
      <c r="I19">
        <v>6</v>
      </c>
      <c r="J19" t="str">
        <f>CHOOSE(I19+1,"Monday","Tuesday","Wednesday","Thursday","Friday","Saturday","Sunday")</f>
        <v>Sunday</v>
      </c>
      <c r="K19">
        <v>2</v>
      </c>
      <c r="L19" t="str">
        <f>CHOOSE(K19+1,"error","Clear","Misty","Rainy","Severe heater")</f>
        <v>Misty</v>
      </c>
      <c r="M19">
        <v>0.44</v>
      </c>
      <c r="N19" t="str">
        <f>IF(M19&lt;=0.2,"Low",IF(M19&lt;=0.4,"Mid","High"))</f>
        <v>High</v>
      </c>
      <c r="O19">
        <v>0.42420000000000002</v>
      </c>
      <c r="P19" t="str">
        <f>IF(O19&lt;=0.15,"Very Cold",IF(O19&lt;=0.3,"Cold",IF(O19&lt;=0.45,"Pleasant","Hot")))</f>
        <v>Pleasant</v>
      </c>
      <c r="Q19">
        <v>0.82</v>
      </c>
      <c r="R19" t="str">
        <f>IF(Q19&lt;=0.25,"Low ",IF(Q19&lt;=0.5,"Moderate ",IF(Q19&lt;=0.75,"High ","Very High ")))</f>
        <v xml:space="preserve">Very High </v>
      </c>
      <c r="S19">
        <v>0.28360000000000002</v>
      </c>
      <c r="T19" t="str">
        <f>IF(S19&lt;=0.15,"Calm",IF(S19&lt;=0.3,"Light Wind",IF(S19&lt;=0.45,"Moderate Wind","Strong Wind")))</f>
        <v>Light Wind</v>
      </c>
      <c r="U19">
        <v>15</v>
      </c>
      <c r="V19">
        <v>52</v>
      </c>
      <c r="W19">
        <v>67</v>
      </c>
      <c r="X19" t="str">
        <f>IF(W19&lt;=75,"Low Demand",IF(W19&lt;=150,"Medium Demand",IF(W19&lt;=225,"High Demand","Very High Demand")))</f>
        <v>Low Demand</v>
      </c>
      <c r="AD19" t="s">
        <v>0</v>
      </c>
      <c r="AE19">
        <f>MIN(dataset_1[count])</f>
        <v>1</v>
      </c>
    </row>
    <row r="20" spans="1:35" x14ac:dyDescent="0.25">
      <c r="A20">
        <v>19</v>
      </c>
      <c r="B20" s="2">
        <v>40544</v>
      </c>
      <c r="C20">
        <v>1</v>
      </c>
      <c r="D20">
        <v>0</v>
      </c>
      <c r="E20">
        <v>1</v>
      </c>
      <c r="F20">
        <v>18</v>
      </c>
      <c r="G20" t="str">
        <f>IF(F20&lt;6,"Night",IF(F20&lt;12,"Morning",IF(F20&lt;18,"Afternoon","Evening")))</f>
        <v>Evening</v>
      </c>
      <c r="H20">
        <v>0</v>
      </c>
      <c r="I20">
        <v>6</v>
      </c>
      <c r="J20" t="str">
        <f>CHOOSE(I20+1,"Monday","Tuesday","Wednesday","Thursday","Friday","Saturday","Sunday")</f>
        <v>Sunday</v>
      </c>
      <c r="K20">
        <v>3</v>
      </c>
      <c r="L20" t="str">
        <f>CHOOSE(K20+1,"error","Clear","Misty","Rainy","Severe heater")</f>
        <v>Rainy</v>
      </c>
      <c r="M20">
        <v>0.42</v>
      </c>
      <c r="N20" t="str">
        <f>IF(M20&lt;=0.2,"Low",IF(M20&lt;=0.4,"Mid","High"))</f>
        <v>High</v>
      </c>
      <c r="O20">
        <v>0.42420000000000002</v>
      </c>
      <c r="P20" t="str">
        <f>IF(O20&lt;=0.15,"Very Cold",IF(O20&lt;=0.3,"Cold",IF(O20&lt;=0.45,"Pleasant","Hot")))</f>
        <v>Pleasant</v>
      </c>
      <c r="Q20">
        <v>0.88</v>
      </c>
      <c r="R20" t="str">
        <f>IF(Q20&lt;=0.25,"Low ",IF(Q20&lt;=0.5,"Moderate ",IF(Q20&lt;=0.75,"High ","Very High ")))</f>
        <v xml:space="preserve">Very High </v>
      </c>
      <c r="S20">
        <v>0.25369999999999998</v>
      </c>
      <c r="T20" t="str">
        <f>IF(S20&lt;=0.15,"Calm",IF(S20&lt;=0.3,"Light Wind",IF(S20&lt;=0.45,"Moderate Wind","Strong Wind")))</f>
        <v>Light Wind</v>
      </c>
      <c r="U20">
        <v>9</v>
      </c>
      <c r="V20">
        <v>26</v>
      </c>
      <c r="W20">
        <v>35</v>
      </c>
      <c r="X20" t="str">
        <f>IF(W20&lt;=75,"Low Demand",IF(W20&lt;=150,"Medium Demand",IF(W20&lt;=225,"High Demand","Very High Demand")))</f>
        <v>Low Demand</v>
      </c>
      <c r="AF20">
        <f>AVERAGE(dataset_1[Apparent Temperature])</f>
        <v>0.21302020000000052</v>
      </c>
    </row>
    <row r="21" spans="1:35" x14ac:dyDescent="0.25">
      <c r="A21">
        <v>20</v>
      </c>
      <c r="B21" s="2">
        <v>40544</v>
      </c>
      <c r="C21">
        <v>1</v>
      </c>
      <c r="D21">
        <v>0</v>
      </c>
      <c r="E21">
        <v>1</v>
      </c>
      <c r="F21">
        <v>19</v>
      </c>
      <c r="G21" t="str">
        <f>IF(F21&lt;6,"Night",IF(F21&lt;12,"Morning",IF(F21&lt;18,"Afternoon","Evening")))</f>
        <v>Evening</v>
      </c>
      <c r="H21">
        <v>0</v>
      </c>
      <c r="I21">
        <v>6</v>
      </c>
      <c r="J21" t="str">
        <f>CHOOSE(I21+1,"Monday","Tuesday","Wednesday","Thursday","Friday","Saturday","Sunday")</f>
        <v>Sunday</v>
      </c>
      <c r="K21">
        <v>3</v>
      </c>
      <c r="L21" t="str">
        <f>CHOOSE(K21+1,"error","Clear","Misty","Rainy","Severe heater")</f>
        <v>Rainy</v>
      </c>
      <c r="M21">
        <v>0.42</v>
      </c>
      <c r="N21" t="str">
        <f>IF(M21&lt;=0.2,"Low",IF(M21&lt;=0.4,"Mid","High"))</f>
        <v>High</v>
      </c>
      <c r="O21">
        <v>0.42420000000000002</v>
      </c>
      <c r="P21" t="str">
        <f>IF(O21&lt;=0.15,"Very Cold",IF(O21&lt;=0.3,"Cold",IF(O21&lt;=0.45,"Pleasant","Hot")))</f>
        <v>Pleasant</v>
      </c>
      <c r="Q21">
        <v>0.88</v>
      </c>
      <c r="R21" t="str">
        <f>IF(Q21&lt;=0.25,"Low ",IF(Q21&lt;=0.5,"Moderate ",IF(Q21&lt;=0.75,"High ","Very High ")))</f>
        <v xml:space="preserve">Very High </v>
      </c>
      <c r="S21">
        <v>0.25369999999999998</v>
      </c>
      <c r="T21" t="str">
        <f>IF(S21&lt;=0.15,"Calm",IF(S21&lt;=0.3,"Light Wind",IF(S21&lt;=0.45,"Moderate Wind","Strong Wind")))</f>
        <v>Light Wind</v>
      </c>
      <c r="U21">
        <v>6</v>
      </c>
      <c r="V21">
        <v>31</v>
      </c>
      <c r="W21">
        <v>37</v>
      </c>
      <c r="X21" t="str">
        <f>IF(W21&lt;=75,"Low Demand",IF(W21&lt;=150,"Medium Demand",IF(W21&lt;=225,"High Demand","Very High Demand")))</f>
        <v>Low Demand</v>
      </c>
    </row>
    <row r="22" spans="1:35" x14ac:dyDescent="0.25">
      <c r="A22">
        <v>21</v>
      </c>
      <c r="B22" s="2">
        <v>40544</v>
      </c>
      <c r="C22">
        <v>1</v>
      </c>
      <c r="D22">
        <v>0</v>
      </c>
      <c r="E22">
        <v>1</v>
      </c>
      <c r="F22">
        <v>20</v>
      </c>
      <c r="G22" t="str">
        <f>IF(F22&lt;6,"Night",IF(F22&lt;12,"Morning",IF(F22&lt;18,"Afternoon","Evening")))</f>
        <v>Evening</v>
      </c>
      <c r="H22">
        <v>0</v>
      </c>
      <c r="I22">
        <v>6</v>
      </c>
      <c r="J22" t="str">
        <f>CHOOSE(I22+1,"Monday","Tuesday","Wednesday","Thursday","Friday","Saturday","Sunday")</f>
        <v>Sunday</v>
      </c>
      <c r="K22">
        <v>2</v>
      </c>
      <c r="L22" t="str">
        <f>CHOOSE(K22+1,"error","Clear","Misty","Rainy","Severe heater")</f>
        <v>Misty</v>
      </c>
      <c r="M22">
        <v>0.4</v>
      </c>
      <c r="N22" t="str">
        <f>IF(M22&lt;=0.2,"Low",IF(M22&lt;=0.4,"Mid","High"))</f>
        <v>Mid</v>
      </c>
      <c r="O22">
        <v>0.40910000000000002</v>
      </c>
      <c r="P22" t="str">
        <f>IF(O22&lt;=0.15,"Very Cold",IF(O22&lt;=0.3,"Cold",IF(O22&lt;=0.45,"Pleasant","Hot")))</f>
        <v>Pleasant</v>
      </c>
      <c r="Q22">
        <v>0.87</v>
      </c>
      <c r="R22" t="str">
        <f>IF(Q22&lt;=0.25,"Low ",IF(Q22&lt;=0.5,"Moderate ",IF(Q22&lt;=0.75,"High ","Very High ")))</f>
        <v xml:space="preserve">Very High </v>
      </c>
      <c r="S22">
        <v>0.25369999999999998</v>
      </c>
      <c r="T22" t="str">
        <f>IF(S22&lt;=0.15,"Calm",IF(S22&lt;=0.3,"Light Wind",IF(S22&lt;=0.45,"Moderate Wind","Strong Wind")))</f>
        <v>Light Wind</v>
      </c>
      <c r="U22">
        <v>11</v>
      </c>
      <c r="V22">
        <v>25</v>
      </c>
      <c r="W22">
        <v>36</v>
      </c>
      <c r="X22" t="str">
        <f>IF(W22&lt;=75,"Low Demand",IF(W22&lt;=150,"Medium Demand",IF(W22&lt;=225,"High Demand","Very High Demand")))</f>
        <v>Low Demand</v>
      </c>
    </row>
    <row r="23" spans="1:35" x14ac:dyDescent="0.25">
      <c r="A23">
        <v>22</v>
      </c>
      <c r="B23" s="2">
        <v>40544</v>
      </c>
      <c r="C23">
        <v>1</v>
      </c>
      <c r="D23">
        <v>0</v>
      </c>
      <c r="E23">
        <v>1</v>
      </c>
      <c r="F23">
        <v>21</v>
      </c>
      <c r="G23" t="str">
        <f>IF(F23&lt;6,"Night",IF(F23&lt;12,"Morning",IF(F23&lt;18,"Afternoon","Evening")))</f>
        <v>Evening</v>
      </c>
      <c r="H23">
        <v>0</v>
      </c>
      <c r="I23">
        <v>6</v>
      </c>
      <c r="J23" t="str">
        <f>CHOOSE(I23+1,"Monday","Tuesday","Wednesday","Thursday","Friday","Saturday","Sunday")</f>
        <v>Sunday</v>
      </c>
      <c r="K23">
        <v>2</v>
      </c>
      <c r="L23" t="str">
        <f>CHOOSE(K23+1,"error","Clear","Misty","Rainy","Severe heater")</f>
        <v>Misty</v>
      </c>
      <c r="M23">
        <v>0.4</v>
      </c>
      <c r="N23" t="str">
        <f>IF(M23&lt;=0.2,"Low",IF(M23&lt;=0.4,"Mid","High"))</f>
        <v>Mid</v>
      </c>
      <c r="O23">
        <v>0.40910000000000002</v>
      </c>
      <c r="P23" t="str">
        <f>IF(O23&lt;=0.15,"Very Cold",IF(O23&lt;=0.3,"Cold",IF(O23&lt;=0.45,"Pleasant","Hot")))</f>
        <v>Pleasant</v>
      </c>
      <c r="Q23">
        <v>0.87</v>
      </c>
      <c r="R23" t="str">
        <f>IF(Q23&lt;=0.25,"Low ",IF(Q23&lt;=0.5,"Moderate ",IF(Q23&lt;=0.75,"High ","Very High ")))</f>
        <v xml:space="preserve">Very High </v>
      </c>
      <c r="S23">
        <v>0.19400000000000001</v>
      </c>
      <c r="T23" t="str">
        <f>IF(S23&lt;=0.15,"Calm",IF(S23&lt;=0.3,"Light Wind",IF(S23&lt;=0.45,"Moderate Wind","Strong Wind")))</f>
        <v>Light Wind</v>
      </c>
      <c r="U23">
        <v>3</v>
      </c>
      <c r="V23">
        <v>31</v>
      </c>
      <c r="W23">
        <v>34</v>
      </c>
      <c r="X23" t="str">
        <f>IF(W23&lt;=75,"Low Demand",IF(W23&lt;=150,"Medium Demand",IF(W23&lt;=225,"High Demand","Very High Demand")))</f>
        <v>Low Demand</v>
      </c>
    </row>
    <row r="24" spans="1:35" x14ac:dyDescent="0.25">
      <c r="A24">
        <v>23</v>
      </c>
      <c r="B24" s="2">
        <v>40544</v>
      </c>
      <c r="C24">
        <v>1</v>
      </c>
      <c r="D24">
        <v>0</v>
      </c>
      <c r="E24">
        <v>1</v>
      </c>
      <c r="F24">
        <v>22</v>
      </c>
      <c r="G24" t="str">
        <f>IF(F24&lt;6,"Night",IF(F24&lt;12,"Morning",IF(F24&lt;18,"Afternoon","Evening")))</f>
        <v>Evening</v>
      </c>
      <c r="H24">
        <v>0</v>
      </c>
      <c r="I24">
        <v>6</v>
      </c>
      <c r="J24" t="str">
        <f>CHOOSE(I24+1,"Monday","Tuesday","Wednesday","Thursday","Friday","Saturday","Sunday")</f>
        <v>Sunday</v>
      </c>
      <c r="K24">
        <v>2</v>
      </c>
      <c r="L24" t="str">
        <f>CHOOSE(K24+1,"error","Clear","Misty","Rainy","Severe heater")</f>
        <v>Misty</v>
      </c>
      <c r="M24">
        <v>0.4</v>
      </c>
      <c r="N24" t="str">
        <f>IF(M24&lt;=0.2,"Low",IF(M24&lt;=0.4,"Mid","High"))</f>
        <v>Mid</v>
      </c>
      <c r="O24">
        <v>0.40910000000000002</v>
      </c>
      <c r="P24" t="str">
        <f>IF(O24&lt;=0.15,"Very Cold",IF(O24&lt;=0.3,"Cold",IF(O24&lt;=0.45,"Pleasant","Hot")))</f>
        <v>Pleasant</v>
      </c>
      <c r="Q24">
        <v>0.94</v>
      </c>
      <c r="R24" t="str">
        <f>IF(Q24&lt;=0.25,"Low ",IF(Q24&lt;=0.5,"Moderate ",IF(Q24&lt;=0.75,"High ","Very High ")))</f>
        <v xml:space="preserve">Very High </v>
      </c>
      <c r="S24">
        <v>0.22389999999999999</v>
      </c>
      <c r="T24" t="str">
        <f>IF(S24&lt;=0.15,"Calm",IF(S24&lt;=0.3,"Light Wind",IF(S24&lt;=0.45,"Moderate Wind","Strong Wind")))</f>
        <v>Light Wind</v>
      </c>
      <c r="U24">
        <v>11</v>
      </c>
      <c r="V24">
        <v>17</v>
      </c>
      <c r="W24">
        <v>28</v>
      </c>
      <c r="X24" t="str">
        <f>IF(W24&lt;=75,"Low Demand",IF(W24&lt;=150,"Medium Demand",IF(W24&lt;=225,"High Demand","Very High Demand")))</f>
        <v>Low Demand</v>
      </c>
    </row>
    <row r="25" spans="1:35" x14ac:dyDescent="0.25">
      <c r="A25">
        <v>24</v>
      </c>
      <c r="B25" s="2">
        <v>40544</v>
      </c>
      <c r="C25">
        <v>1</v>
      </c>
      <c r="D25">
        <v>0</v>
      </c>
      <c r="E25">
        <v>1</v>
      </c>
      <c r="F25">
        <v>23</v>
      </c>
      <c r="G25" t="str">
        <f>IF(F25&lt;6,"Night",IF(F25&lt;12,"Morning",IF(F25&lt;18,"Afternoon","Evening")))</f>
        <v>Evening</v>
      </c>
      <c r="H25">
        <v>0</v>
      </c>
      <c r="I25">
        <v>6</v>
      </c>
      <c r="J25" t="str">
        <f>CHOOSE(I25+1,"Monday","Tuesday","Wednesday","Thursday","Friday","Saturday","Sunday")</f>
        <v>Sunday</v>
      </c>
      <c r="K25">
        <v>2</v>
      </c>
      <c r="L25" t="str">
        <f>CHOOSE(K25+1,"error","Clear","Misty","Rainy","Severe heater")</f>
        <v>Misty</v>
      </c>
      <c r="M25">
        <v>0.46</v>
      </c>
      <c r="N25" t="str">
        <f>IF(M25&lt;=0.2,"Low",IF(M25&lt;=0.4,"Mid","High"))</f>
        <v>High</v>
      </c>
      <c r="O25">
        <v>0.43180000000000002</v>
      </c>
      <c r="P25" t="str">
        <f>IF(O25&lt;=0.15,"Very Cold",IF(O25&lt;=0.3,"Cold",IF(O25&lt;=0.45,"Pleasant","Hot")))</f>
        <v>Pleasant</v>
      </c>
      <c r="Q25">
        <v>0.88</v>
      </c>
      <c r="R25" t="str">
        <f>IF(Q25&lt;=0.25,"Low ",IF(Q25&lt;=0.5,"Moderate ",IF(Q25&lt;=0.75,"High ","Very High ")))</f>
        <v xml:space="preserve">Very High </v>
      </c>
      <c r="S25">
        <v>0.29849999999999999</v>
      </c>
      <c r="T25" t="str">
        <f>IF(S25&lt;=0.15,"Calm",IF(S25&lt;=0.3,"Light Wind",IF(S25&lt;=0.45,"Moderate Wind","Strong Wind")))</f>
        <v>Light Wind</v>
      </c>
      <c r="U25">
        <v>15</v>
      </c>
      <c r="V25">
        <v>24</v>
      </c>
      <c r="W25">
        <v>39</v>
      </c>
      <c r="X25" t="str">
        <f>IF(W25&lt;=75,"Low Demand",IF(W25&lt;=150,"Medium Demand",IF(W25&lt;=225,"High Demand","Very High Demand")))</f>
        <v>Low Demand</v>
      </c>
    </row>
    <row r="26" spans="1:35" x14ac:dyDescent="0.25">
      <c r="A26">
        <v>25</v>
      </c>
      <c r="B26" s="2">
        <v>40545</v>
      </c>
      <c r="C26">
        <v>1</v>
      </c>
      <c r="D26">
        <v>0</v>
      </c>
      <c r="E26">
        <v>1</v>
      </c>
      <c r="F26">
        <v>0</v>
      </c>
      <c r="G26" t="str">
        <f>IF(F26&lt;6,"Night",IF(F26&lt;12,"Morning",IF(F26&lt;18,"Afternoon","Evening")))</f>
        <v>Night</v>
      </c>
      <c r="H26">
        <v>0</v>
      </c>
      <c r="I26">
        <v>0</v>
      </c>
      <c r="J26" t="str">
        <f>CHOOSE(I26+1,"Monday","Tuesday","Wednesday","Thursday","Friday","Saturday","Sunday")</f>
        <v>Monday</v>
      </c>
      <c r="K26">
        <v>2</v>
      </c>
      <c r="L26" t="str">
        <f>CHOOSE(K26+1,"error","Clear","Misty","Rainy","Severe heater")</f>
        <v>Misty</v>
      </c>
      <c r="M26">
        <v>0.46</v>
      </c>
      <c r="N26" t="str">
        <f>IF(M26&lt;=0.2,"Low",IF(M26&lt;=0.4,"Mid","High"))</f>
        <v>High</v>
      </c>
      <c r="O26">
        <v>0.45450000000000002</v>
      </c>
      <c r="P26" t="str">
        <f>IF(O26&lt;=0.15,"Very Cold",IF(O26&lt;=0.3,"Cold",IF(O26&lt;=0.45,"Pleasant","Hot")))</f>
        <v>Hot</v>
      </c>
      <c r="Q26">
        <v>0.88</v>
      </c>
      <c r="R26" t="str">
        <f>IF(Q26&lt;=0.25,"Low ",IF(Q26&lt;=0.5,"Moderate ",IF(Q26&lt;=0.75,"High ","Very High ")))</f>
        <v xml:space="preserve">Very High </v>
      </c>
      <c r="S26">
        <v>0.29849999999999999</v>
      </c>
      <c r="T26" t="str">
        <f>IF(S26&lt;=0.15,"Calm",IF(S26&lt;=0.3,"Light Wind",IF(S26&lt;=0.45,"Moderate Wind","Strong Wind")))</f>
        <v>Light Wind</v>
      </c>
      <c r="U26">
        <v>4</v>
      </c>
      <c r="V26">
        <v>13</v>
      </c>
      <c r="W26">
        <v>17</v>
      </c>
      <c r="X26" t="str">
        <f>IF(W26&lt;=75,"Low Demand",IF(W26&lt;=150,"Medium Demand",IF(W26&lt;=225,"High Demand","Very High Demand")))</f>
        <v>Low Demand</v>
      </c>
    </row>
    <row r="27" spans="1:35" x14ac:dyDescent="0.25">
      <c r="A27">
        <v>26</v>
      </c>
      <c r="B27" s="2">
        <v>40545</v>
      </c>
      <c r="C27">
        <v>1</v>
      </c>
      <c r="D27">
        <v>0</v>
      </c>
      <c r="E27">
        <v>1</v>
      </c>
      <c r="F27">
        <v>1</v>
      </c>
      <c r="G27" t="str">
        <f>IF(F27&lt;6,"Night",IF(F27&lt;12,"Morning",IF(F27&lt;18,"Afternoon","Evening")))</f>
        <v>Night</v>
      </c>
      <c r="H27">
        <v>0</v>
      </c>
      <c r="I27">
        <v>0</v>
      </c>
      <c r="J27" t="str">
        <f>CHOOSE(I27+1,"Monday","Tuesday","Wednesday","Thursday","Friday","Saturday","Sunday")</f>
        <v>Monday</v>
      </c>
      <c r="K27">
        <v>2</v>
      </c>
      <c r="L27" t="str">
        <f>CHOOSE(K27+1,"error","Clear","Misty","Rainy","Severe heater")</f>
        <v>Misty</v>
      </c>
      <c r="M27">
        <v>0.44</v>
      </c>
      <c r="N27" t="str">
        <f>IF(M27&lt;=0.2,"Low",IF(M27&lt;=0.4,"Mid","High"))</f>
        <v>High</v>
      </c>
      <c r="O27">
        <v>0.43940000000000001</v>
      </c>
      <c r="P27" t="str">
        <f>IF(O27&lt;=0.15,"Very Cold",IF(O27&lt;=0.3,"Cold",IF(O27&lt;=0.45,"Pleasant","Hot")))</f>
        <v>Pleasant</v>
      </c>
      <c r="Q27">
        <v>0.94</v>
      </c>
      <c r="R27" t="str">
        <f>IF(Q27&lt;=0.25,"Low ",IF(Q27&lt;=0.5,"Moderate ",IF(Q27&lt;=0.75,"High ","Very High ")))</f>
        <v xml:space="preserve">Very High </v>
      </c>
      <c r="S27">
        <v>0.25369999999999998</v>
      </c>
      <c r="T27" t="str">
        <f>IF(S27&lt;=0.15,"Calm",IF(S27&lt;=0.3,"Light Wind",IF(S27&lt;=0.45,"Moderate Wind","Strong Wind")))</f>
        <v>Light Wind</v>
      </c>
      <c r="U27">
        <v>1</v>
      </c>
      <c r="V27">
        <v>16</v>
      </c>
      <c r="W27">
        <v>17</v>
      </c>
      <c r="X27" t="str">
        <f>IF(W27&lt;=75,"Low Demand",IF(W27&lt;=150,"Medium Demand",IF(W27&lt;=225,"High Demand","Very High Demand")))</f>
        <v>Low Demand</v>
      </c>
    </row>
    <row r="28" spans="1:35" x14ac:dyDescent="0.25">
      <c r="A28">
        <v>27</v>
      </c>
      <c r="B28" s="2">
        <v>40545</v>
      </c>
      <c r="C28">
        <v>1</v>
      </c>
      <c r="D28">
        <v>0</v>
      </c>
      <c r="E28">
        <v>1</v>
      </c>
      <c r="F28">
        <v>2</v>
      </c>
      <c r="G28" t="str">
        <f>IF(F28&lt;6,"Night",IF(F28&lt;12,"Morning",IF(F28&lt;18,"Afternoon","Evening")))</f>
        <v>Night</v>
      </c>
      <c r="H28">
        <v>0</v>
      </c>
      <c r="I28">
        <v>0</v>
      </c>
      <c r="J28" t="str">
        <f>CHOOSE(I28+1,"Monday","Tuesday","Wednesday","Thursday","Friday","Saturday","Sunday")</f>
        <v>Monday</v>
      </c>
      <c r="K28">
        <v>2</v>
      </c>
      <c r="L28" t="str">
        <f>CHOOSE(K28+1,"error","Clear","Misty","Rainy","Severe heater")</f>
        <v>Misty</v>
      </c>
      <c r="M28">
        <v>0.42</v>
      </c>
      <c r="N28" t="str">
        <f>IF(M28&lt;=0.2,"Low",IF(M28&lt;=0.4,"Mid","High"))</f>
        <v>High</v>
      </c>
      <c r="O28">
        <v>0.42420000000000002</v>
      </c>
      <c r="P28" t="str">
        <f>IF(O28&lt;=0.15,"Very Cold",IF(O28&lt;=0.3,"Cold",IF(O28&lt;=0.45,"Pleasant","Hot")))</f>
        <v>Pleasant</v>
      </c>
      <c r="Q28">
        <v>1</v>
      </c>
      <c r="R28" t="str">
        <f>IF(Q28&lt;=0.25,"Low ",IF(Q28&lt;=0.5,"Moderate ",IF(Q28&lt;=0.75,"High ","Very High ")))</f>
        <v xml:space="preserve">Very High </v>
      </c>
      <c r="S28">
        <v>0.28360000000000002</v>
      </c>
      <c r="T28" t="str">
        <f>IF(S28&lt;=0.15,"Calm",IF(S28&lt;=0.3,"Light Wind",IF(S28&lt;=0.45,"Moderate Wind","Strong Wind")))</f>
        <v>Light Wind</v>
      </c>
      <c r="U28">
        <v>1</v>
      </c>
      <c r="V28">
        <v>8</v>
      </c>
      <c r="W28">
        <v>9</v>
      </c>
      <c r="X28" t="str">
        <f>IF(W28&lt;=75,"Low Demand",IF(W28&lt;=150,"Medium Demand",IF(W28&lt;=225,"High Demand","Very High Demand")))</f>
        <v>Low Demand</v>
      </c>
    </row>
    <row r="29" spans="1:35" x14ac:dyDescent="0.25">
      <c r="A29">
        <v>28</v>
      </c>
      <c r="B29" s="2">
        <v>40545</v>
      </c>
      <c r="C29">
        <v>1</v>
      </c>
      <c r="D29">
        <v>0</v>
      </c>
      <c r="E29">
        <v>1</v>
      </c>
      <c r="F29">
        <v>3</v>
      </c>
      <c r="G29" t="str">
        <f>IF(F29&lt;6,"Night",IF(F29&lt;12,"Morning",IF(F29&lt;18,"Afternoon","Evening")))</f>
        <v>Night</v>
      </c>
      <c r="H29">
        <v>0</v>
      </c>
      <c r="I29">
        <v>0</v>
      </c>
      <c r="J29" t="str">
        <f>CHOOSE(I29+1,"Monday","Tuesday","Wednesday","Thursday","Friday","Saturday","Sunday")</f>
        <v>Monday</v>
      </c>
      <c r="K29">
        <v>2</v>
      </c>
      <c r="L29" t="str">
        <f>CHOOSE(K29+1,"error","Clear","Misty","Rainy","Severe heater")</f>
        <v>Misty</v>
      </c>
      <c r="M29">
        <v>0.46</v>
      </c>
      <c r="N29" t="str">
        <f>IF(M29&lt;=0.2,"Low",IF(M29&lt;=0.4,"Mid","High"))</f>
        <v>High</v>
      </c>
      <c r="O29">
        <v>0.45450000000000002</v>
      </c>
      <c r="P29" t="str">
        <f>IF(O29&lt;=0.15,"Very Cold",IF(O29&lt;=0.3,"Cold",IF(O29&lt;=0.45,"Pleasant","Hot")))</f>
        <v>Hot</v>
      </c>
      <c r="Q29">
        <v>0.94</v>
      </c>
      <c r="R29" t="str">
        <f>IF(Q29&lt;=0.25,"Low ",IF(Q29&lt;=0.5,"Moderate ",IF(Q29&lt;=0.75,"High ","Very High ")))</f>
        <v xml:space="preserve">Very High </v>
      </c>
      <c r="S29">
        <v>0.19400000000000001</v>
      </c>
      <c r="T29" t="str">
        <f>IF(S29&lt;=0.15,"Calm",IF(S29&lt;=0.3,"Light Wind",IF(S29&lt;=0.45,"Moderate Wind","Strong Wind")))</f>
        <v>Light Wind</v>
      </c>
      <c r="U29">
        <v>2</v>
      </c>
      <c r="V29">
        <v>4</v>
      </c>
      <c r="W29">
        <v>6</v>
      </c>
      <c r="X29" t="str">
        <f>IF(W29&lt;=75,"Low Demand",IF(W29&lt;=150,"Medium Demand",IF(W29&lt;=225,"High Demand","Very High Demand")))</f>
        <v>Low Demand</v>
      </c>
    </row>
    <row r="30" spans="1:35" x14ac:dyDescent="0.25">
      <c r="A30">
        <v>29</v>
      </c>
      <c r="B30" s="2">
        <v>40545</v>
      </c>
      <c r="C30">
        <v>1</v>
      </c>
      <c r="D30">
        <v>0</v>
      </c>
      <c r="E30">
        <v>1</v>
      </c>
      <c r="F30">
        <v>4</v>
      </c>
      <c r="G30" t="str">
        <f>IF(F30&lt;6,"Night",IF(F30&lt;12,"Morning",IF(F30&lt;18,"Afternoon","Evening")))</f>
        <v>Night</v>
      </c>
      <c r="H30">
        <v>0</v>
      </c>
      <c r="I30">
        <v>0</v>
      </c>
      <c r="J30" t="str">
        <f>CHOOSE(I30+1,"Monday","Tuesday","Wednesday","Thursday","Friday","Saturday","Sunday")</f>
        <v>Monday</v>
      </c>
      <c r="K30">
        <v>2</v>
      </c>
      <c r="L30" t="str">
        <f>CHOOSE(K30+1,"error","Clear","Misty","Rainy","Severe heater")</f>
        <v>Misty</v>
      </c>
      <c r="M30">
        <v>0.46</v>
      </c>
      <c r="N30" t="str">
        <f>IF(M30&lt;=0.2,"Low",IF(M30&lt;=0.4,"Mid","High"))</f>
        <v>High</v>
      </c>
      <c r="O30">
        <v>0.43935000000000002</v>
      </c>
      <c r="P30" t="str">
        <f>IF(O30&lt;=0.15,"Very Cold",IF(O30&lt;=0.3,"Cold",IF(O30&lt;=0.45,"Pleasant","Hot")))</f>
        <v>Pleasant</v>
      </c>
      <c r="Q30">
        <v>0.94</v>
      </c>
      <c r="R30" t="str">
        <f>IF(Q30&lt;=0.25,"Low ",IF(Q30&lt;=0.5,"Moderate ",IF(Q30&lt;=0.75,"High ","Very High ")))</f>
        <v xml:space="preserve">Very High </v>
      </c>
      <c r="S30">
        <v>0.19400000000000001</v>
      </c>
      <c r="T30" t="str">
        <f>IF(S30&lt;=0.15,"Calm",IF(S30&lt;=0.3,"Light Wind",IF(S30&lt;=0.45,"Moderate Wind","Strong Wind")))</f>
        <v>Light Wind</v>
      </c>
      <c r="U30">
        <v>2</v>
      </c>
      <c r="V30">
        <v>1</v>
      </c>
      <c r="W30">
        <v>3</v>
      </c>
      <c r="X30" t="str">
        <f>IF(W30&lt;=75,"Low Demand",IF(W30&lt;=150,"Medium Demand",IF(W30&lt;=225,"High Demand","Very High Demand")))</f>
        <v>Low Demand</v>
      </c>
    </row>
    <row r="31" spans="1:35" x14ac:dyDescent="0.25">
      <c r="A31">
        <v>30</v>
      </c>
      <c r="B31" s="2">
        <v>40545</v>
      </c>
      <c r="C31">
        <v>1</v>
      </c>
      <c r="D31">
        <v>0</v>
      </c>
      <c r="E31">
        <v>1</v>
      </c>
      <c r="F31">
        <v>6</v>
      </c>
      <c r="G31" t="str">
        <f>IF(F31&lt;6,"Night",IF(F31&lt;12,"Morning",IF(F31&lt;18,"Afternoon","Evening")))</f>
        <v>Morning</v>
      </c>
      <c r="H31">
        <v>0</v>
      </c>
      <c r="I31">
        <v>0</v>
      </c>
      <c r="J31" t="str">
        <f>CHOOSE(I31+1,"Monday","Tuesday","Wednesday","Thursday","Friday","Saturday","Sunday")</f>
        <v>Monday</v>
      </c>
      <c r="K31">
        <v>3</v>
      </c>
      <c r="L31" t="str">
        <f>CHOOSE(K31+1,"error","Clear","Misty","Rainy","Severe heater")</f>
        <v>Rainy</v>
      </c>
      <c r="M31">
        <v>0.42</v>
      </c>
      <c r="N31" t="str">
        <f>IF(M31&lt;=0.2,"Low",IF(M31&lt;=0.4,"Mid","High"))</f>
        <v>High</v>
      </c>
      <c r="O31">
        <v>0.42420000000000002</v>
      </c>
      <c r="P31" t="str">
        <f>IF(O31&lt;=0.15,"Very Cold",IF(O31&lt;=0.3,"Cold",IF(O31&lt;=0.45,"Pleasant","Hot")))</f>
        <v>Pleasant</v>
      </c>
      <c r="Q31">
        <v>0.77</v>
      </c>
      <c r="R31" t="str">
        <f>IF(Q31&lt;=0.25,"Low ",IF(Q31&lt;=0.5,"Moderate ",IF(Q31&lt;=0.75,"High ","Very High ")))</f>
        <v xml:space="preserve">Very High </v>
      </c>
      <c r="S31">
        <v>0.29849999999999999</v>
      </c>
      <c r="T31" t="str">
        <f>IF(S31&lt;=0.15,"Calm",IF(S31&lt;=0.3,"Light Wind",IF(S31&lt;=0.45,"Moderate Wind","Strong Wind")))</f>
        <v>Light Wind</v>
      </c>
      <c r="U31">
        <v>0</v>
      </c>
      <c r="V31">
        <v>2</v>
      </c>
      <c r="W31">
        <v>2</v>
      </c>
      <c r="X31" t="str">
        <f>IF(W31&lt;=75,"Low Demand",IF(W31&lt;=150,"Medium Demand",IF(W31&lt;=225,"High Demand","Very High Demand")))</f>
        <v>Low Demand</v>
      </c>
    </row>
    <row r="32" spans="1:35" x14ac:dyDescent="0.25">
      <c r="A32">
        <v>31</v>
      </c>
      <c r="B32" s="2">
        <v>40545</v>
      </c>
      <c r="C32">
        <v>1</v>
      </c>
      <c r="D32">
        <v>0</v>
      </c>
      <c r="E32">
        <v>1</v>
      </c>
      <c r="F32">
        <v>7</v>
      </c>
      <c r="G32" t="str">
        <f>IF(F32&lt;6,"Night",IF(F32&lt;12,"Morning",IF(F32&lt;18,"Afternoon","Evening")))</f>
        <v>Morning</v>
      </c>
      <c r="H32">
        <v>0</v>
      </c>
      <c r="I32">
        <v>0</v>
      </c>
      <c r="J32" t="str">
        <f>CHOOSE(I32+1,"Monday","Tuesday","Wednesday","Thursday","Friday","Saturday","Sunday")</f>
        <v>Monday</v>
      </c>
      <c r="K32">
        <v>2</v>
      </c>
      <c r="L32" t="str">
        <f>CHOOSE(K32+1,"error","Clear","Misty","Rainy","Severe heater")</f>
        <v>Misty</v>
      </c>
      <c r="M32">
        <v>0.4</v>
      </c>
      <c r="N32" t="str">
        <f>IF(M32&lt;=0.2,"Low",IF(M32&lt;=0.4,"Mid","High"))</f>
        <v>Mid</v>
      </c>
      <c r="O32">
        <v>0.40910000000000002</v>
      </c>
      <c r="P32" t="str">
        <f>IF(O32&lt;=0.15,"Very Cold",IF(O32&lt;=0.3,"Cold",IF(O32&lt;=0.45,"Pleasant","Hot")))</f>
        <v>Pleasant</v>
      </c>
      <c r="Q32">
        <v>0.76</v>
      </c>
      <c r="R32" t="str">
        <f>IF(Q32&lt;=0.25,"Low ",IF(Q32&lt;=0.5,"Moderate ",IF(Q32&lt;=0.75,"High ","Very High ")))</f>
        <v xml:space="preserve">Very High </v>
      </c>
      <c r="S32">
        <v>0.19400000000000001</v>
      </c>
      <c r="T32" t="str">
        <f>IF(S32&lt;=0.15,"Calm",IF(S32&lt;=0.3,"Light Wind",IF(S32&lt;=0.45,"Moderate Wind","Strong Wind")))</f>
        <v>Light Wind</v>
      </c>
      <c r="U32">
        <v>0</v>
      </c>
      <c r="V32">
        <v>1</v>
      </c>
      <c r="W32">
        <v>1</v>
      </c>
      <c r="X32" t="str">
        <f>IF(W32&lt;=75,"Low Demand",IF(W32&lt;=150,"Medium Demand",IF(W32&lt;=225,"High Demand","Very High Demand")))</f>
        <v>Low Demand</v>
      </c>
    </row>
    <row r="33" spans="1:24" x14ac:dyDescent="0.25">
      <c r="A33">
        <v>32</v>
      </c>
      <c r="B33" s="2">
        <v>40545</v>
      </c>
      <c r="C33">
        <v>1</v>
      </c>
      <c r="D33">
        <v>0</v>
      </c>
      <c r="E33">
        <v>1</v>
      </c>
      <c r="F33">
        <v>8</v>
      </c>
      <c r="G33" t="str">
        <f>IF(F33&lt;6,"Night",IF(F33&lt;12,"Morning",IF(F33&lt;18,"Afternoon","Evening")))</f>
        <v>Morning</v>
      </c>
      <c r="H33">
        <v>0</v>
      </c>
      <c r="I33">
        <v>0</v>
      </c>
      <c r="J33" t="str">
        <f>CHOOSE(I33+1,"Monday","Tuesday","Wednesday","Thursday","Friday","Saturday","Sunday")</f>
        <v>Monday</v>
      </c>
      <c r="K33">
        <v>3</v>
      </c>
      <c r="L33" t="str">
        <f>CHOOSE(K33+1,"error","Clear","Misty","Rainy","Severe heater")</f>
        <v>Rainy</v>
      </c>
      <c r="M33">
        <v>0.4</v>
      </c>
      <c r="N33" t="str">
        <f>IF(M33&lt;=0.2,"Low",IF(M33&lt;=0.4,"Mid","High"))</f>
        <v>Mid</v>
      </c>
      <c r="O33">
        <v>0.40910000000000002</v>
      </c>
      <c r="P33" t="str">
        <f>IF(O33&lt;=0.15,"Very Cold",IF(O33&lt;=0.3,"Cold",IF(O33&lt;=0.45,"Pleasant","Hot")))</f>
        <v>Pleasant</v>
      </c>
      <c r="Q33">
        <v>0.71</v>
      </c>
      <c r="R33" t="str">
        <f>IF(Q33&lt;=0.25,"Low ",IF(Q33&lt;=0.5,"Moderate ",IF(Q33&lt;=0.75,"High ","Very High ")))</f>
        <v xml:space="preserve">High </v>
      </c>
      <c r="S33">
        <v>0.22389999999999999</v>
      </c>
      <c r="T33" t="str">
        <f>IF(S33&lt;=0.15,"Calm",IF(S33&lt;=0.3,"Light Wind",IF(S33&lt;=0.45,"Moderate Wind","Strong Wind")))</f>
        <v>Light Wind</v>
      </c>
      <c r="U33">
        <v>0</v>
      </c>
      <c r="V33">
        <v>8</v>
      </c>
      <c r="W33">
        <v>8</v>
      </c>
      <c r="X33" t="str">
        <f>IF(W33&lt;=75,"Low Demand",IF(W33&lt;=150,"Medium Demand",IF(W33&lt;=225,"High Demand","Very High Demand")))</f>
        <v>Low Demand</v>
      </c>
    </row>
    <row r="34" spans="1:24" x14ac:dyDescent="0.25">
      <c r="A34">
        <v>33</v>
      </c>
      <c r="B34" s="2">
        <v>40545</v>
      </c>
      <c r="C34">
        <v>1</v>
      </c>
      <c r="D34">
        <v>0</v>
      </c>
      <c r="E34">
        <v>1</v>
      </c>
      <c r="F34">
        <v>9</v>
      </c>
      <c r="G34" t="str">
        <f>IF(F34&lt;6,"Night",IF(F34&lt;12,"Morning",IF(F34&lt;18,"Afternoon","Evening")))</f>
        <v>Morning</v>
      </c>
      <c r="H34">
        <v>0</v>
      </c>
      <c r="I34">
        <v>0</v>
      </c>
      <c r="J34" t="str">
        <f>CHOOSE(I34+1,"Monday","Tuesday","Wednesday","Thursday","Friday","Saturday","Sunday")</f>
        <v>Monday</v>
      </c>
      <c r="K34">
        <v>2</v>
      </c>
      <c r="L34" t="str">
        <f>CHOOSE(K34+1,"error","Clear","Misty","Rainy","Severe heater")</f>
        <v>Misty</v>
      </c>
      <c r="M34">
        <v>0.38</v>
      </c>
      <c r="N34" t="str">
        <f>IF(M34&lt;=0.2,"Low",IF(M34&lt;=0.4,"Mid","High"))</f>
        <v>Mid</v>
      </c>
      <c r="O34">
        <v>0.37880000000000003</v>
      </c>
      <c r="P34" t="str">
        <f>IF(O34&lt;=0.15,"Very Cold",IF(O34&lt;=0.3,"Cold",IF(O34&lt;=0.45,"Pleasant","Hot")))</f>
        <v>Pleasant</v>
      </c>
      <c r="Q34">
        <v>0.76</v>
      </c>
      <c r="R34" t="str">
        <f>IF(Q34&lt;=0.25,"Low ",IF(Q34&lt;=0.5,"Moderate ",IF(Q34&lt;=0.75,"High ","Very High ")))</f>
        <v xml:space="preserve">Very High </v>
      </c>
      <c r="S34">
        <v>0.22389999999999999</v>
      </c>
      <c r="T34" t="str">
        <f>IF(S34&lt;=0.15,"Calm",IF(S34&lt;=0.3,"Light Wind",IF(S34&lt;=0.45,"Moderate Wind","Strong Wind")))</f>
        <v>Light Wind</v>
      </c>
      <c r="U34">
        <v>1</v>
      </c>
      <c r="V34">
        <v>19</v>
      </c>
      <c r="W34">
        <v>20</v>
      </c>
      <c r="X34" t="str">
        <f>IF(W34&lt;=75,"Low Demand",IF(W34&lt;=150,"Medium Demand",IF(W34&lt;=225,"High Demand","Very High Demand")))</f>
        <v>Low Demand</v>
      </c>
    </row>
    <row r="35" spans="1:24" x14ac:dyDescent="0.25">
      <c r="A35">
        <v>34</v>
      </c>
      <c r="B35" s="2">
        <v>40545</v>
      </c>
      <c r="C35">
        <v>1</v>
      </c>
      <c r="D35">
        <v>0</v>
      </c>
      <c r="E35">
        <v>1</v>
      </c>
      <c r="F35">
        <v>10</v>
      </c>
      <c r="G35" t="str">
        <f>IF(F35&lt;6,"Night",IF(F35&lt;12,"Morning",IF(F35&lt;18,"Afternoon","Evening")))</f>
        <v>Morning</v>
      </c>
      <c r="H35">
        <v>0</v>
      </c>
      <c r="I35">
        <v>0</v>
      </c>
      <c r="J35" t="str">
        <f>CHOOSE(I35+1,"Monday","Tuesday","Wednesday","Thursday","Friday","Saturday","Sunday")</f>
        <v>Monday</v>
      </c>
      <c r="K35">
        <v>2</v>
      </c>
      <c r="L35" t="str">
        <f>CHOOSE(K35+1,"error","Clear","Misty","Rainy","Severe heater")</f>
        <v>Misty</v>
      </c>
      <c r="M35">
        <v>0.36</v>
      </c>
      <c r="N35" t="str">
        <f>IF(M35&lt;=0.2,"Low",IF(M35&lt;=0.4,"Mid","High"))</f>
        <v>Mid</v>
      </c>
      <c r="O35">
        <v>0.34849999999999998</v>
      </c>
      <c r="P35" t="str">
        <f>IF(O35&lt;=0.15,"Very Cold",IF(O35&lt;=0.3,"Cold",IF(O35&lt;=0.45,"Pleasant","Hot")))</f>
        <v>Pleasant</v>
      </c>
      <c r="Q35">
        <v>0.81</v>
      </c>
      <c r="R35" t="str">
        <f>IF(Q35&lt;=0.25,"Low ",IF(Q35&lt;=0.5,"Moderate ",IF(Q35&lt;=0.75,"High ","Very High ")))</f>
        <v xml:space="preserve">Very High </v>
      </c>
      <c r="S35">
        <v>0.22389999999999999</v>
      </c>
      <c r="T35" t="str">
        <f>IF(S35&lt;=0.15,"Calm",IF(S35&lt;=0.3,"Light Wind",IF(S35&lt;=0.45,"Moderate Wind","Strong Wind")))</f>
        <v>Light Wind</v>
      </c>
      <c r="U35">
        <v>7</v>
      </c>
      <c r="V35">
        <v>46</v>
      </c>
      <c r="W35">
        <v>53</v>
      </c>
      <c r="X35" t="str">
        <f>IF(W35&lt;=75,"Low Demand",IF(W35&lt;=150,"Medium Demand",IF(W35&lt;=225,"High Demand","Very High Demand")))</f>
        <v>Low Demand</v>
      </c>
    </row>
    <row r="36" spans="1:24" x14ac:dyDescent="0.25">
      <c r="A36">
        <v>35</v>
      </c>
      <c r="B36" s="2">
        <v>40545</v>
      </c>
      <c r="C36">
        <v>1</v>
      </c>
      <c r="D36">
        <v>0</v>
      </c>
      <c r="E36">
        <v>1</v>
      </c>
      <c r="F36">
        <v>11</v>
      </c>
      <c r="G36" t="str">
        <f>IF(F36&lt;6,"Night",IF(F36&lt;12,"Morning",IF(F36&lt;18,"Afternoon","Evening")))</f>
        <v>Morning</v>
      </c>
      <c r="H36">
        <v>0</v>
      </c>
      <c r="I36">
        <v>0</v>
      </c>
      <c r="J36" t="str">
        <f>CHOOSE(I36+1,"Monday","Tuesday","Wednesday","Thursday","Friday","Saturday","Sunday")</f>
        <v>Monday</v>
      </c>
      <c r="K36">
        <v>2</v>
      </c>
      <c r="L36" t="str">
        <f>CHOOSE(K36+1,"error","Clear","Misty","Rainy","Severe heater")</f>
        <v>Misty</v>
      </c>
      <c r="M36">
        <v>0.36</v>
      </c>
      <c r="N36" t="str">
        <f>IF(M36&lt;=0.2,"Low",IF(M36&lt;=0.4,"Mid","High"))</f>
        <v>Mid</v>
      </c>
      <c r="O36">
        <v>0.33329999999999999</v>
      </c>
      <c r="P36" t="str">
        <f>IF(O36&lt;=0.15,"Very Cold",IF(O36&lt;=0.3,"Cold",IF(O36&lt;=0.45,"Pleasant","Hot")))</f>
        <v>Pleasant</v>
      </c>
      <c r="Q36">
        <v>0.71</v>
      </c>
      <c r="R36" t="str">
        <f>IF(Q36&lt;=0.25,"Low ",IF(Q36&lt;=0.5,"Moderate ",IF(Q36&lt;=0.75,"High ","Very High ")))</f>
        <v xml:space="preserve">High </v>
      </c>
      <c r="S36">
        <v>0.25369999999999998</v>
      </c>
      <c r="T36" t="str">
        <f>IF(S36&lt;=0.15,"Calm",IF(S36&lt;=0.3,"Light Wind",IF(S36&lt;=0.45,"Moderate Wind","Strong Wind")))</f>
        <v>Light Wind</v>
      </c>
      <c r="U36">
        <v>16</v>
      </c>
      <c r="V36">
        <v>54</v>
      </c>
      <c r="W36">
        <v>70</v>
      </c>
      <c r="X36" t="str">
        <f>IF(W36&lt;=75,"Low Demand",IF(W36&lt;=150,"Medium Demand",IF(W36&lt;=225,"High Demand","Very High Demand")))</f>
        <v>Low Demand</v>
      </c>
    </row>
    <row r="37" spans="1:24" x14ac:dyDescent="0.25">
      <c r="A37">
        <v>36</v>
      </c>
      <c r="B37" s="2">
        <v>40545</v>
      </c>
      <c r="C37">
        <v>1</v>
      </c>
      <c r="D37">
        <v>0</v>
      </c>
      <c r="E37">
        <v>1</v>
      </c>
      <c r="F37">
        <v>12</v>
      </c>
      <c r="G37" t="str">
        <f>IF(F37&lt;6,"Night",IF(F37&lt;12,"Morning",IF(F37&lt;18,"Afternoon","Evening")))</f>
        <v>Afternoon</v>
      </c>
      <c r="H37">
        <v>0</v>
      </c>
      <c r="I37">
        <v>0</v>
      </c>
      <c r="J37" t="str">
        <f>CHOOSE(I37+1,"Monday","Tuesday","Wednesday","Thursday","Friday","Saturday","Sunday")</f>
        <v>Monday</v>
      </c>
      <c r="K37">
        <v>2</v>
      </c>
      <c r="L37" t="str">
        <f>CHOOSE(K37+1,"error","Clear","Misty","Rainy","Severe heater")</f>
        <v>Misty</v>
      </c>
      <c r="M37">
        <v>0.36</v>
      </c>
      <c r="N37" t="str">
        <f>IF(M37&lt;=0.2,"Low",IF(M37&lt;=0.4,"Mid","High"))</f>
        <v>Mid</v>
      </c>
      <c r="O37">
        <v>0.33329999999999999</v>
      </c>
      <c r="P37" t="str">
        <f>IF(O37&lt;=0.15,"Very Cold",IF(O37&lt;=0.3,"Cold",IF(O37&lt;=0.45,"Pleasant","Hot")))</f>
        <v>Pleasant</v>
      </c>
      <c r="Q37">
        <v>0.66</v>
      </c>
      <c r="R37" t="str">
        <f>IF(Q37&lt;=0.25,"Low ",IF(Q37&lt;=0.5,"Moderate ",IF(Q37&lt;=0.75,"High ","Very High ")))</f>
        <v xml:space="preserve">High </v>
      </c>
      <c r="S37">
        <v>0.29849999999999999</v>
      </c>
      <c r="T37" t="str">
        <f>IF(S37&lt;=0.15,"Calm",IF(S37&lt;=0.3,"Light Wind",IF(S37&lt;=0.45,"Moderate Wind","Strong Wind")))</f>
        <v>Light Wind</v>
      </c>
      <c r="U37">
        <v>20</v>
      </c>
      <c r="V37">
        <v>73</v>
      </c>
      <c r="W37">
        <v>93</v>
      </c>
      <c r="X37" t="str">
        <f>IF(W37&lt;=75,"Low Demand",IF(W37&lt;=150,"Medium Demand",IF(W37&lt;=225,"High Demand","Very High Demand")))</f>
        <v>Medium Demand</v>
      </c>
    </row>
    <row r="38" spans="1:24" x14ac:dyDescent="0.25">
      <c r="A38">
        <v>37</v>
      </c>
      <c r="B38" s="2">
        <v>40545</v>
      </c>
      <c r="C38">
        <v>1</v>
      </c>
      <c r="D38">
        <v>0</v>
      </c>
      <c r="E38">
        <v>1</v>
      </c>
      <c r="F38">
        <v>13</v>
      </c>
      <c r="G38" t="str">
        <f>IF(F38&lt;6,"Night",IF(F38&lt;12,"Morning",IF(F38&lt;18,"Afternoon","Evening")))</f>
        <v>Afternoon</v>
      </c>
      <c r="H38">
        <v>0</v>
      </c>
      <c r="I38">
        <v>0</v>
      </c>
      <c r="J38" t="str">
        <f>CHOOSE(I38+1,"Monday","Tuesday","Wednesday","Thursday","Friday","Saturday","Sunday")</f>
        <v>Monday</v>
      </c>
      <c r="K38">
        <v>2</v>
      </c>
      <c r="L38" t="str">
        <f>CHOOSE(K38+1,"error","Clear","Misty","Rainy","Severe heater")</f>
        <v>Misty</v>
      </c>
      <c r="M38">
        <v>0.36</v>
      </c>
      <c r="N38" t="str">
        <f>IF(M38&lt;=0.2,"Low",IF(M38&lt;=0.4,"Mid","High"))</f>
        <v>Mid</v>
      </c>
      <c r="O38">
        <v>0.34849999999999998</v>
      </c>
      <c r="P38" t="str">
        <f>IF(O38&lt;=0.15,"Very Cold",IF(O38&lt;=0.3,"Cold",IF(O38&lt;=0.45,"Pleasant","Hot")))</f>
        <v>Pleasant</v>
      </c>
      <c r="Q38">
        <v>0.66</v>
      </c>
      <c r="R38" t="str">
        <f>IF(Q38&lt;=0.25,"Low ",IF(Q38&lt;=0.5,"Moderate ",IF(Q38&lt;=0.75,"High ","Very High ")))</f>
        <v xml:space="preserve">High </v>
      </c>
      <c r="S38">
        <v>0.1343</v>
      </c>
      <c r="T38" t="str">
        <f>IF(S38&lt;=0.15,"Calm",IF(S38&lt;=0.3,"Light Wind",IF(S38&lt;=0.45,"Moderate Wind","Strong Wind")))</f>
        <v>Calm</v>
      </c>
      <c r="U38">
        <v>11</v>
      </c>
      <c r="V38">
        <v>64</v>
      </c>
      <c r="W38">
        <v>75</v>
      </c>
      <c r="X38" t="str">
        <f>IF(W38&lt;=75,"Low Demand",IF(W38&lt;=150,"Medium Demand",IF(W38&lt;=225,"High Demand","Very High Demand")))</f>
        <v>Low Demand</v>
      </c>
    </row>
    <row r="39" spans="1:24" x14ac:dyDescent="0.25">
      <c r="A39">
        <v>38</v>
      </c>
      <c r="B39" s="2">
        <v>40545</v>
      </c>
      <c r="C39">
        <v>1</v>
      </c>
      <c r="D39">
        <v>0</v>
      </c>
      <c r="E39">
        <v>1</v>
      </c>
      <c r="F39">
        <v>14</v>
      </c>
      <c r="G39" t="str">
        <f>IF(F39&lt;6,"Night",IF(F39&lt;12,"Morning",IF(F39&lt;18,"Afternoon","Evening")))</f>
        <v>Afternoon</v>
      </c>
      <c r="H39">
        <v>0</v>
      </c>
      <c r="I39">
        <v>0</v>
      </c>
      <c r="J39" t="str">
        <f>CHOOSE(I39+1,"Monday","Tuesday","Wednesday","Thursday","Friday","Saturday","Sunday")</f>
        <v>Monday</v>
      </c>
      <c r="K39">
        <v>3</v>
      </c>
      <c r="L39" t="str">
        <f>CHOOSE(K39+1,"error","Clear","Misty","Rainy","Severe heater")</f>
        <v>Rainy</v>
      </c>
      <c r="M39">
        <v>0.36</v>
      </c>
      <c r="N39" t="str">
        <f>IF(M39&lt;=0.2,"Low",IF(M39&lt;=0.4,"Mid","High"))</f>
        <v>Mid</v>
      </c>
      <c r="O39">
        <v>0.34089999999999998</v>
      </c>
      <c r="P39" t="str">
        <f>IF(O39&lt;=0.15,"Very Cold",IF(O39&lt;=0.3,"Cold",IF(O39&lt;=0.45,"Pleasant","Hot")))</f>
        <v>Pleasant</v>
      </c>
      <c r="Q39">
        <v>0.76</v>
      </c>
      <c r="R39" t="str">
        <f>IF(Q39&lt;=0.25,"Low ",IF(Q39&lt;=0.5,"Moderate ",IF(Q39&lt;=0.75,"High ","Very High ")))</f>
        <v xml:space="preserve">Very High </v>
      </c>
      <c r="S39">
        <v>0.19400000000000001</v>
      </c>
      <c r="T39" t="str">
        <f>IF(S39&lt;=0.15,"Calm",IF(S39&lt;=0.3,"Light Wind",IF(S39&lt;=0.45,"Moderate Wind","Strong Wind")))</f>
        <v>Light Wind</v>
      </c>
      <c r="U39">
        <v>4</v>
      </c>
      <c r="V39">
        <v>55</v>
      </c>
      <c r="W39">
        <v>59</v>
      </c>
      <c r="X39" t="str">
        <f>IF(W39&lt;=75,"Low Demand",IF(W39&lt;=150,"Medium Demand",IF(W39&lt;=225,"High Demand","Very High Demand")))</f>
        <v>Low Demand</v>
      </c>
    </row>
    <row r="40" spans="1:24" x14ac:dyDescent="0.25">
      <c r="A40">
        <v>39</v>
      </c>
      <c r="B40" s="2">
        <v>40545</v>
      </c>
      <c r="C40">
        <v>1</v>
      </c>
      <c r="D40">
        <v>0</v>
      </c>
      <c r="E40">
        <v>1</v>
      </c>
      <c r="F40">
        <v>15</v>
      </c>
      <c r="G40" t="str">
        <f>IF(F40&lt;6,"Night",IF(F40&lt;12,"Morning",IF(F40&lt;18,"Afternoon","Evening")))</f>
        <v>Afternoon</v>
      </c>
      <c r="H40">
        <v>0</v>
      </c>
      <c r="I40">
        <v>0</v>
      </c>
      <c r="J40" t="str">
        <f>CHOOSE(I40+1,"Monday","Tuesday","Wednesday","Thursday","Friday","Saturday","Sunday")</f>
        <v>Monday</v>
      </c>
      <c r="K40">
        <v>3</v>
      </c>
      <c r="L40" t="str">
        <f>CHOOSE(K40+1,"error","Clear","Misty","Rainy","Severe heater")</f>
        <v>Rainy</v>
      </c>
      <c r="M40">
        <v>0.34</v>
      </c>
      <c r="N40" t="str">
        <f>IF(M40&lt;=0.2,"Low",IF(M40&lt;=0.4,"Mid","High"))</f>
        <v>Mid</v>
      </c>
      <c r="O40">
        <v>0.33329999999999999</v>
      </c>
      <c r="P40" t="str">
        <f>IF(O40&lt;=0.15,"Very Cold",IF(O40&lt;=0.3,"Cold",IF(O40&lt;=0.45,"Pleasant","Hot")))</f>
        <v>Pleasant</v>
      </c>
      <c r="Q40">
        <v>0.81</v>
      </c>
      <c r="R40" t="str">
        <f>IF(Q40&lt;=0.25,"Low ",IF(Q40&lt;=0.5,"Moderate ",IF(Q40&lt;=0.75,"High ","Very High ")))</f>
        <v xml:space="preserve">Very High </v>
      </c>
      <c r="S40">
        <v>0.16420000000000001</v>
      </c>
      <c r="T40" t="str">
        <f>IF(S40&lt;=0.15,"Calm",IF(S40&lt;=0.3,"Light Wind",IF(S40&lt;=0.45,"Moderate Wind","Strong Wind")))</f>
        <v>Light Wind</v>
      </c>
      <c r="U40">
        <v>19</v>
      </c>
      <c r="V40">
        <v>55</v>
      </c>
      <c r="W40">
        <v>74</v>
      </c>
      <c r="X40" t="str">
        <f>IF(W40&lt;=75,"Low Demand",IF(W40&lt;=150,"Medium Demand",IF(W40&lt;=225,"High Demand","Very High Demand")))</f>
        <v>Low Demand</v>
      </c>
    </row>
    <row r="41" spans="1:24" x14ac:dyDescent="0.25">
      <c r="A41">
        <v>40</v>
      </c>
      <c r="B41" s="2">
        <v>40545</v>
      </c>
      <c r="C41">
        <v>1</v>
      </c>
      <c r="D41">
        <v>0</v>
      </c>
      <c r="E41">
        <v>1</v>
      </c>
      <c r="F41">
        <v>16</v>
      </c>
      <c r="G41" t="str">
        <f>IF(F41&lt;6,"Night",IF(F41&lt;12,"Morning",IF(F41&lt;18,"Afternoon","Evening")))</f>
        <v>Afternoon</v>
      </c>
      <c r="H41">
        <v>0</v>
      </c>
      <c r="I41">
        <v>0</v>
      </c>
      <c r="J41" t="str">
        <f>CHOOSE(I41+1,"Monday","Tuesday","Wednesday","Thursday","Friday","Saturday","Sunday")</f>
        <v>Monday</v>
      </c>
      <c r="K41">
        <v>3</v>
      </c>
      <c r="L41" t="str">
        <f>CHOOSE(K41+1,"error","Clear","Misty","Rainy","Severe heater")</f>
        <v>Rainy</v>
      </c>
      <c r="M41">
        <v>0.34</v>
      </c>
      <c r="N41" t="str">
        <f>IF(M41&lt;=0.2,"Low",IF(M41&lt;=0.4,"Mid","High"))</f>
        <v>Mid</v>
      </c>
      <c r="O41">
        <v>0.33329999999999999</v>
      </c>
      <c r="P41" t="str">
        <f>IF(O41&lt;=0.15,"Very Cold",IF(O41&lt;=0.3,"Cold",IF(O41&lt;=0.45,"Pleasant","Hot")))</f>
        <v>Pleasant</v>
      </c>
      <c r="Q41">
        <v>0.71</v>
      </c>
      <c r="R41" t="str">
        <f>IF(Q41&lt;=0.25,"Low ",IF(Q41&lt;=0.5,"Moderate ",IF(Q41&lt;=0.75,"High ","Very High ")))</f>
        <v xml:space="preserve">High </v>
      </c>
      <c r="S41">
        <v>0.16420000000000001</v>
      </c>
      <c r="T41" t="str">
        <f>IF(S41&lt;=0.15,"Calm",IF(S41&lt;=0.3,"Light Wind",IF(S41&lt;=0.45,"Moderate Wind","Strong Wind")))</f>
        <v>Light Wind</v>
      </c>
      <c r="U41">
        <v>9</v>
      </c>
      <c r="V41">
        <v>67</v>
      </c>
      <c r="W41">
        <v>76</v>
      </c>
      <c r="X41" t="str">
        <f>IF(W41&lt;=75,"Low Demand",IF(W41&lt;=150,"Medium Demand",IF(W41&lt;=225,"High Demand","Very High Demand")))</f>
        <v>Medium Demand</v>
      </c>
    </row>
    <row r="42" spans="1:24" x14ac:dyDescent="0.25">
      <c r="A42">
        <v>41</v>
      </c>
      <c r="B42" s="2">
        <v>40545</v>
      </c>
      <c r="C42">
        <v>1</v>
      </c>
      <c r="D42">
        <v>0</v>
      </c>
      <c r="E42">
        <v>1</v>
      </c>
      <c r="F42">
        <v>17</v>
      </c>
      <c r="G42" t="str">
        <f>IF(F42&lt;6,"Night",IF(F42&lt;12,"Morning",IF(F42&lt;18,"Afternoon","Evening")))</f>
        <v>Afternoon</v>
      </c>
      <c r="H42">
        <v>0</v>
      </c>
      <c r="I42">
        <v>0</v>
      </c>
      <c r="J42" t="str">
        <f>CHOOSE(I42+1,"Monday","Tuesday","Wednesday","Thursday","Friday","Saturday","Sunday")</f>
        <v>Monday</v>
      </c>
      <c r="K42">
        <v>1</v>
      </c>
      <c r="L42" t="str">
        <f>CHOOSE(K42+1,"error","Clear","Misty","Rainy","Severe heater")</f>
        <v>Clear</v>
      </c>
      <c r="M42">
        <v>0.34</v>
      </c>
      <c r="N42" t="str">
        <f>IF(M42&lt;=0.2,"Low",IF(M42&lt;=0.4,"Mid","High"))</f>
        <v>Mid</v>
      </c>
      <c r="O42">
        <v>0.33329999999999999</v>
      </c>
      <c r="P42" t="str">
        <f>IF(O42&lt;=0.15,"Very Cold",IF(O42&lt;=0.3,"Cold",IF(O42&lt;=0.45,"Pleasant","Hot")))</f>
        <v>Pleasant</v>
      </c>
      <c r="Q42">
        <v>0.56999999999999995</v>
      </c>
      <c r="R42" t="str">
        <f>IF(Q42&lt;=0.25,"Low ",IF(Q42&lt;=0.5,"Moderate ",IF(Q42&lt;=0.75,"High ","Very High ")))</f>
        <v xml:space="preserve">High </v>
      </c>
      <c r="S42">
        <v>0.19400000000000001</v>
      </c>
      <c r="T42" t="str">
        <f>IF(S42&lt;=0.15,"Calm",IF(S42&lt;=0.3,"Light Wind",IF(S42&lt;=0.45,"Moderate Wind","Strong Wind")))</f>
        <v>Light Wind</v>
      </c>
      <c r="U42">
        <v>7</v>
      </c>
      <c r="V42">
        <v>58</v>
      </c>
      <c r="W42">
        <v>65</v>
      </c>
      <c r="X42" t="str">
        <f>IF(W42&lt;=75,"Low Demand",IF(W42&lt;=150,"Medium Demand",IF(W42&lt;=225,"High Demand","Very High Demand")))</f>
        <v>Low Demand</v>
      </c>
    </row>
    <row r="43" spans="1:24" x14ac:dyDescent="0.25">
      <c r="A43">
        <v>42</v>
      </c>
      <c r="B43" s="2">
        <v>40545</v>
      </c>
      <c r="C43">
        <v>1</v>
      </c>
      <c r="D43">
        <v>0</v>
      </c>
      <c r="E43">
        <v>1</v>
      </c>
      <c r="F43">
        <v>18</v>
      </c>
      <c r="G43" t="str">
        <f>IF(F43&lt;6,"Night",IF(F43&lt;12,"Morning",IF(F43&lt;18,"Afternoon","Evening")))</f>
        <v>Evening</v>
      </c>
      <c r="H43">
        <v>0</v>
      </c>
      <c r="I43">
        <v>0</v>
      </c>
      <c r="J43" t="str">
        <f>CHOOSE(I43+1,"Monday","Tuesday","Wednesday","Thursday","Friday","Saturday","Sunday")</f>
        <v>Monday</v>
      </c>
      <c r="K43">
        <v>2</v>
      </c>
      <c r="L43" t="str">
        <f>CHOOSE(K43+1,"error","Clear","Misty","Rainy","Severe heater")</f>
        <v>Misty</v>
      </c>
      <c r="M43">
        <v>0.36</v>
      </c>
      <c r="N43" t="str">
        <f>IF(M43&lt;=0.2,"Low",IF(M43&lt;=0.4,"Mid","High"))</f>
        <v>Mid</v>
      </c>
      <c r="O43">
        <v>0.33329999999999999</v>
      </c>
      <c r="P43" t="str">
        <f>IF(O43&lt;=0.15,"Very Cold",IF(O43&lt;=0.3,"Cold",IF(O43&lt;=0.45,"Pleasant","Hot")))</f>
        <v>Pleasant</v>
      </c>
      <c r="Q43">
        <v>0.46</v>
      </c>
      <c r="R43" t="str">
        <f>IF(Q43&lt;=0.25,"Low ",IF(Q43&lt;=0.5,"Moderate ",IF(Q43&lt;=0.75,"High ","Very High ")))</f>
        <v xml:space="preserve">Moderate </v>
      </c>
      <c r="S43">
        <v>0.32840000000000003</v>
      </c>
      <c r="T43" t="str">
        <f>IF(S43&lt;=0.15,"Calm",IF(S43&lt;=0.3,"Light Wind",IF(S43&lt;=0.45,"Moderate Wind","Strong Wind")))</f>
        <v>Moderate Wind</v>
      </c>
      <c r="U43">
        <v>10</v>
      </c>
      <c r="V43">
        <v>43</v>
      </c>
      <c r="W43">
        <v>53</v>
      </c>
      <c r="X43" t="str">
        <f>IF(W43&lt;=75,"Low Demand",IF(W43&lt;=150,"Medium Demand",IF(W43&lt;=225,"High Demand","Very High Demand")))</f>
        <v>Low Demand</v>
      </c>
    </row>
    <row r="44" spans="1:24" x14ac:dyDescent="0.25">
      <c r="A44">
        <v>43</v>
      </c>
      <c r="B44" s="2">
        <v>40545</v>
      </c>
      <c r="C44">
        <v>1</v>
      </c>
      <c r="D44">
        <v>0</v>
      </c>
      <c r="E44">
        <v>1</v>
      </c>
      <c r="F44">
        <v>19</v>
      </c>
      <c r="G44" t="str">
        <f>IF(F44&lt;6,"Night",IF(F44&lt;12,"Morning",IF(F44&lt;18,"Afternoon","Evening")))</f>
        <v>Evening</v>
      </c>
      <c r="H44">
        <v>0</v>
      </c>
      <c r="I44">
        <v>0</v>
      </c>
      <c r="J44" t="str">
        <f>CHOOSE(I44+1,"Monday","Tuesday","Wednesday","Thursday","Friday","Saturday","Sunday")</f>
        <v>Monday</v>
      </c>
      <c r="K44">
        <v>1</v>
      </c>
      <c r="L44" t="str">
        <f>CHOOSE(K44+1,"error","Clear","Misty","Rainy","Severe heater")</f>
        <v>Clear</v>
      </c>
      <c r="M44">
        <v>0.32</v>
      </c>
      <c r="N44" t="str">
        <f>IF(M44&lt;=0.2,"Low",IF(M44&lt;=0.4,"Mid","High"))</f>
        <v>Mid</v>
      </c>
      <c r="O44">
        <v>0.28789999999999999</v>
      </c>
      <c r="P44" t="str">
        <f>IF(O44&lt;=0.15,"Very Cold",IF(O44&lt;=0.3,"Cold",IF(O44&lt;=0.45,"Pleasant","Hot")))</f>
        <v>Cold</v>
      </c>
      <c r="Q44">
        <v>0.42</v>
      </c>
      <c r="R44" t="str">
        <f>IF(Q44&lt;=0.25,"Low ",IF(Q44&lt;=0.5,"Moderate ",IF(Q44&lt;=0.75,"High ","Very High ")))</f>
        <v xml:space="preserve">Moderate </v>
      </c>
      <c r="S44">
        <v>0.44779999999999998</v>
      </c>
      <c r="T44" t="str">
        <f>IF(S44&lt;=0.15,"Calm",IF(S44&lt;=0.3,"Light Wind",IF(S44&lt;=0.45,"Moderate Wind","Strong Wind")))</f>
        <v>Moderate Wind</v>
      </c>
      <c r="U44">
        <v>1</v>
      </c>
      <c r="V44">
        <v>29</v>
      </c>
      <c r="W44">
        <v>30</v>
      </c>
      <c r="X44" t="str">
        <f>IF(W44&lt;=75,"Low Demand",IF(W44&lt;=150,"Medium Demand",IF(W44&lt;=225,"High Demand","Very High Demand")))</f>
        <v>Low Demand</v>
      </c>
    </row>
    <row r="45" spans="1:24" x14ac:dyDescent="0.25">
      <c r="A45">
        <v>44</v>
      </c>
      <c r="B45" s="2">
        <v>40545</v>
      </c>
      <c r="C45">
        <v>1</v>
      </c>
      <c r="D45">
        <v>0</v>
      </c>
      <c r="E45">
        <v>1</v>
      </c>
      <c r="F45">
        <v>20</v>
      </c>
      <c r="G45" t="str">
        <f>IF(F45&lt;6,"Night",IF(F45&lt;12,"Morning",IF(F45&lt;18,"Afternoon","Evening")))</f>
        <v>Evening</v>
      </c>
      <c r="H45">
        <v>0</v>
      </c>
      <c r="I45">
        <v>0</v>
      </c>
      <c r="J45" t="str">
        <f>CHOOSE(I45+1,"Monday","Tuesday","Wednesday","Thursday","Friday","Saturday","Sunday")</f>
        <v>Monday</v>
      </c>
      <c r="K45">
        <v>1</v>
      </c>
      <c r="L45" t="str">
        <f>CHOOSE(K45+1,"error","Clear","Misty","Rainy","Severe heater")</f>
        <v>Clear</v>
      </c>
      <c r="M45">
        <v>0.3</v>
      </c>
      <c r="N45" t="str">
        <f>IF(M45&lt;=0.2,"Low",IF(M45&lt;=0.4,"Mid","High"))</f>
        <v>Mid</v>
      </c>
      <c r="O45">
        <v>0.2576</v>
      </c>
      <c r="P45" t="str">
        <f>IF(O45&lt;=0.15,"Very Cold",IF(O45&lt;=0.3,"Cold",IF(O45&lt;=0.45,"Pleasant","Hot")))</f>
        <v>Cold</v>
      </c>
      <c r="Q45">
        <v>0.39</v>
      </c>
      <c r="R45" t="str">
        <f>IF(Q45&lt;=0.25,"Low ",IF(Q45&lt;=0.5,"Moderate ",IF(Q45&lt;=0.75,"High ","Very High ")))</f>
        <v xml:space="preserve">Moderate </v>
      </c>
      <c r="S45">
        <v>0.35820000000000002</v>
      </c>
      <c r="T45" t="str">
        <f>IF(S45&lt;=0.15,"Calm",IF(S45&lt;=0.3,"Light Wind",IF(S45&lt;=0.45,"Moderate Wind","Strong Wind")))</f>
        <v>Moderate Wind</v>
      </c>
      <c r="U45">
        <v>5</v>
      </c>
      <c r="V45">
        <v>17</v>
      </c>
      <c r="W45">
        <v>22</v>
      </c>
      <c r="X45" t="str">
        <f>IF(W45&lt;=75,"Low Demand",IF(W45&lt;=150,"Medium Demand",IF(W45&lt;=225,"High Demand","Very High Demand")))</f>
        <v>Low Demand</v>
      </c>
    </row>
    <row r="46" spans="1:24" x14ac:dyDescent="0.25">
      <c r="A46">
        <v>45</v>
      </c>
      <c r="B46" s="2">
        <v>40545</v>
      </c>
      <c r="C46">
        <v>1</v>
      </c>
      <c r="D46">
        <v>0</v>
      </c>
      <c r="E46">
        <v>1</v>
      </c>
      <c r="F46">
        <v>21</v>
      </c>
      <c r="G46" t="str">
        <f>IF(F46&lt;6,"Night",IF(F46&lt;12,"Morning",IF(F46&lt;18,"Afternoon","Evening")))</f>
        <v>Evening</v>
      </c>
      <c r="H46">
        <v>0</v>
      </c>
      <c r="I46">
        <v>0</v>
      </c>
      <c r="J46" t="str">
        <f>CHOOSE(I46+1,"Monday","Tuesday","Wednesday","Thursday","Friday","Saturday","Sunday")</f>
        <v>Monday</v>
      </c>
      <c r="K46">
        <v>1</v>
      </c>
      <c r="L46" t="str">
        <f>CHOOSE(K46+1,"error","Clear","Misty","Rainy","Severe heater")</f>
        <v>Clear</v>
      </c>
      <c r="M46">
        <v>0.26</v>
      </c>
      <c r="N46" t="str">
        <f>IF(M46&lt;=0.2,"Low",IF(M46&lt;=0.4,"Mid","High"))</f>
        <v>Mid</v>
      </c>
      <c r="O46">
        <v>0.2273</v>
      </c>
      <c r="P46" t="str">
        <f>IF(O46&lt;=0.15,"Very Cold",IF(O46&lt;=0.3,"Cold",IF(O46&lt;=0.45,"Pleasant","Hot")))</f>
        <v>Cold</v>
      </c>
      <c r="Q46">
        <v>0.44</v>
      </c>
      <c r="R46" t="str">
        <f>IF(Q46&lt;=0.25,"Low ",IF(Q46&lt;=0.5,"Moderate ",IF(Q46&lt;=0.75,"High ","Very High ")))</f>
        <v xml:space="preserve">Moderate </v>
      </c>
      <c r="S46">
        <v>0.32840000000000003</v>
      </c>
      <c r="T46" t="str">
        <f>IF(S46&lt;=0.15,"Calm",IF(S46&lt;=0.3,"Light Wind",IF(S46&lt;=0.45,"Moderate Wind","Strong Wind")))</f>
        <v>Moderate Wind</v>
      </c>
      <c r="U46">
        <v>11</v>
      </c>
      <c r="V46">
        <v>20</v>
      </c>
      <c r="W46">
        <v>31</v>
      </c>
      <c r="X46" t="str">
        <f>IF(W46&lt;=75,"Low Demand",IF(W46&lt;=150,"Medium Demand",IF(W46&lt;=225,"High Demand","Very High Demand")))</f>
        <v>Low Demand</v>
      </c>
    </row>
    <row r="47" spans="1:24" x14ac:dyDescent="0.25">
      <c r="A47">
        <v>46</v>
      </c>
      <c r="B47" s="2">
        <v>40545</v>
      </c>
      <c r="C47">
        <v>1</v>
      </c>
      <c r="D47">
        <v>0</v>
      </c>
      <c r="E47">
        <v>1</v>
      </c>
      <c r="F47">
        <v>22</v>
      </c>
      <c r="G47" t="str">
        <f>IF(F47&lt;6,"Night",IF(F47&lt;12,"Morning",IF(F47&lt;18,"Afternoon","Evening")))</f>
        <v>Evening</v>
      </c>
      <c r="H47">
        <v>0</v>
      </c>
      <c r="I47">
        <v>0</v>
      </c>
      <c r="J47" t="str">
        <f>CHOOSE(I47+1,"Monday","Tuesday","Wednesday","Thursday","Friday","Saturday","Sunday")</f>
        <v>Monday</v>
      </c>
      <c r="K47">
        <v>1</v>
      </c>
      <c r="L47" t="str">
        <f>CHOOSE(K47+1,"error","Clear","Misty","Rainy","Severe heater")</f>
        <v>Clear</v>
      </c>
      <c r="M47">
        <v>0.24</v>
      </c>
      <c r="N47" t="str">
        <f>IF(M47&lt;=0.2,"Low",IF(M47&lt;=0.4,"Mid","High"))</f>
        <v>Mid</v>
      </c>
      <c r="O47">
        <v>0.21210000000000001</v>
      </c>
      <c r="P47" t="str">
        <f>IF(O47&lt;=0.15,"Very Cold",IF(O47&lt;=0.3,"Cold",IF(O47&lt;=0.45,"Pleasant","Hot")))</f>
        <v>Cold</v>
      </c>
      <c r="Q47">
        <v>0.44</v>
      </c>
      <c r="R47" t="str">
        <f>IF(Q47&lt;=0.25,"Low ",IF(Q47&lt;=0.5,"Moderate ",IF(Q47&lt;=0.75,"High ","Very High ")))</f>
        <v xml:space="preserve">Moderate </v>
      </c>
      <c r="S47">
        <v>0.29849999999999999</v>
      </c>
      <c r="T47" t="str">
        <f>IF(S47&lt;=0.15,"Calm",IF(S47&lt;=0.3,"Light Wind",IF(S47&lt;=0.45,"Moderate Wind","Strong Wind")))</f>
        <v>Light Wind</v>
      </c>
      <c r="U47">
        <v>0</v>
      </c>
      <c r="V47">
        <v>9</v>
      </c>
      <c r="W47">
        <v>9</v>
      </c>
      <c r="X47" t="str">
        <f>IF(W47&lt;=75,"Low Demand",IF(W47&lt;=150,"Medium Demand",IF(W47&lt;=225,"High Demand","Very High Demand")))</f>
        <v>Low Demand</v>
      </c>
    </row>
    <row r="48" spans="1:24" x14ac:dyDescent="0.25">
      <c r="A48">
        <v>47</v>
      </c>
      <c r="B48" s="2">
        <v>40545</v>
      </c>
      <c r="C48">
        <v>1</v>
      </c>
      <c r="D48">
        <v>0</v>
      </c>
      <c r="E48">
        <v>1</v>
      </c>
      <c r="F48">
        <v>23</v>
      </c>
      <c r="G48" t="str">
        <f>IF(F48&lt;6,"Night",IF(F48&lt;12,"Morning",IF(F48&lt;18,"Afternoon","Evening")))</f>
        <v>Evening</v>
      </c>
      <c r="H48">
        <v>0</v>
      </c>
      <c r="I48">
        <v>0</v>
      </c>
      <c r="J48" t="str">
        <f>CHOOSE(I48+1,"Monday","Tuesday","Wednesday","Thursday","Friday","Saturday","Sunday")</f>
        <v>Monday</v>
      </c>
      <c r="K48">
        <v>1</v>
      </c>
      <c r="L48" t="str">
        <f>CHOOSE(K48+1,"error","Clear","Misty","Rainy","Severe heater")</f>
        <v>Clear</v>
      </c>
      <c r="M48">
        <v>0.22</v>
      </c>
      <c r="N48" t="str">
        <f>IF(M48&lt;=0.2,"Low",IF(M48&lt;=0.4,"Mid","High"))</f>
        <v>Mid</v>
      </c>
      <c r="O48">
        <v>0.2273</v>
      </c>
      <c r="P48" t="str">
        <f>IF(O48&lt;=0.15,"Very Cold",IF(O48&lt;=0.3,"Cold",IF(O48&lt;=0.45,"Pleasant","Hot")))</f>
        <v>Cold</v>
      </c>
      <c r="Q48">
        <v>0.47</v>
      </c>
      <c r="R48" t="str">
        <f>IF(Q48&lt;=0.25,"Low ",IF(Q48&lt;=0.5,"Moderate ",IF(Q48&lt;=0.75,"High ","Very High ")))</f>
        <v xml:space="preserve">Moderate </v>
      </c>
      <c r="S48">
        <v>0.16420000000000001</v>
      </c>
      <c r="T48" t="str">
        <f>IF(S48&lt;=0.15,"Calm",IF(S48&lt;=0.3,"Light Wind",IF(S48&lt;=0.45,"Moderate Wind","Strong Wind")))</f>
        <v>Light Wind</v>
      </c>
      <c r="U48">
        <v>0</v>
      </c>
      <c r="V48">
        <v>8</v>
      </c>
      <c r="W48">
        <v>8</v>
      </c>
      <c r="X48" t="str">
        <f>IF(W48&lt;=75,"Low Demand",IF(W48&lt;=150,"Medium Demand",IF(W48&lt;=225,"High Demand","Very High Demand")))</f>
        <v>Low Demand</v>
      </c>
    </row>
    <row r="49" spans="1:24" x14ac:dyDescent="0.25">
      <c r="A49">
        <v>48</v>
      </c>
      <c r="B49" s="2">
        <v>40546</v>
      </c>
      <c r="C49">
        <v>1</v>
      </c>
      <c r="D49">
        <v>0</v>
      </c>
      <c r="E49">
        <v>1</v>
      </c>
      <c r="F49">
        <v>0</v>
      </c>
      <c r="G49" t="str">
        <f>IF(F49&lt;6,"Night",IF(F49&lt;12,"Morning",IF(F49&lt;18,"Afternoon","Evening")))</f>
        <v>Night</v>
      </c>
      <c r="H49">
        <v>0</v>
      </c>
      <c r="I49">
        <v>1</v>
      </c>
      <c r="J49" t="str">
        <f>CHOOSE(I49+1,"Monday","Tuesday","Wednesday","Thursday","Friday","Saturday","Sunday")</f>
        <v>Tuesday</v>
      </c>
      <c r="K49">
        <v>1</v>
      </c>
      <c r="L49" t="str">
        <f>CHOOSE(K49+1,"error","Clear","Misty","Rainy","Severe heater")</f>
        <v>Clear</v>
      </c>
      <c r="M49">
        <v>0.22</v>
      </c>
      <c r="N49" t="str">
        <f>IF(M49&lt;=0.2,"Low",IF(M49&lt;=0.4,"Mid","High"))</f>
        <v>Mid</v>
      </c>
      <c r="O49">
        <v>0.19700000000000001</v>
      </c>
      <c r="P49" t="str">
        <f>IF(O49&lt;=0.15,"Very Cold",IF(O49&lt;=0.3,"Cold",IF(O49&lt;=0.45,"Pleasant","Hot")))</f>
        <v>Cold</v>
      </c>
      <c r="Q49">
        <v>0.44</v>
      </c>
      <c r="R49" t="str">
        <f>IF(Q49&lt;=0.25,"Low ",IF(Q49&lt;=0.5,"Moderate ",IF(Q49&lt;=0.75,"High ","Very High ")))</f>
        <v xml:space="preserve">Moderate </v>
      </c>
      <c r="S49">
        <v>0.35820000000000002</v>
      </c>
      <c r="T49" t="str">
        <f>IF(S49&lt;=0.15,"Calm",IF(S49&lt;=0.3,"Light Wind",IF(S49&lt;=0.45,"Moderate Wind","Strong Wind")))</f>
        <v>Moderate Wind</v>
      </c>
      <c r="U49">
        <v>0</v>
      </c>
      <c r="V49">
        <v>5</v>
      </c>
      <c r="W49">
        <v>5</v>
      </c>
      <c r="X49" t="str">
        <f>IF(W49&lt;=75,"Low Demand",IF(W49&lt;=150,"Medium Demand",IF(W49&lt;=225,"High Demand","Very High Demand")))</f>
        <v>Low Demand</v>
      </c>
    </row>
    <row r="50" spans="1:24" x14ac:dyDescent="0.25">
      <c r="A50">
        <v>49</v>
      </c>
      <c r="B50" s="2">
        <v>40546</v>
      </c>
      <c r="C50">
        <v>1</v>
      </c>
      <c r="D50">
        <v>0</v>
      </c>
      <c r="E50">
        <v>1</v>
      </c>
      <c r="F50">
        <v>1</v>
      </c>
      <c r="G50" t="str">
        <f>IF(F50&lt;6,"Night",IF(F50&lt;12,"Morning",IF(F50&lt;18,"Afternoon","Evening")))</f>
        <v>Night</v>
      </c>
      <c r="H50">
        <v>0</v>
      </c>
      <c r="I50">
        <v>1</v>
      </c>
      <c r="J50" t="str">
        <f>CHOOSE(I50+1,"Monday","Tuesday","Wednesday","Thursday","Friday","Saturday","Sunday")</f>
        <v>Tuesday</v>
      </c>
      <c r="K50">
        <v>1</v>
      </c>
      <c r="L50" t="str">
        <f>CHOOSE(K50+1,"error","Clear","Misty","Rainy","Severe heater")</f>
        <v>Clear</v>
      </c>
      <c r="M50">
        <v>0.2</v>
      </c>
      <c r="N50" t="str">
        <f>IF(M50&lt;=0.2,"Low",IF(M50&lt;=0.4,"Mid","High"))</f>
        <v>Low</v>
      </c>
      <c r="O50">
        <v>0.16670000000000001</v>
      </c>
      <c r="P50" t="str">
        <f>IF(O50&lt;=0.15,"Very Cold",IF(O50&lt;=0.3,"Cold",IF(O50&lt;=0.45,"Pleasant","Hot")))</f>
        <v>Cold</v>
      </c>
      <c r="Q50">
        <v>0.44</v>
      </c>
      <c r="R50" t="str">
        <f>IF(Q50&lt;=0.25,"Low ",IF(Q50&lt;=0.5,"Moderate ",IF(Q50&lt;=0.75,"High ","Very High ")))</f>
        <v xml:space="preserve">Moderate </v>
      </c>
      <c r="S50">
        <v>0.41789999999999999</v>
      </c>
      <c r="T50" t="str">
        <f>IF(S50&lt;=0.15,"Calm",IF(S50&lt;=0.3,"Light Wind",IF(S50&lt;=0.45,"Moderate Wind","Strong Wind")))</f>
        <v>Moderate Wind</v>
      </c>
      <c r="U50">
        <v>0</v>
      </c>
      <c r="V50">
        <v>2</v>
      </c>
      <c r="W50">
        <v>2</v>
      </c>
      <c r="X50" t="str">
        <f>IF(W50&lt;=75,"Low Demand",IF(W50&lt;=150,"Medium Demand",IF(W50&lt;=225,"High Demand","Very High Demand")))</f>
        <v>Low Demand</v>
      </c>
    </row>
    <row r="51" spans="1:24" x14ac:dyDescent="0.25">
      <c r="A51">
        <v>50</v>
      </c>
      <c r="B51" s="2">
        <v>40546</v>
      </c>
      <c r="C51">
        <v>1</v>
      </c>
      <c r="D51">
        <v>0</v>
      </c>
      <c r="E51">
        <v>1</v>
      </c>
      <c r="F51">
        <v>4</v>
      </c>
      <c r="G51" t="str">
        <f>IF(F51&lt;6,"Night",IF(F51&lt;12,"Morning",IF(F51&lt;18,"Afternoon","Evening")))</f>
        <v>Night</v>
      </c>
      <c r="H51">
        <v>0</v>
      </c>
      <c r="I51">
        <v>1</v>
      </c>
      <c r="J51" t="str">
        <f>CHOOSE(I51+1,"Monday","Tuesday","Wednesday","Thursday","Friday","Saturday","Sunday")</f>
        <v>Tuesday</v>
      </c>
      <c r="K51">
        <v>1</v>
      </c>
      <c r="L51" t="str">
        <f>CHOOSE(K51+1,"error","Clear","Misty","Rainy","Severe heater")</f>
        <v>Clear</v>
      </c>
      <c r="M51">
        <v>0.16</v>
      </c>
      <c r="N51" t="str">
        <f>IF(M51&lt;=0.2,"Low",IF(M51&lt;=0.4,"Mid","High"))</f>
        <v>Low</v>
      </c>
      <c r="O51">
        <v>0.13639999999999999</v>
      </c>
      <c r="P51" t="str">
        <f>IF(O51&lt;=0.15,"Very Cold",IF(O51&lt;=0.3,"Cold",IF(O51&lt;=0.45,"Pleasant","Hot")))</f>
        <v>Very Cold</v>
      </c>
      <c r="Q51">
        <v>0.47</v>
      </c>
      <c r="R51" t="str">
        <f>IF(Q51&lt;=0.25,"Low ",IF(Q51&lt;=0.5,"Moderate ",IF(Q51&lt;=0.75,"High ","Very High ")))</f>
        <v xml:space="preserve">Moderate </v>
      </c>
      <c r="S51">
        <v>0.3881</v>
      </c>
      <c r="T51" t="str">
        <f>IF(S51&lt;=0.15,"Calm",IF(S51&lt;=0.3,"Light Wind",IF(S51&lt;=0.45,"Moderate Wind","Strong Wind")))</f>
        <v>Moderate Wind</v>
      </c>
      <c r="U51">
        <v>0</v>
      </c>
      <c r="V51">
        <v>1</v>
      </c>
      <c r="W51">
        <v>1</v>
      </c>
      <c r="X51" t="str">
        <f>IF(W51&lt;=75,"Low Demand",IF(W51&lt;=150,"Medium Demand",IF(W51&lt;=225,"High Demand","Very High Demand")))</f>
        <v>Low Demand</v>
      </c>
    </row>
    <row r="52" spans="1:24" x14ac:dyDescent="0.25">
      <c r="A52">
        <v>51</v>
      </c>
      <c r="B52" s="2">
        <v>40546</v>
      </c>
      <c r="C52">
        <v>1</v>
      </c>
      <c r="D52">
        <v>0</v>
      </c>
      <c r="E52">
        <v>1</v>
      </c>
      <c r="F52">
        <v>5</v>
      </c>
      <c r="G52" t="str">
        <f>IF(F52&lt;6,"Night",IF(F52&lt;12,"Morning",IF(F52&lt;18,"Afternoon","Evening")))</f>
        <v>Night</v>
      </c>
      <c r="H52">
        <v>0</v>
      </c>
      <c r="I52">
        <v>1</v>
      </c>
      <c r="J52" t="str">
        <f>CHOOSE(I52+1,"Monday","Tuesday","Wednesday","Thursday","Friday","Saturday","Sunday")</f>
        <v>Tuesday</v>
      </c>
      <c r="K52">
        <v>1</v>
      </c>
      <c r="L52" t="str">
        <f>CHOOSE(K52+1,"error","Clear","Misty","Rainy","Severe heater")</f>
        <v>Clear</v>
      </c>
      <c r="M52">
        <v>0.16</v>
      </c>
      <c r="N52" t="str">
        <f>IF(M52&lt;=0.2,"Low",IF(M52&lt;=0.4,"Mid","High"))</f>
        <v>Low</v>
      </c>
      <c r="O52">
        <v>0.13639999999999999</v>
      </c>
      <c r="P52" t="str">
        <f>IF(O52&lt;=0.15,"Very Cold",IF(O52&lt;=0.3,"Cold",IF(O52&lt;=0.45,"Pleasant","Hot")))</f>
        <v>Very Cold</v>
      </c>
      <c r="Q52">
        <v>0.47</v>
      </c>
      <c r="R52" t="str">
        <f>IF(Q52&lt;=0.25,"Low ",IF(Q52&lt;=0.5,"Moderate ",IF(Q52&lt;=0.75,"High ","Very High ")))</f>
        <v xml:space="preserve">Moderate </v>
      </c>
      <c r="S52">
        <v>0.28360000000000002</v>
      </c>
      <c r="T52" t="str">
        <f>IF(S52&lt;=0.15,"Calm",IF(S52&lt;=0.3,"Light Wind",IF(S52&lt;=0.45,"Moderate Wind","Strong Wind")))</f>
        <v>Light Wind</v>
      </c>
      <c r="U52">
        <v>0</v>
      </c>
      <c r="V52">
        <v>3</v>
      </c>
      <c r="W52">
        <v>3</v>
      </c>
      <c r="X52" t="str">
        <f>IF(W52&lt;=75,"Low Demand",IF(W52&lt;=150,"Medium Demand",IF(W52&lt;=225,"High Demand","Very High Demand")))</f>
        <v>Low Demand</v>
      </c>
    </row>
    <row r="53" spans="1:24" x14ac:dyDescent="0.25">
      <c r="A53">
        <v>52</v>
      </c>
      <c r="B53" s="2">
        <v>40546</v>
      </c>
      <c r="C53">
        <v>1</v>
      </c>
      <c r="D53">
        <v>0</v>
      </c>
      <c r="E53">
        <v>1</v>
      </c>
      <c r="F53">
        <v>6</v>
      </c>
      <c r="G53" t="str">
        <f>IF(F53&lt;6,"Night",IF(F53&lt;12,"Morning",IF(F53&lt;18,"Afternoon","Evening")))</f>
        <v>Morning</v>
      </c>
      <c r="H53">
        <v>0</v>
      </c>
      <c r="I53">
        <v>1</v>
      </c>
      <c r="J53" t="str">
        <f>CHOOSE(I53+1,"Monday","Tuesday","Wednesday","Thursday","Friday","Saturday","Sunday")</f>
        <v>Tuesday</v>
      </c>
      <c r="K53">
        <v>1</v>
      </c>
      <c r="L53" t="str">
        <f>CHOOSE(K53+1,"error","Clear","Misty","Rainy","Severe heater")</f>
        <v>Clear</v>
      </c>
      <c r="M53">
        <v>0.14000000000000001</v>
      </c>
      <c r="N53" t="str">
        <f>IF(M53&lt;=0.2,"Low",IF(M53&lt;=0.4,"Mid","High"))</f>
        <v>Low</v>
      </c>
      <c r="O53">
        <v>0.1061</v>
      </c>
      <c r="P53" t="str">
        <f>IF(O53&lt;=0.15,"Very Cold",IF(O53&lt;=0.3,"Cold",IF(O53&lt;=0.45,"Pleasant","Hot")))</f>
        <v>Very Cold</v>
      </c>
      <c r="Q53">
        <v>0.5</v>
      </c>
      <c r="R53" t="str">
        <f>IF(Q53&lt;=0.25,"Low ",IF(Q53&lt;=0.5,"Moderate ",IF(Q53&lt;=0.75,"High ","Very High ")))</f>
        <v xml:space="preserve">Moderate </v>
      </c>
      <c r="S53">
        <v>0.3881</v>
      </c>
      <c r="T53" t="str">
        <f>IF(S53&lt;=0.15,"Calm",IF(S53&lt;=0.3,"Light Wind",IF(S53&lt;=0.45,"Moderate Wind","Strong Wind")))</f>
        <v>Moderate Wind</v>
      </c>
      <c r="U53">
        <v>0</v>
      </c>
      <c r="V53">
        <v>30</v>
      </c>
      <c r="W53">
        <v>30</v>
      </c>
      <c r="X53" t="str">
        <f>IF(W53&lt;=75,"Low Demand",IF(W53&lt;=150,"Medium Demand",IF(W53&lt;=225,"High Demand","Very High Demand")))</f>
        <v>Low Demand</v>
      </c>
    </row>
    <row r="54" spans="1:24" x14ac:dyDescent="0.25">
      <c r="A54">
        <v>53</v>
      </c>
      <c r="B54" s="2">
        <v>40546</v>
      </c>
      <c r="C54">
        <v>1</v>
      </c>
      <c r="D54">
        <v>0</v>
      </c>
      <c r="E54">
        <v>1</v>
      </c>
      <c r="F54">
        <v>7</v>
      </c>
      <c r="G54" t="str">
        <f>IF(F54&lt;6,"Night",IF(F54&lt;12,"Morning",IF(F54&lt;18,"Afternoon","Evening")))</f>
        <v>Morning</v>
      </c>
      <c r="H54">
        <v>0</v>
      </c>
      <c r="I54">
        <v>1</v>
      </c>
      <c r="J54" t="str">
        <f>CHOOSE(I54+1,"Monday","Tuesday","Wednesday","Thursday","Friday","Saturday","Sunday")</f>
        <v>Tuesday</v>
      </c>
      <c r="K54">
        <v>1</v>
      </c>
      <c r="L54" t="str">
        <f>CHOOSE(K54+1,"error","Clear","Misty","Rainy","Severe heater")</f>
        <v>Clear</v>
      </c>
      <c r="M54">
        <v>0.14000000000000001</v>
      </c>
      <c r="N54" t="str">
        <f>IF(M54&lt;=0.2,"Low",IF(M54&lt;=0.4,"Mid","High"))</f>
        <v>Low</v>
      </c>
      <c r="O54">
        <v>0.13639999999999999</v>
      </c>
      <c r="P54" t="str">
        <f>IF(O54&lt;=0.15,"Very Cold",IF(O54&lt;=0.3,"Cold",IF(O54&lt;=0.45,"Pleasant","Hot")))</f>
        <v>Very Cold</v>
      </c>
      <c r="Q54">
        <v>0.5</v>
      </c>
      <c r="R54" t="str">
        <f>IF(Q54&lt;=0.25,"Low ",IF(Q54&lt;=0.5,"Moderate ",IF(Q54&lt;=0.75,"High ","Very High ")))</f>
        <v xml:space="preserve">Moderate </v>
      </c>
      <c r="S54">
        <v>0.19400000000000001</v>
      </c>
      <c r="T54" t="str">
        <f>IF(S54&lt;=0.15,"Calm",IF(S54&lt;=0.3,"Light Wind",IF(S54&lt;=0.45,"Moderate Wind","Strong Wind")))</f>
        <v>Light Wind</v>
      </c>
      <c r="U54">
        <v>1</v>
      </c>
      <c r="V54">
        <v>63</v>
      </c>
      <c r="W54">
        <v>64</v>
      </c>
      <c r="X54" t="str">
        <f>IF(W54&lt;=75,"Low Demand",IF(W54&lt;=150,"Medium Demand",IF(W54&lt;=225,"High Demand","Very High Demand")))</f>
        <v>Low Demand</v>
      </c>
    </row>
    <row r="55" spans="1:24" x14ac:dyDescent="0.25">
      <c r="A55">
        <v>54</v>
      </c>
      <c r="B55" s="2">
        <v>40546</v>
      </c>
      <c r="C55">
        <v>1</v>
      </c>
      <c r="D55">
        <v>0</v>
      </c>
      <c r="E55">
        <v>1</v>
      </c>
      <c r="F55">
        <v>8</v>
      </c>
      <c r="G55" t="str">
        <f>IF(F55&lt;6,"Night",IF(F55&lt;12,"Morning",IF(F55&lt;18,"Afternoon","Evening")))</f>
        <v>Morning</v>
      </c>
      <c r="H55">
        <v>0</v>
      </c>
      <c r="I55">
        <v>1</v>
      </c>
      <c r="J55" t="str">
        <f>CHOOSE(I55+1,"Monday","Tuesday","Wednesday","Thursday","Friday","Saturday","Sunday")</f>
        <v>Tuesday</v>
      </c>
      <c r="K55">
        <v>1</v>
      </c>
      <c r="L55" t="str">
        <f>CHOOSE(K55+1,"error","Clear","Misty","Rainy","Severe heater")</f>
        <v>Clear</v>
      </c>
      <c r="M55">
        <v>0.14000000000000001</v>
      </c>
      <c r="N55" t="str">
        <f>IF(M55&lt;=0.2,"Low",IF(M55&lt;=0.4,"Mid","High"))</f>
        <v>Low</v>
      </c>
      <c r="O55">
        <v>0.1212</v>
      </c>
      <c r="P55" t="str">
        <f>IF(O55&lt;=0.15,"Very Cold",IF(O55&lt;=0.3,"Cold",IF(O55&lt;=0.45,"Pleasant","Hot")))</f>
        <v>Very Cold</v>
      </c>
      <c r="Q55">
        <v>0.5</v>
      </c>
      <c r="R55" t="str">
        <f>IF(Q55&lt;=0.25,"Low ",IF(Q55&lt;=0.5,"Moderate ",IF(Q55&lt;=0.75,"High ","Very High ")))</f>
        <v xml:space="preserve">Moderate </v>
      </c>
      <c r="S55">
        <v>0.28360000000000002</v>
      </c>
      <c r="T55" t="str">
        <f>IF(S55&lt;=0.15,"Calm",IF(S55&lt;=0.3,"Light Wind",IF(S55&lt;=0.45,"Moderate Wind","Strong Wind")))</f>
        <v>Light Wind</v>
      </c>
      <c r="U55">
        <v>1</v>
      </c>
      <c r="V55">
        <v>153</v>
      </c>
      <c r="W55">
        <v>154</v>
      </c>
      <c r="X55" t="str">
        <f>IF(W55&lt;=75,"Low Demand",IF(W55&lt;=150,"Medium Demand",IF(W55&lt;=225,"High Demand","Very High Demand")))</f>
        <v>High Demand</v>
      </c>
    </row>
    <row r="56" spans="1:24" x14ac:dyDescent="0.25">
      <c r="A56">
        <v>55</v>
      </c>
      <c r="B56" s="2">
        <v>40546</v>
      </c>
      <c r="C56">
        <v>1</v>
      </c>
      <c r="D56">
        <v>0</v>
      </c>
      <c r="E56">
        <v>1</v>
      </c>
      <c r="F56">
        <v>9</v>
      </c>
      <c r="G56" t="str">
        <f>IF(F56&lt;6,"Night",IF(F56&lt;12,"Morning",IF(F56&lt;18,"Afternoon","Evening")))</f>
        <v>Morning</v>
      </c>
      <c r="H56">
        <v>0</v>
      </c>
      <c r="I56">
        <v>1</v>
      </c>
      <c r="J56" t="str">
        <f>CHOOSE(I56+1,"Monday","Tuesday","Wednesday","Thursday","Friday","Saturday","Sunday")</f>
        <v>Tuesday</v>
      </c>
      <c r="K56">
        <v>1</v>
      </c>
      <c r="L56" t="str">
        <f>CHOOSE(K56+1,"error","Clear","Misty","Rainy","Severe heater")</f>
        <v>Clear</v>
      </c>
      <c r="M56">
        <v>0.16</v>
      </c>
      <c r="N56" t="str">
        <f>IF(M56&lt;=0.2,"Low",IF(M56&lt;=0.4,"Mid","High"))</f>
        <v>Low</v>
      </c>
      <c r="O56">
        <v>0.13639999999999999</v>
      </c>
      <c r="P56" t="str">
        <f>IF(O56&lt;=0.15,"Very Cold",IF(O56&lt;=0.3,"Cold",IF(O56&lt;=0.45,"Pleasant","Hot")))</f>
        <v>Very Cold</v>
      </c>
      <c r="Q56">
        <v>0.43</v>
      </c>
      <c r="R56" t="str">
        <f>IF(Q56&lt;=0.25,"Low ",IF(Q56&lt;=0.5,"Moderate ",IF(Q56&lt;=0.75,"High ","Very High ")))</f>
        <v xml:space="preserve">Moderate </v>
      </c>
      <c r="S56">
        <v>0.3881</v>
      </c>
      <c r="T56" t="str">
        <f>IF(S56&lt;=0.15,"Calm",IF(S56&lt;=0.3,"Light Wind",IF(S56&lt;=0.45,"Moderate Wind","Strong Wind")))</f>
        <v>Moderate Wind</v>
      </c>
      <c r="U56">
        <v>7</v>
      </c>
      <c r="V56">
        <v>81</v>
      </c>
      <c r="W56">
        <v>88</v>
      </c>
      <c r="X56" t="str">
        <f>IF(W56&lt;=75,"Low Demand",IF(W56&lt;=150,"Medium Demand",IF(W56&lt;=225,"High Demand","Very High Demand")))</f>
        <v>Medium Demand</v>
      </c>
    </row>
    <row r="57" spans="1:24" x14ac:dyDescent="0.25">
      <c r="A57">
        <v>56</v>
      </c>
      <c r="B57" s="2">
        <v>40546</v>
      </c>
      <c r="C57">
        <v>1</v>
      </c>
      <c r="D57">
        <v>0</v>
      </c>
      <c r="E57">
        <v>1</v>
      </c>
      <c r="F57">
        <v>10</v>
      </c>
      <c r="G57" t="str">
        <f>IF(F57&lt;6,"Night",IF(F57&lt;12,"Morning",IF(F57&lt;18,"Afternoon","Evening")))</f>
        <v>Morning</v>
      </c>
      <c r="H57">
        <v>0</v>
      </c>
      <c r="I57">
        <v>1</v>
      </c>
      <c r="J57" t="str">
        <f>CHOOSE(I57+1,"Monday","Tuesday","Wednesday","Thursday","Friday","Saturday","Sunday")</f>
        <v>Tuesday</v>
      </c>
      <c r="K57">
        <v>1</v>
      </c>
      <c r="L57" t="str">
        <f>CHOOSE(K57+1,"error","Clear","Misty","Rainy","Severe heater")</f>
        <v>Clear</v>
      </c>
      <c r="M57">
        <v>0.18</v>
      </c>
      <c r="N57" t="str">
        <f>IF(M57&lt;=0.2,"Low",IF(M57&lt;=0.4,"Mid","High"))</f>
        <v>Low</v>
      </c>
      <c r="O57">
        <v>0.16669999999999999</v>
      </c>
      <c r="P57" t="str">
        <f>IF(O57&lt;=0.15,"Very Cold",IF(O57&lt;=0.3,"Cold",IF(O57&lt;=0.45,"Pleasant","Hot")))</f>
        <v>Cold</v>
      </c>
      <c r="Q57">
        <v>0.43</v>
      </c>
      <c r="R57" t="str">
        <f>IF(Q57&lt;=0.25,"Low ",IF(Q57&lt;=0.5,"Moderate ",IF(Q57&lt;=0.75,"High ","Very High ")))</f>
        <v xml:space="preserve">Moderate </v>
      </c>
      <c r="S57">
        <v>0.25369999999999998</v>
      </c>
      <c r="T57" t="str">
        <f>IF(S57&lt;=0.15,"Calm",IF(S57&lt;=0.3,"Light Wind",IF(S57&lt;=0.45,"Moderate Wind","Strong Wind")))</f>
        <v>Light Wind</v>
      </c>
      <c r="U57">
        <v>11</v>
      </c>
      <c r="V57">
        <v>33</v>
      </c>
      <c r="W57">
        <v>44</v>
      </c>
      <c r="X57" t="str">
        <f>IF(W57&lt;=75,"Low Demand",IF(W57&lt;=150,"Medium Demand",IF(W57&lt;=225,"High Demand","Very High Demand")))</f>
        <v>Low Demand</v>
      </c>
    </row>
    <row r="58" spans="1:24" x14ac:dyDescent="0.25">
      <c r="A58">
        <v>57</v>
      </c>
      <c r="B58" s="2">
        <v>40546</v>
      </c>
      <c r="C58">
        <v>1</v>
      </c>
      <c r="D58">
        <v>0</v>
      </c>
      <c r="E58">
        <v>1</v>
      </c>
      <c r="F58">
        <v>11</v>
      </c>
      <c r="G58" t="str">
        <f>IF(F58&lt;6,"Night",IF(F58&lt;12,"Morning",IF(F58&lt;18,"Afternoon","Evening")))</f>
        <v>Morning</v>
      </c>
      <c r="H58">
        <v>0</v>
      </c>
      <c r="I58">
        <v>1</v>
      </c>
      <c r="J58" t="str">
        <f>CHOOSE(I58+1,"Monday","Tuesday","Wednesday","Thursday","Friday","Saturday","Sunday")</f>
        <v>Tuesday</v>
      </c>
      <c r="K58">
        <v>1</v>
      </c>
      <c r="L58" t="str">
        <f>CHOOSE(K58+1,"error","Clear","Misty","Rainy","Severe heater")</f>
        <v>Clear</v>
      </c>
      <c r="M58">
        <v>0.2</v>
      </c>
      <c r="N58" t="str">
        <f>IF(M58&lt;=0.2,"Low",IF(M58&lt;=0.4,"Mid","High"))</f>
        <v>Low</v>
      </c>
      <c r="O58">
        <v>0.18179999999999999</v>
      </c>
      <c r="P58" t="str">
        <f>IF(O58&lt;=0.15,"Very Cold",IF(O58&lt;=0.3,"Cold",IF(O58&lt;=0.45,"Pleasant","Hot")))</f>
        <v>Cold</v>
      </c>
      <c r="Q58">
        <v>0.4</v>
      </c>
      <c r="R58" t="str">
        <f>IF(Q58&lt;=0.25,"Low ",IF(Q58&lt;=0.5,"Moderate ",IF(Q58&lt;=0.75,"High ","Very High ")))</f>
        <v xml:space="preserve">Moderate </v>
      </c>
      <c r="S58">
        <v>0.32840000000000003</v>
      </c>
      <c r="T58" t="str">
        <f>IF(S58&lt;=0.15,"Calm",IF(S58&lt;=0.3,"Light Wind",IF(S58&lt;=0.45,"Moderate Wind","Strong Wind")))</f>
        <v>Moderate Wind</v>
      </c>
      <c r="U58">
        <v>10</v>
      </c>
      <c r="V58">
        <v>41</v>
      </c>
      <c r="W58">
        <v>51</v>
      </c>
      <c r="X58" t="str">
        <f>IF(W58&lt;=75,"Low Demand",IF(W58&lt;=150,"Medium Demand",IF(W58&lt;=225,"High Demand","Very High Demand")))</f>
        <v>Low Demand</v>
      </c>
    </row>
    <row r="59" spans="1:24" x14ac:dyDescent="0.25">
      <c r="A59">
        <v>58</v>
      </c>
      <c r="B59" s="2">
        <v>40546</v>
      </c>
      <c r="C59">
        <v>1</v>
      </c>
      <c r="D59">
        <v>0</v>
      </c>
      <c r="E59">
        <v>1</v>
      </c>
      <c r="F59">
        <v>12</v>
      </c>
      <c r="G59" t="str">
        <f>IF(F59&lt;6,"Night",IF(F59&lt;12,"Morning",IF(F59&lt;18,"Afternoon","Evening")))</f>
        <v>Afternoon</v>
      </c>
      <c r="H59">
        <v>0</v>
      </c>
      <c r="I59">
        <v>1</v>
      </c>
      <c r="J59" t="str">
        <f>CHOOSE(I59+1,"Monday","Tuesday","Wednesday","Thursday","Friday","Saturday","Sunday")</f>
        <v>Tuesday</v>
      </c>
      <c r="K59">
        <v>1</v>
      </c>
      <c r="L59" t="str">
        <f>CHOOSE(K59+1,"error","Clear","Misty","Rainy","Severe heater")</f>
        <v>Clear</v>
      </c>
      <c r="M59">
        <v>0.22</v>
      </c>
      <c r="N59" t="str">
        <f>IF(M59&lt;=0.2,"Low",IF(M59&lt;=0.4,"Mid","High"))</f>
        <v>Mid</v>
      </c>
      <c r="O59">
        <v>0.21210000000000001</v>
      </c>
      <c r="P59" t="str">
        <f>IF(O59&lt;=0.15,"Very Cold",IF(O59&lt;=0.3,"Cold",IF(O59&lt;=0.45,"Pleasant","Hot")))</f>
        <v>Cold</v>
      </c>
      <c r="Q59">
        <v>0.35</v>
      </c>
      <c r="R59" t="str">
        <f>IF(Q59&lt;=0.25,"Low ",IF(Q59&lt;=0.5,"Moderate ",IF(Q59&lt;=0.75,"High ","Very High ")))</f>
        <v xml:space="preserve">Moderate </v>
      </c>
      <c r="S59">
        <v>0.29849999999999999</v>
      </c>
      <c r="T59" t="str">
        <f>IF(S59&lt;=0.15,"Calm",IF(S59&lt;=0.3,"Light Wind",IF(S59&lt;=0.45,"Moderate Wind","Strong Wind")))</f>
        <v>Light Wind</v>
      </c>
      <c r="U59">
        <v>13</v>
      </c>
      <c r="V59">
        <v>48</v>
      </c>
      <c r="W59">
        <v>61</v>
      </c>
      <c r="X59" t="str">
        <f>IF(W59&lt;=75,"Low Demand",IF(W59&lt;=150,"Medium Demand",IF(W59&lt;=225,"High Demand","Very High Demand")))</f>
        <v>Low Demand</v>
      </c>
    </row>
    <row r="60" spans="1:24" x14ac:dyDescent="0.25">
      <c r="A60">
        <v>59</v>
      </c>
      <c r="B60" s="2">
        <v>40546</v>
      </c>
      <c r="C60">
        <v>1</v>
      </c>
      <c r="D60">
        <v>0</v>
      </c>
      <c r="E60">
        <v>1</v>
      </c>
      <c r="F60">
        <v>13</v>
      </c>
      <c r="G60" t="str">
        <f>IF(F60&lt;6,"Night",IF(F60&lt;12,"Morning",IF(F60&lt;18,"Afternoon","Evening")))</f>
        <v>Afternoon</v>
      </c>
      <c r="H60">
        <v>0</v>
      </c>
      <c r="I60">
        <v>1</v>
      </c>
      <c r="J60" t="str">
        <f>CHOOSE(I60+1,"Monday","Tuesday","Wednesday","Thursday","Friday","Saturday","Sunday")</f>
        <v>Tuesday</v>
      </c>
      <c r="K60">
        <v>1</v>
      </c>
      <c r="L60" t="str">
        <f>CHOOSE(K60+1,"error","Clear","Misty","Rainy","Severe heater")</f>
        <v>Clear</v>
      </c>
      <c r="M60">
        <v>0.24</v>
      </c>
      <c r="N60" t="str">
        <f>IF(M60&lt;=0.2,"Low",IF(M60&lt;=0.4,"Mid","High"))</f>
        <v>Mid</v>
      </c>
      <c r="O60">
        <v>0.22725000000000001</v>
      </c>
      <c r="P60" t="str">
        <f>IF(O60&lt;=0.15,"Very Cold",IF(O60&lt;=0.3,"Cold",IF(O60&lt;=0.45,"Pleasant","Hot")))</f>
        <v>Cold</v>
      </c>
      <c r="Q60">
        <v>0.35</v>
      </c>
      <c r="R60" t="str">
        <f>IF(Q60&lt;=0.25,"Low ",IF(Q60&lt;=0.5,"Moderate ",IF(Q60&lt;=0.75,"High ","Very High ")))</f>
        <v xml:space="preserve">Moderate </v>
      </c>
      <c r="S60">
        <v>0.28360000000000002</v>
      </c>
      <c r="T60" t="str">
        <f>IF(S60&lt;=0.15,"Calm",IF(S60&lt;=0.3,"Light Wind",IF(S60&lt;=0.45,"Moderate Wind","Strong Wind")))</f>
        <v>Light Wind</v>
      </c>
      <c r="U60">
        <v>8</v>
      </c>
      <c r="V60">
        <v>53</v>
      </c>
      <c r="W60">
        <v>61</v>
      </c>
      <c r="X60" t="str">
        <f>IF(W60&lt;=75,"Low Demand",IF(W60&lt;=150,"Medium Demand",IF(W60&lt;=225,"High Demand","Very High Demand")))</f>
        <v>Low Demand</v>
      </c>
    </row>
    <row r="61" spans="1:24" x14ac:dyDescent="0.25">
      <c r="A61">
        <v>60</v>
      </c>
      <c r="B61" s="2">
        <v>40546</v>
      </c>
      <c r="C61">
        <v>1</v>
      </c>
      <c r="D61">
        <v>0</v>
      </c>
      <c r="E61">
        <v>1</v>
      </c>
      <c r="F61">
        <v>14</v>
      </c>
      <c r="G61" t="str">
        <f>IF(F61&lt;6,"Night",IF(F61&lt;12,"Morning",IF(F61&lt;18,"Afternoon","Evening")))</f>
        <v>Afternoon</v>
      </c>
      <c r="H61">
        <v>0</v>
      </c>
      <c r="I61">
        <v>1</v>
      </c>
      <c r="J61" t="str">
        <f>CHOOSE(I61+1,"Monday","Tuesday","Wednesday","Thursday","Friday","Saturday","Sunday")</f>
        <v>Tuesday</v>
      </c>
      <c r="K61">
        <v>1</v>
      </c>
      <c r="L61" t="str">
        <f>CHOOSE(K61+1,"error","Clear","Misty","Rainy","Severe heater")</f>
        <v>Clear</v>
      </c>
      <c r="M61">
        <v>0.26</v>
      </c>
      <c r="N61" t="str">
        <f>IF(M61&lt;=0.2,"Low",IF(M61&lt;=0.4,"Mid","High"))</f>
        <v>Mid</v>
      </c>
      <c r="O61">
        <v>0.2424</v>
      </c>
      <c r="P61" t="str">
        <f>IF(O61&lt;=0.15,"Very Cold",IF(O61&lt;=0.3,"Cold",IF(O61&lt;=0.45,"Pleasant","Hot")))</f>
        <v>Cold</v>
      </c>
      <c r="Q61">
        <v>0.3</v>
      </c>
      <c r="R61" t="str">
        <f>IF(Q61&lt;=0.25,"Low ",IF(Q61&lt;=0.5,"Moderate ",IF(Q61&lt;=0.75,"High ","Very High ")))</f>
        <v xml:space="preserve">Moderate </v>
      </c>
      <c r="S61">
        <v>0.28360000000000002</v>
      </c>
      <c r="T61" t="str">
        <f>IF(S61&lt;=0.15,"Calm",IF(S61&lt;=0.3,"Light Wind",IF(S61&lt;=0.45,"Moderate Wind","Strong Wind")))</f>
        <v>Light Wind</v>
      </c>
      <c r="U61">
        <v>11</v>
      </c>
      <c r="V61">
        <v>66</v>
      </c>
      <c r="W61">
        <v>77</v>
      </c>
      <c r="X61" t="str">
        <f>IF(W61&lt;=75,"Low Demand",IF(W61&lt;=150,"Medium Demand",IF(W61&lt;=225,"High Demand","Very High Demand")))</f>
        <v>Medium Demand</v>
      </c>
    </row>
    <row r="62" spans="1:24" x14ac:dyDescent="0.25">
      <c r="A62">
        <v>61</v>
      </c>
      <c r="B62" s="2">
        <v>40546</v>
      </c>
      <c r="C62">
        <v>1</v>
      </c>
      <c r="D62">
        <v>0</v>
      </c>
      <c r="E62">
        <v>1</v>
      </c>
      <c r="F62">
        <v>15</v>
      </c>
      <c r="G62" t="str">
        <f>IF(F62&lt;6,"Night",IF(F62&lt;12,"Morning",IF(F62&lt;18,"Afternoon","Evening")))</f>
        <v>Afternoon</v>
      </c>
      <c r="H62">
        <v>0</v>
      </c>
      <c r="I62">
        <v>1</v>
      </c>
      <c r="J62" t="str">
        <f>CHOOSE(I62+1,"Monday","Tuesday","Wednesday","Thursday","Friday","Saturday","Sunday")</f>
        <v>Tuesday</v>
      </c>
      <c r="K62">
        <v>1</v>
      </c>
      <c r="L62" t="str">
        <f>CHOOSE(K62+1,"error","Clear","Misty","Rainy","Severe heater")</f>
        <v>Clear</v>
      </c>
      <c r="M62">
        <v>0.26</v>
      </c>
      <c r="N62" t="str">
        <f>IF(M62&lt;=0.2,"Low",IF(M62&lt;=0.4,"Mid","High"))</f>
        <v>Mid</v>
      </c>
      <c r="O62">
        <v>0.2424</v>
      </c>
      <c r="P62" t="str">
        <f>IF(O62&lt;=0.15,"Very Cold",IF(O62&lt;=0.3,"Cold",IF(O62&lt;=0.45,"Pleasant","Hot")))</f>
        <v>Cold</v>
      </c>
      <c r="Q62">
        <v>0.3</v>
      </c>
      <c r="R62" t="str">
        <f>IF(Q62&lt;=0.25,"Low ",IF(Q62&lt;=0.5,"Moderate ",IF(Q62&lt;=0.75,"High ","Very High ")))</f>
        <v xml:space="preserve">Moderate </v>
      </c>
      <c r="S62">
        <v>0.25369999999999998</v>
      </c>
      <c r="T62" t="str">
        <f>IF(S62&lt;=0.15,"Calm",IF(S62&lt;=0.3,"Light Wind",IF(S62&lt;=0.45,"Moderate Wind","Strong Wind")))</f>
        <v>Light Wind</v>
      </c>
      <c r="U62">
        <v>14</v>
      </c>
      <c r="V62">
        <v>58</v>
      </c>
      <c r="W62">
        <v>72</v>
      </c>
      <c r="X62" t="str">
        <f>IF(W62&lt;=75,"Low Demand",IF(W62&lt;=150,"Medium Demand",IF(W62&lt;=225,"High Demand","Very High Demand")))</f>
        <v>Low Demand</v>
      </c>
    </row>
    <row r="63" spans="1:24" x14ac:dyDescent="0.25">
      <c r="A63">
        <v>62</v>
      </c>
      <c r="B63" s="2">
        <v>40546</v>
      </c>
      <c r="C63">
        <v>1</v>
      </c>
      <c r="D63">
        <v>0</v>
      </c>
      <c r="E63">
        <v>1</v>
      </c>
      <c r="F63">
        <v>16</v>
      </c>
      <c r="G63" t="str">
        <f>IF(F63&lt;6,"Night",IF(F63&lt;12,"Morning",IF(F63&lt;18,"Afternoon","Evening")))</f>
        <v>Afternoon</v>
      </c>
      <c r="H63">
        <v>0</v>
      </c>
      <c r="I63">
        <v>1</v>
      </c>
      <c r="J63" t="str">
        <f>CHOOSE(I63+1,"Monday","Tuesday","Wednesday","Thursday","Friday","Saturday","Sunday")</f>
        <v>Tuesday</v>
      </c>
      <c r="K63">
        <v>1</v>
      </c>
      <c r="L63" t="str">
        <f>CHOOSE(K63+1,"error","Clear","Misty","Rainy","Severe heater")</f>
        <v>Clear</v>
      </c>
      <c r="M63">
        <v>0.26</v>
      </c>
      <c r="N63" t="str">
        <f>IF(M63&lt;=0.2,"Low",IF(M63&lt;=0.4,"Mid","High"))</f>
        <v>Mid</v>
      </c>
      <c r="O63">
        <v>0.2424</v>
      </c>
      <c r="P63" t="str">
        <f>IF(O63&lt;=0.15,"Very Cold",IF(O63&lt;=0.3,"Cold",IF(O63&lt;=0.45,"Pleasant","Hot")))</f>
        <v>Cold</v>
      </c>
      <c r="Q63">
        <v>0.3</v>
      </c>
      <c r="R63" t="str">
        <f>IF(Q63&lt;=0.25,"Low ",IF(Q63&lt;=0.5,"Moderate ",IF(Q63&lt;=0.75,"High ","Very High ")))</f>
        <v xml:space="preserve">Moderate </v>
      </c>
      <c r="S63">
        <v>0.25369999999999998</v>
      </c>
      <c r="T63" t="str">
        <f>IF(S63&lt;=0.15,"Calm",IF(S63&lt;=0.3,"Light Wind",IF(S63&lt;=0.45,"Moderate Wind","Strong Wind")))</f>
        <v>Light Wind</v>
      </c>
      <c r="U63">
        <v>9</v>
      </c>
      <c r="V63">
        <v>67</v>
      </c>
      <c r="W63">
        <v>76</v>
      </c>
      <c r="X63" t="str">
        <f>IF(W63&lt;=75,"Low Demand",IF(W63&lt;=150,"Medium Demand",IF(W63&lt;=225,"High Demand","Very High Demand")))</f>
        <v>Medium Demand</v>
      </c>
    </row>
    <row r="64" spans="1:24" x14ac:dyDescent="0.25">
      <c r="A64">
        <v>63</v>
      </c>
      <c r="B64" s="2">
        <v>40546</v>
      </c>
      <c r="C64">
        <v>1</v>
      </c>
      <c r="D64">
        <v>0</v>
      </c>
      <c r="E64">
        <v>1</v>
      </c>
      <c r="F64">
        <v>17</v>
      </c>
      <c r="G64" t="str">
        <f>IF(F64&lt;6,"Night",IF(F64&lt;12,"Morning",IF(F64&lt;18,"Afternoon","Evening")))</f>
        <v>Afternoon</v>
      </c>
      <c r="H64">
        <v>0</v>
      </c>
      <c r="I64">
        <v>1</v>
      </c>
      <c r="J64" t="str">
        <f>CHOOSE(I64+1,"Monday","Tuesday","Wednesday","Thursday","Friday","Saturday","Sunday")</f>
        <v>Tuesday</v>
      </c>
      <c r="K64">
        <v>1</v>
      </c>
      <c r="L64" t="str">
        <f>CHOOSE(K64+1,"error","Clear","Misty","Rainy","Severe heater")</f>
        <v>Clear</v>
      </c>
      <c r="M64">
        <v>0.24</v>
      </c>
      <c r="N64" t="str">
        <f>IF(M64&lt;=0.2,"Low",IF(M64&lt;=0.4,"Mid","High"))</f>
        <v>Mid</v>
      </c>
      <c r="O64">
        <v>0.2273</v>
      </c>
      <c r="P64" t="str">
        <f>IF(O64&lt;=0.15,"Very Cold",IF(O64&lt;=0.3,"Cold",IF(O64&lt;=0.45,"Pleasant","Hot")))</f>
        <v>Cold</v>
      </c>
      <c r="Q64">
        <v>0.3</v>
      </c>
      <c r="R64" t="str">
        <f>IF(Q64&lt;=0.25,"Low ",IF(Q64&lt;=0.5,"Moderate ",IF(Q64&lt;=0.75,"High ","Very High ")))</f>
        <v xml:space="preserve">Moderate </v>
      </c>
      <c r="S64">
        <v>0.22389999999999999</v>
      </c>
      <c r="T64" t="str">
        <f>IF(S64&lt;=0.15,"Calm",IF(S64&lt;=0.3,"Light Wind",IF(S64&lt;=0.45,"Moderate Wind","Strong Wind")))</f>
        <v>Light Wind</v>
      </c>
      <c r="U64">
        <v>11</v>
      </c>
      <c r="V64">
        <v>146</v>
      </c>
      <c r="W64">
        <v>157</v>
      </c>
      <c r="X64" t="str">
        <f>IF(W64&lt;=75,"Low Demand",IF(W64&lt;=150,"Medium Demand",IF(W64&lt;=225,"High Demand","Very High Demand")))</f>
        <v>High Demand</v>
      </c>
    </row>
    <row r="65" spans="1:24" x14ac:dyDescent="0.25">
      <c r="A65">
        <v>64</v>
      </c>
      <c r="B65" s="2">
        <v>40546</v>
      </c>
      <c r="C65">
        <v>1</v>
      </c>
      <c r="D65">
        <v>0</v>
      </c>
      <c r="E65">
        <v>1</v>
      </c>
      <c r="F65">
        <v>18</v>
      </c>
      <c r="G65" t="str">
        <f>IF(F65&lt;6,"Night",IF(F65&lt;12,"Morning",IF(F65&lt;18,"Afternoon","Evening")))</f>
        <v>Evening</v>
      </c>
      <c r="H65">
        <v>0</v>
      </c>
      <c r="I65">
        <v>1</v>
      </c>
      <c r="J65" t="str">
        <f>CHOOSE(I65+1,"Monday","Tuesday","Wednesday","Thursday","Friday","Saturday","Sunday")</f>
        <v>Tuesday</v>
      </c>
      <c r="K65">
        <v>1</v>
      </c>
      <c r="L65" t="str">
        <f>CHOOSE(K65+1,"error","Clear","Misty","Rainy","Severe heater")</f>
        <v>Clear</v>
      </c>
      <c r="M65">
        <v>0.24</v>
      </c>
      <c r="N65" t="str">
        <f>IF(M65&lt;=0.2,"Low",IF(M65&lt;=0.4,"Mid","High"))</f>
        <v>Mid</v>
      </c>
      <c r="O65">
        <v>0.2576</v>
      </c>
      <c r="P65" t="str">
        <f>IF(O65&lt;=0.15,"Very Cold",IF(O65&lt;=0.3,"Cold",IF(O65&lt;=0.45,"Pleasant","Hot")))</f>
        <v>Cold</v>
      </c>
      <c r="Q65">
        <v>0.32</v>
      </c>
      <c r="R65" t="str">
        <f>IF(Q65&lt;=0.25,"Low ",IF(Q65&lt;=0.5,"Moderate ",IF(Q65&lt;=0.75,"High ","Very High ")))</f>
        <v xml:space="preserve">Moderate </v>
      </c>
      <c r="S65">
        <v>0.1045</v>
      </c>
      <c r="T65" t="str">
        <f>IF(S65&lt;=0.15,"Calm",IF(S65&lt;=0.3,"Light Wind",IF(S65&lt;=0.45,"Moderate Wind","Strong Wind")))</f>
        <v>Calm</v>
      </c>
      <c r="U65">
        <v>9</v>
      </c>
      <c r="V65">
        <v>148</v>
      </c>
      <c r="W65">
        <v>157</v>
      </c>
      <c r="X65" t="str">
        <f>IF(W65&lt;=75,"Low Demand",IF(W65&lt;=150,"Medium Demand",IF(W65&lt;=225,"High Demand","Very High Demand")))</f>
        <v>High Demand</v>
      </c>
    </row>
    <row r="66" spans="1:24" x14ac:dyDescent="0.25">
      <c r="A66">
        <v>65</v>
      </c>
      <c r="B66" s="2">
        <v>40546</v>
      </c>
      <c r="C66">
        <v>1</v>
      </c>
      <c r="D66">
        <v>0</v>
      </c>
      <c r="E66">
        <v>1</v>
      </c>
      <c r="F66">
        <v>19</v>
      </c>
      <c r="G66" t="str">
        <f>IF(F66&lt;6,"Night",IF(F66&lt;12,"Morning",IF(F66&lt;18,"Afternoon","Evening")))</f>
        <v>Evening</v>
      </c>
      <c r="H66">
        <v>0</v>
      </c>
      <c r="I66">
        <v>1</v>
      </c>
      <c r="J66" t="str">
        <f>CHOOSE(I66+1,"Monday","Tuesday","Wednesday","Thursday","Friday","Saturday","Sunday")</f>
        <v>Tuesday</v>
      </c>
      <c r="K66">
        <v>1</v>
      </c>
      <c r="L66" t="str">
        <f>CHOOSE(K66+1,"error","Clear","Misty","Rainy","Severe heater")</f>
        <v>Clear</v>
      </c>
      <c r="M66">
        <v>0.2</v>
      </c>
      <c r="N66" t="str">
        <f>IF(M66&lt;=0.2,"Low",IF(M66&lt;=0.4,"Mid","High"))</f>
        <v>Low</v>
      </c>
      <c r="O66">
        <v>0.2576</v>
      </c>
      <c r="P66" t="str">
        <f>IF(O66&lt;=0.15,"Very Cold",IF(O66&lt;=0.3,"Cold",IF(O66&lt;=0.45,"Pleasant","Hot")))</f>
        <v>Cold</v>
      </c>
      <c r="Q66">
        <v>0.47</v>
      </c>
      <c r="R66" t="str">
        <f>IF(Q66&lt;=0.25,"Low ",IF(Q66&lt;=0.5,"Moderate ",IF(Q66&lt;=0.75,"High ","Very High ")))</f>
        <v xml:space="preserve">Moderate </v>
      </c>
      <c r="S66">
        <v>0</v>
      </c>
      <c r="T66" t="str">
        <f>IF(S66&lt;=0.15,"Calm",IF(S66&lt;=0.3,"Light Wind",IF(S66&lt;=0.45,"Moderate Wind","Strong Wind")))</f>
        <v>Calm</v>
      </c>
      <c r="U66">
        <v>8</v>
      </c>
      <c r="V66">
        <v>102</v>
      </c>
      <c r="W66">
        <v>110</v>
      </c>
      <c r="X66" t="str">
        <f>IF(W66&lt;=75,"Low Demand",IF(W66&lt;=150,"Medium Demand",IF(W66&lt;=225,"High Demand","Very High Demand")))</f>
        <v>Medium Demand</v>
      </c>
    </row>
    <row r="67" spans="1:24" x14ac:dyDescent="0.25">
      <c r="A67">
        <v>66</v>
      </c>
      <c r="B67" s="2">
        <v>40546</v>
      </c>
      <c r="C67">
        <v>1</v>
      </c>
      <c r="D67">
        <v>0</v>
      </c>
      <c r="E67">
        <v>1</v>
      </c>
      <c r="F67">
        <v>20</v>
      </c>
      <c r="G67" t="str">
        <f>IF(F67&lt;6,"Night",IF(F67&lt;12,"Morning",IF(F67&lt;18,"Afternoon","Evening")))</f>
        <v>Evening</v>
      </c>
      <c r="H67">
        <v>0</v>
      </c>
      <c r="I67">
        <v>1</v>
      </c>
      <c r="J67" t="str">
        <f>CHOOSE(I67+1,"Monday","Tuesday","Wednesday","Thursday","Friday","Saturday","Sunday")</f>
        <v>Tuesday</v>
      </c>
      <c r="K67">
        <v>1</v>
      </c>
      <c r="L67" t="str">
        <f>CHOOSE(K67+1,"error","Clear","Misty","Rainy","Severe heater")</f>
        <v>Clear</v>
      </c>
      <c r="M67">
        <v>0.2</v>
      </c>
      <c r="N67" t="str">
        <f>IF(M67&lt;=0.2,"Low",IF(M67&lt;=0.4,"Mid","High"))</f>
        <v>Low</v>
      </c>
      <c r="O67">
        <v>0.2273</v>
      </c>
      <c r="P67" t="str">
        <f>IF(O67&lt;=0.15,"Very Cold",IF(O67&lt;=0.3,"Cold",IF(O67&lt;=0.45,"Pleasant","Hot")))</f>
        <v>Cold</v>
      </c>
      <c r="Q67">
        <v>0.47</v>
      </c>
      <c r="R67" t="str">
        <f>IF(Q67&lt;=0.25,"Low ",IF(Q67&lt;=0.5,"Moderate ",IF(Q67&lt;=0.75,"High ","Very High ")))</f>
        <v xml:space="preserve">Moderate </v>
      </c>
      <c r="S67">
        <v>0.1045</v>
      </c>
      <c r="T67" t="str">
        <f>IF(S67&lt;=0.15,"Calm",IF(S67&lt;=0.3,"Light Wind",IF(S67&lt;=0.45,"Moderate Wind","Strong Wind")))</f>
        <v>Calm</v>
      </c>
      <c r="U67">
        <v>3</v>
      </c>
      <c r="V67">
        <v>49</v>
      </c>
      <c r="W67">
        <v>52</v>
      </c>
      <c r="X67" t="str">
        <f>IF(W67&lt;=75,"Low Demand",IF(W67&lt;=150,"Medium Demand",IF(W67&lt;=225,"High Demand","Very High Demand")))</f>
        <v>Low Demand</v>
      </c>
    </row>
    <row r="68" spans="1:24" x14ac:dyDescent="0.25">
      <c r="A68">
        <v>67</v>
      </c>
      <c r="B68" s="2">
        <v>40546</v>
      </c>
      <c r="C68">
        <v>1</v>
      </c>
      <c r="D68">
        <v>0</v>
      </c>
      <c r="E68">
        <v>1</v>
      </c>
      <c r="F68">
        <v>21</v>
      </c>
      <c r="G68" t="str">
        <f>IF(F68&lt;6,"Night",IF(F68&lt;12,"Morning",IF(F68&lt;18,"Afternoon","Evening")))</f>
        <v>Evening</v>
      </c>
      <c r="H68">
        <v>0</v>
      </c>
      <c r="I68">
        <v>1</v>
      </c>
      <c r="J68" t="str">
        <f>CHOOSE(I68+1,"Monday","Tuesday","Wednesday","Thursday","Friday","Saturday","Sunday")</f>
        <v>Tuesday</v>
      </c>
      <c r="K68">
        <v>1</v>
      </c>
      <c r="L68" t="str">
        <f>CHOOSE(K68+1,"error","Clear","Misty","Rainy","Severe heater")</f>
        <v>Clear</v>
      </c>
      <c r="M68">
        <v>0.18</v>
      </c>
      <c r="N68" t="str">
        <f>IF(M68&lt;=0.2,"Low",IF(M68&lt;=0.4,"Mid","High"))</f>
        <v>Low</v>
      </c>
      <c r="O68">
        <v>0.19700000000000001</v>
      </c>
      <c r="P68" t="str">
        <f>IF(O68&lt;=0.15,"Very Cold",IF(O68&lt;=0.3,"Cold",IF(O68&lt;=0.45,"Pleasant","Hot")))</f>
        <v>Cold</v>
      </c>
      <c r="Q68">
        <v>0.64</v>
      </c>
      <c r="R68" t="str">
        <f>IF(Q68&lt;=0.25,"Low ",IF(Q68&lt;=0.5,"Moderate ",IF(Q68&lt;=0.75,"High ","Very High ")))</f>
        <v xml:space="preserve">High </v>
      </c>
      <c r="S68">
        <v>0.1343</v>
      </c>
      <c r="T68" t="str">
        <f>IF(S68&lt;=0.15,"Calm",IF(S68&lt;=0.3,"Light Wind",IF(S68&lt;=0.45,"Moderate Wind","Strong Wind")))</f>
        <v>Calm</v>
      </c>
      <c r="U68">
        <v>3</v>
      </c>
      <c r="V68">
        <v>49</v>
      </c>
      <c r="W68">
        <v>52</v>
      </c>
      <c r="X68" t="str">
        <f>IF(W68&lt;=75,"Low Demand",IF(W68&lt;=150,"Medium Demand",IF(W68&lt;=225,"High Demand","Very High Demand")))</f>
        <v>Low Demand</v>
      </c>
    </row>
    <row r="69" spans="1:24" x14ac:dyDescent="0.25">
      <c r="A69">
        <v>68</v>
      </c>
      <c r="B69" s="2">
        <v>40546</v>
      </c>
      <c r="C69">
        <v>1</v>
      </c>
      <c r="D69">
        <v>0</v>
      </c>
      <c r="E69">
        <v>1</v>
      </c>
      <c r="F69">
        <v>22</v>
      </c>
      <c r="G69" t="str">
        <f>IF(F69&lt;6,"Night",IF(F69&lt;12,"Morning",IF(F69&lt;18,"Afternoon","Evening")))</f>
        <v>Evening</v>
      </c>
      <c r="H69">
        <v>0</v>
      </c>
      <c r="I69">
        <v>1</v>
      </c>
      <c r="J69" t="str">
        <f>CHOOSE(I69+1,"Monday","Tuesday","Wednesday","Thursday","Friday","Saturday","Sunday")</f>
        <v>Tuesday</v>
      </c>
      <c r="K69">
        <v>1</v>
      </c>
      <c r="L69" t="str">
        <f>CHOOSE(K69+1,"error","Clear","Misty","Rainy","Severe heater")</f>
        <v>Clear</v>
      </c>
      <c r="M69">
        <v>0.14000000000000001</v>
      </c>
      <c r="N69" t="str">
        <f>IF(M69&lt;=0.2,"Low",IF(M69&lt;=0.4,"Mid","High"))</f>
        <v>Low</v>
      </c>
      <c r="O69">
        <v>0.1515</v>
      </c>
      <c r="P69" t="str">
        <f>IF(O69&lt;=0.15,"Very Cold",IF(O69&lt;=0.3,"Cold",IF(O69&lt;=0.45,"Pleasant","Hot")))</f>
        <v>Cold</v>
      </c>
      <c r="Q69">
        <v>0.69</v>
      </c>
      <c r="R69" t="str">
        <f>IF(Q69&lt;=0.25,"Low ",IF(Q69&lt;=0.5,"Moderate ",IF(Q69&lt;=0.75,"High ","Very High ")))</f>
        <v xml:space="preserve">High </v>
      </c>
      <c r="S69">
        <v>0.1343</v>
      </c>
      <c r="T69" t="str">
        <f>IF(S69&lt;=0.15,"Calm",IF(S69&lt;=0.3,"Light Wind",IF(S69&lt;=0.45,"Moderate Wind","Strong Wind")))</f>
        <v>Calm</v>
      </c>
      <c r="U69">
        <v>0</v>
      </c>
      <c r="V69">
        <v>20</v>
      </c>
      <c r="W69">
        <v>20</v>
      </c>
      <c r="X69" t="str">
        <f>IF(W69&lt;=75,"Low Demand",IF(W69&lt;=150,"Medium Demand",IF(W69&lt;=225,"High Demand","Very High Demand")))</f>
        <v>Low Demand</v>
      </c>
    </row>
    <row r="70" spans="1:24" x14ac:dyDescent="0.25">
      <c r="A70">
        <v>69</v>
      </c>
      <c r="B70" s="2">
        <v>40546</v>
      </c>
      <c r="C70">
        <v>1</v>
      </c>
      <c r="D70">
        <v>0</v>
      </c>
      <c r="E70">
        <v>1</v>
      </c>
      <c r="F70">
        <v>23</v>
      </c>
      <c r="G70" t="str">
        <f>IF(F70&lt;6,"Night",IF(F70&lt;12,"Morning",IF(F70&lt;18,"Afternoon","Evening")))</f>
        <v>Evening</v>
      </c>
      <c r="H70">
        <v>0</v>
      </c>
      <c r="I70">
        <v>1</v>
      </c>
      <c r="J70" t="str">
        <f>CHOOSE(I70+1,"Monday","Tuesday","Wednesday","Thursday","Friday","Saturday","Sunday")</f>
        <v>Tuesday</v>
      </c>
      <c r="K70">
        <v>1</v>
      </c>
      <c r="L70" t="str">
        <f>CHOOSE(K70+1,"error","Clear","Misty","Rainy","Severe heater")</f>
        <v>Clear</v>
      </c>
      <c r="M70">
        <v>0.18</v>
      </c>
      <c r="N70" t="str">
        <f>IF(M70&lt;=0.2,"Low",IF(M70&lt;=0.4,"Mid","High"))</f>
        <v>Low</v>
      </c>
      <c r="O70">
        <v>0.21210000000000001</v>
      </c>
      <c r="P70" t="str">
        <f>IF(O70&lt;=0.15,"Very Cold",IF(O70&lt;=0.3,"Cold",IF(O70&lt;=0.45,"Pleasant","Hot")))</f>
        <v>Cold</v>
      </c>
      <c r="Q70">
        <v>0.55000000000000004</v>
      </c>
      <c r="R70" t="str">
        <f>IF(Q70&lt;=0.25,"Low ",IF(Q70&lt;=0.5,"Moderate ",IF(Q70&lt;=0.75,"High ","Very High ")))</f>
        <v xml:space="preserve">High </v>
      </c>
      <c r="S70">
        <v>0.1045</v>
      </c>
      <c r="T70" t="str">
        <f>IF(S70&lt;=0.15,"Calm",IF(S70&lt;=0.3,"Light Wind",IF(S70&lt;=0.45,"Moderate Wind","Strong Wind")))</f>
        <v>Calm</v>
      </c>
      <c r="U70">
        <v>1</v>
      </c>
      <c r="V70">
        <v>11</v>
      </c>
      <c r="W70">
        <v>12</v>
      </c>
      <c r="X70" t="str">
        <f>IF(W70&lt;=75,"Low Demand",IF(W70&lt;=150,"Medium Demand",IF(W70&lt;=225,"High Demand","Very High Demand")))</f>
        <v>Low Demand</v>
      </c>
    </row>
    <row r="71" spans="1:24" x14ac:dyDescent="0.25">
      <c r="A71">
        <v>70</v>
      </c>
      <c r="B71" s="2">
        <v>40547</v>
      </c>
      <c r="C71">
        <v>1</v>
      </c>
      <c r="D71">
        <v>0</v>
      </c>
      <c r="E71">
        <v>1</v>
      </c>
      <c r="F71">
        <v>0</v>
      </c>
      <c r="G71" t="str">
        <f>IF(F71&lt;6,"Night",IF(F71&lt;12,"Morning",IF(F71&lt;18,"Afternoon","Evening")))</f>
        <v>Night</v>
      </c>
      <c r="H71">
        <v>0</v>
      </c>
      <c r="I71">
        <v>2</v>
      </c>
      <c r="J71" t="str">
        <f>CHOOSE(I71+1,"Monday","Tuesday","Wednesday","Thursday","Friday","Saturday","Sunday")</f>
        <v>Wednesday</v>
      </c>
      <c r="K71">
        <v>1</v>
      </c>
      <c r="L71" t="str">
        <f>CHOOSE(K71+1,"error","Clear","Misty","Rainy","Severe heater")</f>
        <v>Clear</v>
      </c>
      <c r="M71">
        <v>0.16</v>
      </c>
      <c r="N71" t="str">
        <f>IF(M71&lt;=0.2,"Low",IF(M71&lt;=0.4,"Mid","High"))</f>
        <v>Low</v>
      </c>
      <c r="O71">
        <v>0.19695000000000001</v>
      </c>
      <c r="P71" t="str">
        <f>IF(O71&lt;=0.15,"Very Cold",IF(O71&lt;=0.3,"Cold",IF(O71&lt;=0.45,"Pleasant","Hot")))</f>
        <v>Cold</v>
      </c>
      <c r="Q71">
        <v>0.55000000000000004</v>
      </c>
      <c r="R71" t="str">
        <f>IF(Q71&lt;=0.25,"Low ",IF(Q71&lt;=0.5,"Moderate ",IF(Q71&lt;=0.75,"High ","Very High ")))</f>
        <v xml:space="preserve">High </v>
      </c>
      <c r="S71">
        <v>0.1045</v>
      </c>
      <c r="T71" t="str">
        <f>IF(S71&lt;=0.15,"Calm",IF(S71&lt;=0.3,"Light Wind",IF(S71&lt;=0.45,"Moderate Wind","Strong Wind")))</f>
        <v>Calm</v>
      </c>
      <c r="U71">
        <v>0</v>
      </c>
      <c r="V71">
        <v>5</v>
      </c>
      <c r="W71">
        <v>5</v>
      </c>
      <c r="X71" t="str">
        <f>IF(W71&lt;=75,"Low Demand",IF(W71&lt;=150,"Medium Demand",IF(W71&lt;=225,"High Demand","Very High Demand")))</f>
        <v>Low Demand</v>
      </c>
    </row>
    <row r="72" spans="1:24" x14ac:dyDescent="0.25">
      <c r="A72">
        <v>71</v>
      </c>
      <c r="B72" s="2">
        <v>40547</v>
      </c>
      <c r="C72">
        <v>1</v>
      </c>
      <c r="D72">
        <v>0</v>
      </c>
      <c r="E72">
        <v>1</v>
      </c>
      <c r="F72">
        <v>1</v>
      </c>
      <c r="G72" t="str">
        <f>IF(F72&lt;6,"Night",IF(F72&lt;12,"Morning",IF(F72&lt;18,"Afternoon","Evening")))</f>
        <v>Night</v>
      </c>
      <c r="H72">
        <v>0</v>
      </c>
      <c r="I72">
        <v>2</v>
      </c>
      <c r="J72" t="str">
        <f>CHOOSE(I72+1,"Monday","Tuesday","Wednesday","Thursday","Friday","Saturday","Sunday")</f>
        <v>Wednesday</v>
      </c>
      <c r="K72">
        <v>1</v>
      </c>
      <c r="L72" t="str">
        <f>CHOOSE(K72+1,"error","Clear","Misty","Rainy","Severe heater")</f>
        <v>Clear</v>
      </c>
      <c r="M72">
        <v>0.16</v>
      </c>
      <c r="N72" t="str">
        <f>IF(M72&lt;=0.2,"Low",IF(M72&lt;=0.4,"Mid","High"))</f>
        <v>Low</v>
      </c>
      <c r="O72">
        <v>0.18179999999999999</v>
      </c>
      <c r="P72" t="str">
        <f>IF(O72&lt;=0.15,"Very Cold",IF(O72&lt;=0.3,"Cold",IF(O72&lt;=0.45,"Pleasant","Hot")))</f>
        <v>Cold</v>
      </c>
      <c r="Q72">
        <v>0.59</v>
      </c>
      <c r="R72" t="str">
        <f>IF(Q72&lt;=0.25,"Low ",IF(Q72&lt;=0.5,"Moderate ",IF(Q72&lt;=0.75,"High ","Very High ")))</f>
        <v xml:space="preserve">High </v>
      </c>
      <c r="S72">
        <v>0.1045</v>
      </c>
      <c r="T72" t="str">
        <f>IF(S72&lt;=0.15,"Calm",IF(S72&lt;=0.3,"Light Wind",IF(S72&lt;=0.45,"Moderate Wind","Strong Wind")))</f>
        <v>Calm</v>
      </c>
      <c r="U72">
        <v>0</v>
      </c>
      <c r="V72">
        <v>2</v>
      </c>
      <c r="W72">
        <v>2</v>
      </c>
      <c r="X72" t="str">
        <f>IF(W72&lt;=75,"Low Demand",IF(W72&lt;=150,"Medium Demand",IF(W72&lt;=225,"High Demand","Very High Demand")))</f>
        <v>Low Demand</v>
      </c>
    </row>
    <row r="73" spans="1:24" x14ac:dyDescent="0.25">
      <c r="A73">
        <v>72</v>
      </c>
      <c r="B73" s="2">
        <v>40547</v>
      </c>
      <c r="C73">
        <v>1</v>
      </c>
      <c r="D73">
        <v>0</v>
      </c>
      <c r="E73">
        <v>1</v>
      </c>
      <c r="F73">
        <v>2</v>
      </c>
      <c r="G73" t="str">
        <f>IF(F73&lt;6,"Night",IF(F73&lt;12,"Morning",IF(F73&lt;18,"Afternoon","Evening")))</f>
        <v>Night</v>
      </c>
      <c r="H73">
        <v>0</v>
      </c>
      <c r="I73">
        <v>2</v>
      </c>
      <c r="J73" t="str">
        <f>CHOOSE(I73+1,"Monday","Tuesday","Wednesday","Thursday","Friday","Saturday","Sunday")</f>
        <v>Wednesday</v>
      </c>
      <c r="K73">
        <v>1</v>
      </c>
      <c r="L73" t="str">
        <f>CHOOSE(K73+1,"error","Clear","Misty","Rainy","Severe heater")</f>
        <v>Clear</v>
      </c>
      <c r="M73">
        <v>0.14000000000000001</v>
      </c>
      <c r="N73" t="str">
        <f>IF(M73&lt;=0.2,"Low",IF(M73&lt;=0.4,"Mid","High"))</f>
        <v>Low</v>
      </c>
      <c r="O73">
        <v>0.1515</v>
      </c>
      <c r="P73" t="str">
        <f>IF(O73&lt;=0.15,"Very Cold",IF(O73&lt;=0.3,"Cold",IF(O73&lt;=0.45,"Pleasant","Hot")))</f>
        <v>Cold</v>
      </c>
      <c r="Q73">
        <v>0.63</v>
      </c>
      <c r="R73" t="str">
        <f>IF(Q73&lt;=0.25,"Low ",IF(Q73&lt;=0.5,"Moderate ",IF(Q73&lt;=0.75,"High ","Very High ")))</f>
        <v xml:space="preserve">High </v>
      </c>
      <c r="S73">
        <v>0.1343</v>
      </c>
      <c r="T73" t="str">
        <f>IF(S73&lt;=0.15,"Calm",IF(S73&lt;=0.3,"Light Wind",IF(S73&lt;=0.45,"Moderate Wind","Strong Wind")))</f>
        <v>Calm</v>
      </c>
      <c r="U73">
        <v>0</v>
      </c>
      <c r="V73">
        <v>1</v>
      </c>
      <c r="W73">
        <v>1</v>
      </c>
      <c r="X73" t="str">
        <f>IF(W73&lt;=75,"Low Demand",IF(W73&lt;=150,"Medium Demand",IF(W73&lt;=225,"High Demand","Very High Demand")))</f>
        <v>Low Demand</v>
      </c>
    </row>
    <row r="74" spans="1:24" x14ac:dyDescent="0.25">
      <c r="A74">
        <v>73</v>
      </c>
      <c r="B74" s="2">
        <v>40547</v>
      </c>
      <c r="C74">
        <v>1</v>
      </c>
      <c r="D74">
        <v>0</v>
      </c>
      <c r="E74">
        <v>1</v>
      </c>
      <c r="F74">
        <v>4</v>
      </c>
      <c r="G74" t="str">
        <f>IF(F74&lt;6,"Night",IF(F74&lt;12,"Morning",IF(F74&lt;18,"Afternoon","Evening")))</f>
        <v>Night</v>
      </c>
      <c r="H74">
        <v>0</v>
      </c>
      <c r="I74">
        <v>2</v>
      </c>
      <c r="J74" t="str">
        <f>CHOOSE(I74+1,"Monday","Tuesday","Wednesday","Thursday","Friday","Saturday","Sunday")</f>
        <v>Wednesday</v>
      </c>
      <c r="K74">
        <v>1</v>
      </c>
      <c r="L74" t="str">
        <f>CHOOSE(K74+1,"error","Clear","Misty","Rainy","Severe heater")</f>
        <v>Clear</v>
      </c>
      <c r="M74">
        <v>0.14000000000000001</v>
      </c>
      <c r="N74" t="str">
        <f>IF(M74&lt;=0.2,"Low",IF(M74&lt;=0.4,"Mid","High"))</f>
        <v>Low</v>
      </c>
      <c r="O74">
        <v>0.18179999999999999</v>
      </c>
      <c r="P74" t="str">
        <f>IF(O74&lt;=0.15,"Very Cold",IF(O74&lt;=0.3,"Cold",IF(O74&lt;=0.45,"Pleasant","Hot")))</f>
        <v>Cold</v>
      </c>
      <c r="Q74">
        <v>0.63</v>
      </c>
      <c r="R74" t="str">
        <f>IF(Q74&lt;=0.25,"Low ",IF(Q74&lt;=0.5,"Moderate ",IF(Q74&lt;=0.75,"High ","Very High ")))</f>
        <v xml:space="preserve">High </v>
      </c>
      <c r="S74">
        <v>8.9599999999999999E-2</v>
      </c>
      <c r="T74" t="str">
        <f>IF(S74&lt;=0.15,"Calm",IF(S74&lt;=0.3,"Light Wind",IF(S74&lt;=0.45,"Moderate Wind","Strong Wind")))</f>
        <v>Calm</v>
      </c>
      <c r="U74">
        <v>0</v>
      </c>
      <c r="V74">
        <v>2</v>
      </c>
      <c r="W74">
        <v>2</v>
      </c>
      <c r="X74" t="str">
        <f>IF(W74&lt;=75,"Low Demand",IF(W74&lt;=150,"Medium Demand",IF(W74&lt;=225,"High Demand","Very High Demand")))</f>
        <v>Low Demand</v>
      </c>
    </row>
    <row r="75" spans="1:24" x14ac:dyDescent="0.25">
      <c r="A75">
        <v>74</v>
      </c>
      <c r="B75" s="2">
        <v>40547</v>
      </c>
      <c r="C75">
        <v>1</v>
      </c>
      <c r="D75">
        <v>0</v>
      </c>
      <c r="E75">
        <v>1</v>
      </c>
      <c r="F75">
        <v>5</v>
      </c>
      <c r="G75" t="str">
        <f>IF(F75&lt;6,"Night",IF(F75&lt;12,"Morning",IF(F75&lt;18,"Afternoon","Evening")))</f>
        <v>Night</v>
      </c>
      <c r="H75">
        <v>0</v>
      </c>
      <c r="I75">
        <v>2</v>
      </c>
      <c r="J75" t="str">
        <f>CHOOSE(I75+1,"Monday","Tuesday","Wednesday","Thursday","Friday","Saturday","Sunday")</f>
        <v>Wednesday</v>
      </c>
      <c r="K75">
        <v>1</v>
      </c>
      <c r="L75" t="str">
        <f>CHOOSE(K75+1,"error","Clear","Misty","Rainy","Severe heater")</f>
        <v>Clear</v>
      </c>
      <c r="M75">
        <v>0.12</v>
      </c>
      <c r="N75" t="str">
        <f>IF(M75&lt;=0.2,"Low",IF(M75&lt;=0.4,"Mid","High"))</f>
        <v>Low</v>
      </c>
      <c r="O75">
        <v>0.1515</v>
      </c>
      <c r="P75" t="str">
        <f>IF(O75&lt;=0.15,"Very Cold",IF(O75&lt;=0.3,"Cold",IF(O75&lt;=0.45,"Pleasant","Hot")))</f>
        <v>Cold</v>
      </c>
      <c r="Q75">
        <v>0.68</v>
      </c>
      <c r="R75" t="str">
        <f>IF(Q75&lt;=0.25,"Low ",IF(Q75&lt;=0.5,"Moderate ",IF(Q75&lt;=0.75,"High ","Very High ")))</f>
        <v xml:space="preserve">High </v>
      </c>
      <c r="S75">
        <v>0.1045</v>
      </c>
      <c r="T75" t="str">
        <f>IF(S75&lt;=0.15,"Calm",IF(S75&lt;=0.3,"Light Wind",IF(S75&lt;=0.45,"Moderate Wind","Strong Wind")))</f>
        <v>Calm</v>
      </c>
      <c r="U75">
        <v>0</v>
      </c>
      <c r="V75">
        <v>4</v>
      </c>
      <c r="W75">
        <v>4</v>
      </c>
      <c r="X75" t="str">
        <f>IF(W75&lt;=75,"Low Demand",IF(W75&lt;=150,"Medium Demand",IF(W75&lt;=225,"High Demand","Very High Demand")))</f>
        <v>Low Demand</v>
      </c>
    </row>
    <row r="76" spans="1:24" x14ac:dyDescent="0.25">
      <c r="A76">
        <v>75</v>
      </c>
      <c r="B76" s="2">
        <v>40547</v>
      </c>
      <c r="C76">
        <v>1</v>
      </c>
      <c r="D76">
        <v>0</v>
      </c>
      <c r="E76">
        <v>1</v>
      </c>
      <c r="F76">
        <v>6</v>
      </c>
      <c r="G76" t="str">
        <f>IF(F76&lt;6,"Night",IF(F76&lt;12,"Morning",IF(F76&lt;18,"Afternoon","Evening")))</f>
        <v>Morning</v>
      </c>
      <c r="H76">
        <v>0</v>
      </c>
      <c r="I76">
        <v>2</v>
      </c>
      <c r="J76" t="str">
        <f>CHOOSE(I76+1,"Monday","Tuesday","Wednesday","Thursday","Friday","Saturday","Sunday")</f>
        <v>Wednesday</v>
      </c>
      <c r="K76">
        <v>1</v>
      </c>
      <c r="L76" t="str">
        <f>CHOOSE(K76+1,"error","Clear","Misty","Rainy","Severe heater")</f>
        <v>Clear</v>
      </c>
      <c r="M76">
        <v>0.12</v>
      </c>
      <c r="N76" t="str">
        <f>IF(M76&lt;=0.2,"Low",IF(M76&lt;=0.4,"Mid","High"))</f>
        <v>Low</v>
      </c>
      <c r="O76">
        <v>0.1515</v>
      </c>
      <c r="P76" t="str">
        <f>IF(O76&lt;=0.15,"Very Cold",IF(O76&lt;=0.3,"Cold",IF(O76&lt;=0.45,"Pleasant","Hot")))</f>
        <v>Cold</v>
      </c>
      <c r="Q76">
        <v>0.74</v>
      </c>
      <c r="R76" t="str">
        <f>IF(Q76&lt;=0.25,"Low ",IF(Q76&lt;=0.5,"Moderate ",IF(Q76&lt;=0.75,"High ","Very High ")))</f>
        <v xml:space="preserve">High </v>
      </c>
      <c r="S76">
        <v>0.1045</v>
      </c>
      <c r="T76" t="str">
        <f>IF(S76&lt;=0.15,"Calm",IF(S76&lt;=0.3,"Light Wind",IF(S76&lt;=0.45,"Moderate Wind","Strong Wind")))</f>
        <v>Calm</v>
      </c>
      <c r="U76">
        <v>0</v>
      </c>
      <c r="V76">
        <v>36</v>
      </c>
      <c r="W76">
        <v>36</v>
      </c>
      <c r="X76" t="str">
        <f>IF(W76&lt;=75,"Low Demand",IF(W76&lt;=150,"Medium Demand",IF(W76&lt;=225,"High Demand","Very High Demand")))</f>
        <v>Low Demand</v>
      </c>
    </row>
    <row r="77" spans="1:24" x14ac:dyDescent="0.25">
      <c r="A77">
        <v>76</v>
      </c>
      <c r="B77" s="2">
        <v>40547</v>
      </c>
      <c r="C77">
        <v>1</v>
      </c>
      <c r="D77">
        <v>0</v>
      </c>
      <c r="E77">
        <v>1</v>
      </c>
      <c r="F77">
        <v>7</v>
      </c>
      <c r="G77" t="str">
        <f>IF(F77&lt;6,"Night",IF(F77&lt;12,"Morning",IF(F77&lt;18,"Afternoon","Evening")))</f>
        <v>Morning</v>
      </c>
      <c r="H77">
        <v>0</v>
      </c>
      <c r="I77">
        <v>2</v>
      </c>
      <c r="J77" t="str">
        <f>CHOOSE(I77+1,"Monday","Tuesday","Wednesday","Thursday","Friday","Saturday","Sunday")</f>
        <v>Wednesday</v>
      </c>
      <c r="K77">
        <v>1</v>
      </c>
      <c r="L77" t="str">
        <f>CHOOSE(K77+1,"error","Clear","Misty","Rainy","Severe heater")</f>
        <v>Clear</v>
      </c>
      <c r="M77">
        <v>0.12</v>
      </c>
      <c r="N77" t="str">
        <f>IF(M77&lt;=0.2,"Low",IF(M77&lt;=0.4,"Mid","High"))</f>
        <v>Low</v>
      </c>
      <c r="O77">
        <v>0.1515</v>
      </c>
      <c r="P77" t="str">
        <f>IF(O77&lt;=0.15,"Very Cold",IF(O77&lt;=0.3,"Cold",IF(O77&lt;=0.45,"Pleasant","Hot")))</f>
        <v>Cold</v>
      </c>
      <c r="Q77">
        <v>0.74</v>
      </c>
      <c r="R77" t="str">
        <f>IF(Q77&lt;=0.25,"Low ",IF(Q77&lt;=0.5,"Moderate ",IF(Q77&lt;=0.75,"High ","Very High ")))</f>
        <v xml:space="preserve">High </v>
      </c>
      <c r="S77">
        <v>0.1343</v>
      </c>
      <c r="T77" t="str">
        <f>IF(S77&lt;=0.15,"Calm",IF(S77&lt;=0.3,"Light Wind",IF(S77&lt;=0.45,"Moderate Wind","Strong Wind")))</f>
        <v>Calm</v>
      </c>
      <c r="U77">
        <v>2</v>
      </c>
      <c r="V77">
        <v>92</v>
      </c>
      <c r="W77">
        <v>94</v>
      </c>
      <c r="X77" t="str">
        <f>IF(W77&lt;=75,"Low Demand",IF(W77&lt;=150,"Medium Demand",IF(W77&lt;=225,"High Demand","Very High Demand")))</f>
        <v>Medium Demand</v>
      </c>
    </row>
    <row r="78" spans="1:24" x14ac:dyDescent="0.25">
      <c r="A78">
        <v>77</v>
      </c>
      <c r="B78" s="2">
        <v>40547</v>
      </c>
      <c r="C78">
        <v>1</v>
      </c>
      <c r="D78">
        <v>0</v>
      </c>
      <c r="E78">
        <v>1</v>
      </c>
      <c r="F78">
        <v>8</v>
      </c>
      <c r="G78" t="str">
        <f>IF(F78&lt;6,"Night",IF(F78&lt;12,"Morning",IF(F78&lt;18,"Afternoon","Evening")))</f>
        <v>Morning</v>
      </c>
      <c r="H78">
        <v>0</v>
      </c>
      <c r="I78">
        <v>2</v>
      </c>
      <c r="J78" t="str">
        <f>CHOOSE(I78+1,"Monday","Tuesday","Wednesday","Thursday","Friday","Saturday","Sunday")</f>
        <v>Wednesday</v>
      </c>
      <c r="K78">
        <v>1</v>
      </c>
      <c r="L78" t="str">
        <f>CHOOSE(K78+1,"error","Clear","Misty","Rainy","Severe heater")</f>
        <v>Clear</v>
      </c>
      <c r="M78">
        <v>0.14000000000000001</v>
      </c>
      <c r="N78" t="str">
        <f>IF(M78&lt;=0.2,"Low",IF(M78&lt;=0.4,"Mid","High"))</f>
        <v>Low</v>
      </c>
      <c r="O78">
        <v>0.1515</v>
      </c>
      <c r="P78" t="str">
        <f>IF(O78&lt;=0.15,"Very Cold",IF(O78&lt;=0.3,"Cold",IF(O78&lt;=0.45,"Pleasant","Hot")))</f>
        <v>Cold</v>
      </c>
      <c r="Q78">
        <v>0.69</v>
      </c>
      <c r="R78" t="str">
        <f>IF(Q78&lt;=0.25,"Low ",IF(Q78&lt;=0.5,"Moderate ",IF(Q78&lt;=0.75,"High ","Very High ")))</f>
        <v xml:space="preserve">High </v>
      </c>
      <c r="S78">
        <v>0.16420000000000001</v>
      </c>
      <c r="T78" t="str">
        <f>IF(S78&lt;=0.15,"Calm",IF(S78&lt;=0.3,"Light Wind",IF(S78&lt;=0.45,"Moderate Wind","Strong Wind")))</f>
        <v>Light Wind</v>
      </c>
      <c r="U78">
        <v>2</v>
      </c>
      <c r="V78">
        <v>177</v>
      </c>
      <c r="W78">
        <v>179</v>
      </c>
      <c r="X78" t="str">
        <f>IF(W78&lt;=75,"Low Demand",IF(W78&lt;=150,"Medium Demand",IF(W78&lt;=225,"High Demand","Very High Demand")))</f>
        <v>High Demand</v>
      </c>
    </row>
    <row r="79" spans="1:24" x14ac:dyDescent="0.25">
      <c r="A79">
        <v>78</v>
      </c>
      <c r="B79" s="2">
        <v>40547</v>
      </c>
      <c r="C79">
        <v>1</v>
      </c>
      <c r="D79">
        <v>0</v>
      </c>
      <c r="E79">
        <v>1</v>
      </c>
      <c r="F79">
        <v>9</v>
      </c>
      <c r="G79" t="str">
        <f>IF(F79&lt;6,"Night",IF(F79&lt;12,"Morning",IF(F79&lt;18,"Afternoon","Evening")))</f>
        <v>Morning</v>
      </c>
      <c r="H79">
        <v>0</v>
      </c>
      <c r="I79">
        <v>2</v>
      </c>
      <c r="J79" t="str">
        <f>CHOOSE(I79+1,"Monday","Tuesday","Wednesday","Thursday","Friday","Saturday","Sunday")</f>
        <v>Wednesday</v>
      </c>
      <c r="K79">
        <v>1</v>
      </c>
      <c r="L79" t="str">
        <f>CHOOSE(K79+1,"error","Clear","Misty","Rainy","Severe heater")</f>
        <v>Clear</v>
      </c>
      <c r="M79">
        <v>0.16</v>
      </c>
      <c r="N79" t="str">
        <f>IF(M79&lt;=0.2,"Low",IF(M79&lt;=0.4,"Mid","High"))</f>
        <v>Low</v>
      </c>
      <c r="O79">
        <v>0.1515</v>
      </c>
      <c r="P79" t="str">
        <f>IF(O79&lt;=0.15,"Very Cold",IF(O79&lt;=0.3,"Cold",IF(O79&lt;=0.45,"Pleasant","Hot")))</f>
        <v>Cold</v>
      </c>
      <c r="Q79">
        <v>0.64</v>
      </c>
      <c r="R79" t="str">
        <f>IF(Q79&lt;=0.25,"Low ",IF(Q79&lt;=0.5,"Moderate ",IF(Q79&lt;=0.75,"High ","Very High ")))</f>
        <v xml:space="preserve">High </v>
      </c>
      <c r="S79">
        <v>0.22389999999999999</v>
      </c>
      <c r="T79" t="str">
        <f>IF(S79&lt;=0.15,"Calm",IF(S79&lt;=0.3,"Light Wind",IF(S79&lt;=0.45,"Moderate Wind","Strong Wind")))</f>
        <v>Light Wind</v>
      </c>
      <c r="U79">
        <v>2</v>
      </c>
      <c r="V79">
        <v>98</v>
      </c>
      <c r="W79">
        <v>100</v>
      </c>
      <c r="X79" t="str">
        <f>IF(W79&lt;=75,"Low Demand",IF(W79&lt;=150,"Medium Demand",IF(W79&lt;=225,"High Demand","Very High Demand")))</f>
        <v>Medium Demand</v>
      </c>
    </row>
    <row r="80" spans="1:24" x14ac:dyDescent="0.25">
      <c r="A80">
        <v>79</v>
      </c>
      <c r="B80" s="2">
        <v>40547</v>
      </c>
      <c r="C80">
        <v>1</v>
      </c>
      <c r="D80">
        <v>0</v>
      </c>
      <c r="E80">
        <v>1</v>
      </c>
      <c r="F80">
        <v>10</v>
      </c>
      <c r="G80" t="str">
        <f>IF(F80&lt;6,"Night",IF(F80&lt;12,"Morning",IF(F80&lt;18,"Afternoon","Evening")))</f>
        <v>Morning</v>
      </c>
      <c r="H80">
        <v>0</v>
      </c>
      <c r="I80">
        <v>2</v>
      </c>
      <c r="J80" t="str">
        <f>CHOOSE(I80+1,"Monday","Tuesday","Wednesday","Thursday","Friday","Saturday","Sunday")</f>
        <v>Wednesday</v>
      </c>
      <c r="K80">
        <v>2</v>
      </c>
      <c r="L80" t="str">
        <f>CHOOSE(K80+1,"error","Clear","Misty","Rainy","Severe heater")</f>
        <v>Misty</v>
      </c>
      <c r="M80">
        <v>0.16</v>
      </c>
      <c r="N80" t="str">
        <f>IF(M80&lt;=0.2,"Low",IF(M80&lt;=0.4,"Mid","High"))</f>
        <v>Low</v>
      </c>
      <c r="O80">
        <v>0.13639999999999999</v>
      </c>
      <c r="P80" t="str">
        <f>IF(O80&lt;=0.15,"Very Cold",IF(O80&lt;=0.3,"Cold",IF(O80&lt;=0.45,"Pleasant","Hot")))</f>
        <v>Very Cold</v>
      </c>
      <c r="Q80">
        <v>0.69</v>
      </c>
      <c r="R80" t="str">
        <f>IF(Q80&lt;=0.25,"Low ",IF(Q80&lt;=0.5,"Moderate ",IF(Q80&lt;=0.75,"High ","Very High ")))</f>
        <v xml:space="preserve">High </v>
      </c>
      <c r="S80">
        <v>0.32840000000000003</v>
      </c>
      <c r="T80" t="str">
        <f>IF(S80&lt;=0.15,"Calm",IF(S80&lt;=0.3,"Light Wind",IF(S80&lt;=0.45,"Moderate Wind","Strong Wind")))</f>
        <v>Moderate Wind</v>
      </c>
      <c r="U80">
        <v>5</v>
      </c>
      <c r="V80">
        <v>37</v>
      </c>
      <c r="W80">
        <v>42</v>
      </c>
      <c r="X80" t="str">
        <f>IF(W80&lt;=75,"Low Demand",IF(W80&lt;=150,"Medium Demand",IF(W80&lt;=225,"High Demand","Very High Demand")))</f>
        <v>Low Demand</v>
      </c>
    </row>
    <row r="81" spans="1:24" x14ac:dyDescent="0.25">
      <c r="A81">
        <v>80</v>
      </c>
      <c r="B81" s="2">
        <v>40547</v>
      </c>
      <c r="C81">
        <v>1</v>
      </c>
      <c r="D81">
        <v>0</v>
      </c>
      <c r="E81">
        <v>1</v>
      </c>
      <c r="F81">
        <v>11</v>
      </c>
      <c r="G81" t="str">
        <f>IF(F81&lt;6,"Night",IF(F81&lt;12,"Morning",IF(F81&lt;18,"Afternoon","Evening")))</f>
        <v>Morning</v>
      </c>
      <c r="H81">
        <v>0</v>
      </c>
      <c r="I81">
        <v>2</v>
      </c>
      <c r="J81" t="str">
        <f>CHOOSE(I81+1,"Monday","Tuesday","Wednesday","Thursday","Friday","Saturday","Sunday")</f>
        <v>Wednesday</v>
      </c>
      <c r="K81">
        <v>1</v>
      </c>
      <c r="L81" t="str">
        <f>CHOOSE(K81+1,"error","Clear","Misty","Rainy","Severe heater")</f>
        <v>Clear</v>
      </c>
      <c r="M81">
        <v>0.22</v>
      </c>
      <c r="N81" t="str">
        <f>IF(M81&lt;=0.2,"Low",IF(M81&lt;=0.4,"Mid","High"))</f>
        <v>Mid</v>
      </c>
      <c r="O81">
        <v>0.21210000000000001</v>
      </c>
      <c r="P81" t="str">
        <f>IF(O81&lt;=0.15,"Very Cold",IF(O81&lt;=0.3,"Cold",IF(O81&lt;=0.45,"Pleasant","Hot")))</f>
        <v>Cold</v>
      </c>
      <c r="Q81">
        <v>0.51</v>
      </c>
      <c r="R81" t="str">
        <f>IF(Q81&lt;=0.25,"Low ",IF(Q81&lt;=0.5,"Moderate ",IF(Q81&lt;=0.75,"High ","Very High ")))</f>
        <v xml:space="preserve">High </v>
      </c>
      <c r="S81">
        <v>0.29849999999999999</v>
      </c>
      <c r="T81" t="str">
        <f>IF(S81&lt;=0.15,"Calm",IF(S81&lt;=0.3,"Light Wind",IF(S81&lt;=0.45,"Moderate Wind","Strong Wind")))</f>
        <v>Light Wind</v>
      </c>
      <c r="U81">
        <v>7</v>
      </c>
      <c r="V81">
        <v>50</v>
      </c>
      <c r="W81">
        <v>57</v>
      </c>
      <c r="X81" t="str">
        <f>IF(W81&lt;=75,"Low Demand",IF(W81&lt;=150,"Medium Demand",IF(W81&lt;=225,"High Demand","Very High Demand")))</f>
        <v>Low Demand</v>
      </c>
    </row>
    <row r="82" spans="1:24" x14ac:dyDescent="0.25">
      <c r="A82">
        <v>81</v>
      </c>
      <c r="B82" s="2">
        <v>40547</v>
      </c>
      <c r="C82">
        <v>1</v>
      </c>
      <c r="D82">
        <v>0</v>
      </c>
      <c r="E82">
        <v>1</v>
      </c>
      <c r="F82">
        <v>12</v>
      </c>
      <c r="G82" t="str">
        <f>IF(F82&lt;6,"Night",IF(F82&lt;12,"Morning",IF(F82&lt;18,"Afternoon","Evening")))</f>
        <v>Afternoon</v>
      </c>
      <c r="H82">
        <v>0</v>
      </c>
      <c r="I82">
        <v>2</v>
      </c>
      <c r="J82" t="str">
        <f>CHOOSE(I82+1,"Monday","Tuesday","Wednesday","Thursday","Friday","Saturday","Sunday")</f>
        <v>Wednesday</v>
      </c>
      <c r="K82">
        <v>1</v>
      </c>
      <c r="L82" t="str">
        <f>CHOOSE(K82+1,"error","Clear","Misty","Rainy","Severe heater")</f>
        <v>Clear</v>
      </c>
      <c r="M82">
        <v>0.22</v>
      </c>
      <c r="N82" t="str">
        <f>IF(M82&lt;=0.2,"Low",IF(M82&lt;=0.4,"Mid","High"))</f>
        <v>Mid</v>
      </c>
      <c r="O82">
        <v>0.2273</v>
      </c>
      <c r="P82" t="str">
        <f>IF(O82&lt;=0.15,"Very Cold",IF(O82&lt;=0.3,"Cold",IF(O82&lt;=0.45,"Pleasant","Hot")))</f>
        <v>Cold</v>
      </c>
      <c r="Q82">
        <v>0.51</v>
      </c>
      <c r="R82" t="str">
        <f>IF(Q82&lt;=0.25,"Low ",IF(Q82&lt;=0.5,"Moderate ",IF(Q82&lt;=0.75,"High ","Very High ")))</f>
        <v xml:space="preserve">High </v>
      </c>
      <c r="S82">
        <v>0.16420000000000001</v>
      </c>
      <c r="T82" t="str">
        <f>IF(S82&lt;=0.15,"Calm",IF(S82&lt;=0.3,"Light Wind",IF(S82&lt;=0.45,"Moderate Wind","Strong Wind")))</f>
        <v>Light Wind</v>
      </c>
      <c r="U82">
        <v>12</v>
      </c>
      <c r="V82">
        <v>66</v>
      </c>
      <c r="W82">
        <v>78</v>
      </c>
      <c r="X82" t="str">
        <f>IF(W82&lt;=75,"Low Demand",IF(W82&lt;=150,"Medium Demand",IF(W82&lt;=225,"High Demand","Very High Demand")))</f>
        <v>Medium Demand</v>
      </c>
    </row>
    <row r="83" spans="1:24" x14ac:dyDescent="0.25">
      <c r="A83">
        <v>82</v>
      </c>
      <c r="B83" s="2">
        <v>40547</v>
      </c>
      <c r="C83">
        <v>1</v>
      </c>
      <c r="D83">
        <v>0</v>
      </c>
      <c r="E83">
        <v>1</v>
      </c>
      <c r="F83">
        <v>13</v>
      </c>
      <c r="G83" t="str">
        <f>IF(F83&lt;6,"Night",IF(F83&lt;12,"Morning",IF(F83&lt;18,"Afternoon","Evening")))</f>
        <v>Afternoon</v>
      </c>
      <c r="H83">
        <v>0</v>
      </c>
      <c r="I83">
        <v>2</v>
      </c>
      <c r="J83" t="str">
        <f>CHOOSE(I83+1,"Monday","Tuesday","Wednesday","Thursday","Friday","Saturday","Sunday")</f>
        <v>Wednesday</v>
      </c>
      <c r="K83">
        <v>1</v>
      </c>
      <c r="L83" t="str">
        <f>CHOOSE(K83+1,"error","Clear","Misty","Rainy","Severe heater")</f>
        <v>Clear</v>
      </c>
      <c r="M83">
        <v>0.24</v>
      </c>
      <c r="N83" t="str">
        <f>IF(M83&lt;=0.2,"Low",IF(M83&lt;=0.4,"Mid","High"))</f>
        <v>Mid</v>
      </c>
      <c r="O83">
        <v>0.2273</v>
      </c>
      <c r="P83" t="str">
        <f>IF(O83&lt;=0.15,"Very Cold",IF(O83&lt;=0.3,"Cold",IF(O83&lt;=0.45,"Pleasant","Hot")))</f>
        <v>Cold</v>
      </c>
      <c r="Q83">
        <v>0.56000000000000005</v>
      </c>
      <c r="R83" t="str">
        <f>IF(Q83&lt;=0.25,"Low ",IF(Q83&lt;=0.5,"Moderate ",IF(Q83&lt;=0.75,"High ","Very High ")))</f>
        <v xml:space="preserve">High </v>
      </c>
      <c r="S83">
        <v>0.19400000000000001</v>
      </c>
      <c r="T83" t="str">
        <f>IF(S83&lt;=0.15,"Calm",IF(S83&lt;=0.3,"Light Wind",IF(S83&lt;=0.45,"Moderate Wind","Strong Wind")))</f>
        <v>Light Wind</v>
      </c>
      <c r="U83">
        <v>18</v>
      </c>
      <c r="V83">
        <v>79</v>
      </c>
      <c r="W83">
        <v>97</v>
      </c>
      <c r="X83" t="str">
        <f>IF(W83&lt;=75,"Low Demand",IF(W83&lt;=150,"Medium Demand",IF(W83&lt;=225,"High Demand","Very High Demand")))</f>
        <v>Medium Demand</v>
      </c>
    </row>
    <row r="84" spans="1:24" x14ac:dyDescent="0.25">
      <c r="A84">
        <v>83</v>
      </c>
      <c r="B84" s="2">
        <v>40547</v>
      </c>
      <c r="C84">
        <v>1</v>
      </c>
      <c r="D84">
        <v>0</v>
      </c>
      <c r="E84">
        <v>1</v>
      </c>
      <c r="F84">
        <v>14</v>
      </c>
      <c r="G84" t="str">
        <f>IF(F84&lt;6,"Night",IF(F84&lt;12,"Morning",IF(F84&lt;18,"Afternoon","Evening")))</f>
        <v>Afternoon</v>
      </c>
      <c r="H84">
        <v>0</v>
      </c>
      <c r="I84">
        <v>2</v>
      </c>
      <c r="J84" t="str">
        <f>CHOOSE(I84+1,"Monday","Tuesday","Wednesday","Thursday","Friday","Saturday","Sunday")</f>
        <v>Wednesday</v>
      </c>
      <c r="K84">
        <v>1</v>
      </c>
      <c r="L84" t="str">
        <f>CHOOSE(K84+1,"error","Clear","Misty","Rainy","Severe heater")</f>
        <v>Clear</v>
      </c>
      <c r="M84">
        <v>0.26</v>
      </c>
      <c r="N84" t="str">
        <f>IF(M84&lt;=0.2,"Low",IF(M84&lt;=0.4,"Mid","High"))</f>
        <v>Mid</v>
      </c>
      <c r="O84">
        <v>0.2576</v>
      </c>
      <c r="P84" t="str">
        <f>IF(O84&lt;=0.15,"Very Cold",IF(O84&lt;=0.3,"Cold",IF(O84&lt;=0.45,"Pleasant","Hot")))</f>
        <v>Cold</v>
      </c>
      <c r="Q84">
        <v>0.52</v>
      </c>
      <c r="R84" t="str">
        <f>IF(Q84&lt;=0.25,"Low ",IF(Q84&lt;=0.5,"Moderate ",IF(Q84&lt;=0.75,"High ","Very High ")))</f>
        <v xml:space="preserve">High </v>
      </c>
      <c r="S84">
        <v>0.22389999999999999</v>
      </c>
      <c r="T84" t="str">
        <f>IF(S84&lt;=0.15,"Calm",IF(S84&lt;=0.3,"Light Wind",IF(S84&lt;=0.45,"Moderate Wind","Strong Wind")))</f>
        <v>Light Wind</v>
      </c>
      <c r="U84">
        <v>9</v>
      </c>
      <c r="V84">
        <v>54</v>
      </c>
      <c r="W84">
        <v>63</v>
      </c>
      <c r="X84" t="str">
        <f>IF(W84&lt;=75,"Low Demand",IF(W84&lt;=150,"Medium Demand",IF(W84&lt;=225,"High Demand","Very High Demand")))</f>
        <v>Low Demand</v>
      </c>
    </row>
    <row r="85" spans="1:24" x14ac:dyDescent="0.25">
      <c r="A85">
        <v>84</v>
      </c>
      <c r="B85" s="2">
        <v>40547</v>
      </c>
      <c r="C85">
        <v>1</v>
      </c>
      <c r="D85">
        <v>0</v>
      </c>
      <c r="E85">
        <v>1</v>
      </c>
      <c r="F85">
        <v>15</v>
      </c>
      <c r="G85" t="str">
        <f>IF(F85&lt;6,"Night",IF(F85&lt;12,"Morning",IF(F85&lt;18,"Afternoon","Evening")))</f>
        <v>Afternoon</v>
      </c>
      <c r="H85">
        <v>0</v>
      </c>
      <c r="I85">
        <v>2</v>
      </c>
      <c r="J85" t="str">
        <f>CHOOSE(I85+1,"Monday","Tuesday","Wednesday","Thursday","Friday","Saturday","Sunday")</f>
        <v>Wednesday</v>
      </c>
      <c r="K85">
        <v>1</v>
      </c>
      <c r="L85" t="str">
        <f>CHOOSE(K85+1,"error","Clear","Misty","Rainy","Severe heater")</f>
        <v>Clear</v>
      </c>
      <c r="M85">
        <v>0.28000000000000003</v>
      </c>
      <c r="N85" t="str">
        <f>IF(M85&lt;=0.2,"Low",IF(M85&lt;=0.4,"Mid","High"))</f>
        <v>Mid</v>
      </c>
      <c r="O85">
        <v>0.2727</v>
      </c>
      <c r="P85" t="str">
        <f>IF(O85&lt;=0.15,"Very Cold",IF(O85&lt;=0.3,"Cold",IF(O85&lt;=0.45,"Pleasant","Hot")))</f>
        <v>Cold</v>
      </c>
      <c r="Q85">
        <v>0.52</v>
      </c>
      <c r="R85" t="str">
        <f>IF(Q85&lt;=0.25,"Low ",IF(Q85&lt;=0.5,"Moderate ",IF(Q85&lt;=0.75,"High ","Very High ")))</f>
        <v xml:space="preserve">High </v>
      </c>
      <c r="S85">
        <v>0.25369999999999998</v>
      </c>
      <c r="T85" t="str">
        <f>IF(S85&lt;=0.15,"Calm",IF(S85&lt;=0.3,"Light Wind",IF(S85&lt;=0.45,"Moderate Wind","Strong Wind")))</f>
        <v>Light Wind</v>
      </c>
      <c r="U85">
        <v>17</v>
      </c>
      <c r="V85">
        <v>48</v>
      </c>
      <c r="W85">
        <v>65</v>
      </c>
      <c r="X85" t="str">
        <f>IF(W85&lt;=75,"Low Demand",IF(W85&lt;=150,"Medium Demand",IF(W85&lt;=225,"High Demand","Very High Demand")))</f>
        <v>Low Demand</v>
      </c>
    </row>
    <row r="86" spans="1:24" x14ac:dyDescent="0.25">
      <c r="A86">
        <v>85</v>
      </c>
      <c r="B86" s="2">
        <v>40547</v>
      </c>
      <c r="C86">
        <v>1</v>
      </c>
      <c r="D86">
        <v>0</v>
      </c>
      <c r="E86">
        <v>1</v>
      </c>
      <c r="F86">
        <v>16</v>
      </c>
      <c r="G86" t="str">
        <f>IF(F86&lt;6,"Night",IF(F86&lt;12,"Morning",IF(F86&lt;18,"Afternoon","Evening")))</f>
        <v>Afternoon</v>
      </c>
      <c r="H86">
        <v>0</v>
      </c>
      <c r="I86">
        <v>2</v>
      </c>
      <c r="J86" t="str">
        <f>CHOOSE(I86+1,"Monday","Tuesday","Wednesday","Thursday","Friday","Saturday","Sunday")</f>
        <v>Wednesday</v>
      </c>
      <c r="K86">
        <v>1</v>
      </c>
      <c r="L86" t="str">
        <f>CHOOSE(K86+1,"error","Clear","Misty","Rainy","Severe heater")</f>
        <v>Clear</v>
      </c>
      <c r="M86">
        <v>0.3</v>
      </c>
      <c r="N86" t="str">
        <f>IF(M86&lt;=0.2,"Low",IF(M86&lt;=0.4,"Mid","High"))</f>
        <v>Mid</v>
      </c>
      <c r="O86">
        <v>0.28789999999999999</v>
      </c>
      <c r="P86" t="str">
        <f>IF(O86&lt;=0.15,"Very Cold",IF(O86&lt;=0.3,"Cold",IF(O86&lt;=0.45,"Pleasant","Hot")))</f>
        <v>Cold</v>
      </c>
      <c r="Q86">
        <v>0.49</v>
      </c>
      <c r="R86" t="str">
        <f>IF(Q86&lt;=0.25,"Low ",IF(Q86&lt;=0.5,"Moderate ",IF(Q86&lt;=0.75,"High ","Very High ")))</f>
        <v xml:space="preserve">Moderate </v>
      </c>
      <c r="S86">
        <v>0.25369999999999998</v>
      </c>
      <c r="T86" t="str">
        <f>IF(S86&lt;=0.15,"Calm",IF(S86&lt;=0.3,"Light Wind",IF(S86&lt;=0.45,"Moderate Wind","Strong Wind")))</f>
        <v>Light Wind</v>
      </c>
      <c r="U86">
        <v>15</v>
      </c>
      <c r="V86">
        <v>68</v>
      </c>
      <c r="W86">
        <v>83</v>
      </c>
      <c r="X86" t="str">
        <f>IF(W86&lt;=75,"Low Demand",IF(W86&lt;=150,"Medium Demand",IF(W86&lt;=225,"High Demand","Very High Demand")))</f>
        <v>Medium Demand</v>
      </c>
    </row>
    <row r="87" spans="1:24" x14ac:dyDescent="0.25">
      <c r="A87">
        <v>86</v>
      </c>
      <c r="B87" s="2">
        <v>40547</v>
      </c>
      <c r="C87">
        <v>1</v>
      </c>
      <c r="D87">
        <v>0</v>
      </c>
      <c r="E87">
        <v>1</v>
      </c>
      <c r="F87">
        <v>17</v>
      </c>
      <c r="G87" t="str">
        <f>IF(F87&lt;6,"Night",IF(F87&lt;12,"Morning",IF(F87&lt;18,"Afternoon","Evening")))</f>
        <v>Afternoon</v>
      </c>
      <c r="H87">
        <v>0</v>
      </c>
      <c r="I87">
        <v>2</v>
      </c>
      <c r="J87" t="str">
        <f>CHOOSE(I87+1,"Monday","Tuesday","Wednesday","Thursday","Friday","Saturday","Sunday")</f>
        <v>Wednesday</v>
      </c>
      <c r="K87">
        <v>1</v>
      </c>
      <c r="L87" t="str">
        <f>CHOOSE(K87+1,"error","Clear","Misty","Rainy","Severe heater")</f>
        <v>Clear</v>
      </c>
      <c r="M87">
        <v>0.28000000000000003</v>
      </c>
      <c r="N87" t="str">
        <f>IF(M87&lt;=0.2,"Low",IF(M87&lt;=0.4,"Mid","High"))</f>
        <v>Mid</v>
      </c>
      <c r="O87">
        <v>0.2727</v>
      </c>
      <c r="P87" t="str">
        <f>IF(O87&lt;=0.15,"Very Cold",IF(O87&lt;=0.3,"Cold",IF(O87&lt;=0.45,"Pleasant","Hot")))</f>
        <v>Cold</v>
      </c>
      <c r="Q87">
        <v>0.48</v>
      </c>
      <c r="R87" t="str">
        <f>IF(Q87&lt;=0.25,"Low ",IF(Q87&lt;=0.5,"Moderate ",IF(Q87&lt;=0.75,"High ","Very High ")))</f>
        <v xml:space="preserve">Moderate </v>
      </c>
      <c r="S87">
        <v>0.22389999999999999</v>
      </c>
      <c r="T87" t="str">
        <f>IF(S87&lt;=0.15,"Calm",IF(S87&lt;=0.3,"Light Wind",IF(S87&lt;=0.45,"Moderate Wind","Strong Wind")))</f>
        <v>Light Wind</v>
      </c>
      <c r="U87">
        <v>10</v>
      </c>
      <c r="V87">
        <v>202</v>
      </c>
      <c r="W87">
        <v>212</v>
      </c>
      <c r="X87" t="str">
        <f>IF(W87&lt;=75,"Low Demand",IF(W87&lt;=150,"Medium Demand",IF(W87&lt;=225,"High Demand","Very High Demand")))</f>
        <v>High Demand</v>
      </c>
    </row>
    <row r="88" spans="1:24" x14ac:dyDescent="0.25">
      <c r="A88">
        <v>87</v>
      </c>
      <c r="B88" s="2">
        <v>40547</v>
      </c>
      <c r="C88">
        <v>1</v>
      </c>
      <c r="D88">
        <v>0</v>
      </c>
      <c r="E88">
        <v>1</v>
      </c>
      <c r="F88">
        <v>18</v>
      </c>
      <c r="G88" t="str">
        <f>IF(F88&lt;6,"Night",IF(F88&lt;12,"Morning",IF(F88&lt;18,"Afternoon","Evening")))</f>
        <v>Evening</v>
      </c>
      <c r="H88">
        <v>0</v>
      </c>
      <c r="I88">
        <v>2</v>
      </c>
      <c r="J88" t="str">
        <f>CHOOSE(I88+1,"Monday","Tuesday","Wednesday","Thursday","Friday","Saturday","Sunday")</f>
        <v>Wednesday</v>
      </c>
      <c r="K88">
        <v>1</v>
      </c>
      <c r="L88" t="str">
        <f>CHOOSE(K88+1,"error","Clear","Misty","Rainy","Severe heater")</f>
        <v>Clear</v>
      </c>
      <c r="M88">
        <v>0.26</v>
      </c>
      <c r="N88" t="str">
        <f>IF(M88&lt;=0.2,"Low",IF(M88&lt;=0.4,"Mid","High"))</f>
        <v>Mid</v>
      </c>
      <c r="O88">
        <v>0.2576</v>
      </c>
      <c r="P88" t="str">
        <f>IF(O88&lt;=0.15,"Very Cold",IF(O88&lt;=0.3,"Cold",IF(O88&lt;=0.45,"Pleasant","Hot")))</f>
        <v>Cold</v>
      </c>
      <c r="Q88">
        <v>0.48</v>
      </c>
      <c r="R88" t="str">
        <f>IF(Q88&lt;=0.25,"Low ",IF(Q88&lt;=0.5,"Moderate ",IF(Q88&lt;=0.75,"High ","Very High ")))</f>
        <v xml:space="preserve">Moderate </v>
      </c>
      <c r="S88">
        <v>0.19400000000000001</v>
      </c>
      <c r="T88" t="str">
        <f>IF(S88&lt;=0.15,"Calm",IF(S88&lt;=0.3,"Light Wind",IF(S88&lt;=0.45,"Moderate Wind","Strong Wind")))</f>
        <v>Light Wind</v>
      </c>
      <c r="U88">
        <v>3</v>
      </c>
      <c r="V88">
        <v>179</v>
      </c>
      <c r="W88">
        <v>182</v>
      </c>
      <c r="X88" t="str">
        <f>IF(W88&lt;=75,"Low Demand",IF(W88&lt;=150,"Medium Demand",IF(W88&lt;=225,"High Demand","Very High Demand")))</f>
        <v>High Demand</v>
      </c>
    </row>
    <row r="89" spans="1:24" x14ac:dyDescent="0.25">
      <c r="A89">
        <v>88</v>
      </c>
      <c r="B89" s="2">
        <v>40547</v>
      </c>
      <c r="C89">
        <v>1</v>
      </c>
      <c r="D89">
        <v>0</v>
      </c>
      <c r="E89">
        <v>1</v>
      </c>
      <c r="F89">
        <v>19</v>
      </c>
      <c r="G89" t="str">
        <f>IF(F89&lt;6,"Night",IF(F89&lt;12,"Morning",IF(F89&lt;18,"Afternoon","Evening")))</f>
        <v>Evening</v>
      </c>
      <c r="H89">
        <v>0</v>
      </c>
      <c r="I89">
        <v>2</v>
      </c>
      <c r="J89" t="str">
        <f>CHOOSE(I89+1,"Monday","Tuesday","Wednesday","Thursday","Friday","Saturday","Sunday")</f>
        <v>Wednesday</v>
      </c>
      <c r="K89">
        <v>1</v>
      </c>
      <c r="L89" t="str">
        <f>CHOOSE(K89+1,"error","Clear","Misty","Rainy","Severe heater")</f>
        <v>Clear</v>
      </c>
      <c r="M89">
        <v>0.24</v>
      </c>
      <c r="N89" t="str">
        <f>IF(M89&lt;=0.2,"Low",IF(M89&lt;=0.4,"Mid","High"))</f>
        <v>Mid</v>
      </c>
      <c r="O89">
        <v>0.2576</v>
      </c>
      <c r="P89" t="str">
        <f>IF(O89&lt;=0.15,"Very Cold",IF(O89&lt;=0.3,"Cold",IF(O89&lt;=0.45,"Pleasant","Hot")))</f>
        <v>Cold</v>
      </c>
      <c r="Q89">
        <v>0.48</v>
      </c>
      <c r="R89" t="str">
        <f>IF(Q89&lt;=0.25,"Low ",IF(Q89&lt;=0.5,"Moderate ",IF(Q89&lt;=0.75,"High ","Very High ")))</f>
        <v xml:space="preserve">Moderate </v>
      </c>
      <c r="S89">
        <v>0.1045</v>
      </c>
      <c r="T89" t="str">
        <f>IF(S89&lt;=0.15,"Calm",IF(S89&lt;=0.3,"Light Wind",IF(S89&lt;=0.45,"Moderate Wind","Strong Wind")))</f>
        <v>Calm</v>
      </c>
      <c r="U89">
        <v>2</v>
      </c>
      <c r="V89">
        <v>110</v>
      </c>
      <c r="W89">
        <v>112</v>
      </c>
      <c r="X89" t="str">
        <f>IF(W89&lt;=75,"Low Demand",IF(W89&lt;=150,"Medium Demand",IF(W89&lt;=225,"High Demand","Very High Demand")))</f>
        <v>Medium Demand</v>
      </c>
    </row>
    <row r="90" spans="1:24" x14ac:dyDescent="0.25">
      <c r="A90">
        <v>89</v>
      </c>
      <c r="B90" s="2">
        <v>40547</v>
      </c>
      <c r="C90">
        <v>1</v>
      </c>
      <c r="D90">
        <v>0</v>
      </c>
      <c r="E90">
        <v>1</v>
      </c>
      <c r="F90">
        <v>20</v>
      </c>
      <c r="G90" t="str">
        <f>IF(F90&lt;6,"Night",IF(F90&lt;12,"Morning",IF(F90&lt;18,"Afternoon","Evening")))</f>
        <v>Evening</v>
      </c>
      <c r="H90">
        <v>0</v>
      </c>
      <c r="I90">
        <v>2</v>
      </c>
      <c r="J90" t="str">
        <f>CHOOSE(I90+1,"Monday","Tuesday","Wednesday","Thursday","Friday","Saturday","Sunday")</f>
        <v>Wednesday</v>
      </c>
      <c r="K90">
        <v>1</v>
      </c>
      <c r="L90" t="str">
        <f>CHOOSE(K90+1,"error","Clear","Misty","Rainy","Severe heater")</f>
        <v>Clear</v>
      </c>
      <c r="M90">
        <v>0.24</v>
      </c>
      <c r="N90" t="str">
        <f>IF(M90&lt;=0.2,"Low",IF(M90&lt;=0.4,"Mid","High"))</f>
        <v>Mid</v>
      </c>
      <c r="O90">
        <v>0.2576</v>
      </c>
      <c r="P90" t="str">
        <f>IF(O90&lt;=0.15,"Very Cold",IF(O90&lt;=0.3,"Cold",IF(O90&lt;=0.45,"Pleasant","Hot")))</f>
        <v>Cold</v>
      </c>
      <c r="Q90">
        <v>0.48</v>
      </c>
      <c r="R90" t="str">
        <f>IF(Q90&lt;=0.25,"Low ",IF(Q90&lt;=0.5,"Moderate ",IF(Q90&lt;=0.75,"High ","Very High ")))</f>
        <v xml:space="preserve">Moderate </v>
      </c>
      <c r="S90">
        <v>0.1045</v>
      </c>
      <c r="T90" t="str">
        <f>IF(S90&lt;=0.15,"Calm",IF(S90&lt;=0.3,"Light Wind",IF(S90&lt;=0.45,"Moderate Wind","Strong Wind")))</f>
        <v>Calm</v>
      </c>
      <c r="U90">
        <v>1</v>
      </c>
      <c r="V90">
        <v>53</v>
      </c>
      <c r="W90">
        <v>54</v>
      </c>
      <c r="X90" t="str">
        <f>IF(W90&lt;=75,"Low Demand",IF(W90&lt;=150,"Medium Demand",IF(W90&lt;=225,"High Demand","Very High Demand")))</f>
        <v>Low Demand</v>
      </c>
    </row>
    <row r="91" spans="1:24" x14ac:dyDescent="0.25">
      <c r="A91">
        <v>90</v>
      </c>
      <c r="B91" s="2">
        <v>40547</v>
      </c>
      <c r="C91">
        <v>1</v>
      </c>
      <c r="D91">
        <v>0</v>
      </c>
      <c r="E91">
        <v>1</v>
      </c>
      <c r="F91">
        <v>21</v>
      </c>
      <c r="G91" t="str">
        <f>IF(F91&lt;6,"Night",IF(F91&lt;12,"Morning",IF(F91&lt;18,"Afternoon","Evening")))</f>
        <v>Evening</v>
      </c>
      <c r="H91">
        <v>0</v>
      </c>
      <c r="I91">
        <v>2</v>
      </c>
      <c r="J91" t="str">
        <f>CHOOSE(I91+1,"Monday","Tuesday","Wednesday","Thursday","Friday","Saturday","Sunday")</f>
        <v>Wednesday</v>
      </c>
      <c r="K91">
        <v>1</v>
      </c>
      <c r="L91" t="str">
        <f>CHOOSE(K91+1,"error","Clear","Misty","Rainy","Severe heater")</f>
        <v>Clear</v>
      </c>
      <c r="M91">
        <v>0.22</v>
      </c>
      <c r="N91" t="str">
        <f>IF(M91&lt;=0.2,"Low",IF(M91&lt;=0.4,"Mid","High"))</f>
        <v>Mid</v>
      </c>
      <c r="O91">
        <v>0.2727</v>
      </c>
      <c r="P91" t="str">
        <f>IF(O91&lt;=0.15,"Very Cold",IF(O91&lt;=0.3,"Cold",IF(O91&lt;=0.45,"Pleasant","Hot")))</f>
        <v>Cold</v>
      </c>
      <c r="Q91">
        <v>0.64</v>
      </c>
      <c r="R91" t="str">
        <f>IF(Q91&lt;=0.25,"Low ",IF(Q91&lt;=0.5,"Moderate ",IF(Q91&lt;=0.75,"High ","Very High ")))</f>
        <v xml:space="preserve">High </v>
      </c>
      <c r="S91">
        <v>0</v>
      </c>
      <c r="T91" t="str">
        <f>IF(S91&lt;=0.15,"Calm",IF(S91&lt;=0.3,"Light Wind",IF(S91&lt;=0.45,"Moderate Wind","Strong Wind")))</f>
        <v>Calm</v>
      </c>
      <c r="U91">
        <v>0</v>
      </c>
      <c r="V91">
        <v>48</v>
      </c>
      <c r="W91">
        <v>48</v>
      </c>
      <c r="X91" t="str">
        <f>IF(W91&lt;=75,"Low Demand",IF(W91&lt;=150,"Medium Demand",IF(W91&lt;=225,"High Demand","Very High Demand")))</f>
        <v>Low Demand</v>
      </c>
    </row>
    <row r="92" spans="1:24" x14ac:dyDescent="0.25">
      <c r="A92">
        <v>91</v>
      </c>
      <c r="B92" s="2">
        <v>40547</v>
      </c>
      <c r="C92">
        <v>1</v>
      </c>
      <c r="D92">
        <v>0</v>
      </c>
      <c r="E92">
        <v>1</v>
      </c>
      <c r="F92">
        <v>22</v>
      </c>
      <c r="G92" t="str">
        <f>IF(F92&lt;6,"Night",IF(F92&lt;12,"Morning",IF(F92&lt;18,"Afternoon","Evening")))</f>
        <v>Evening</v>
      </c>
      <c r="H92">
        <v>0</v>
      </c>
      <c r="I92">
        <v>2</v>
      </c>
      <c r="J92" t="str">
        <f>CHOOSE(I92+1,"Monday","Tuesday","Wednesday","Thursday","Friday","Saturday","Sunday")</f>
        <v>Wednesday</v>
      </c>
      <c r="K92">
        <v>1</v>
      </c>
      <c r="L92" t="str">
        <f>CHOOSE(K92+1,"error","Clear","Misty","Rainy","Severe heater")</f>
        <v>Clear</v>
      </c>
      <c r="M92">
        <v>0.22</v>
      </c>
      <c r="N92" t="str">
        <f>IF(M92&lt;=0.2,"Low",IF(M92&lt;=0.4,"Mid","High"))</f>
        <v>Mid</v>
      </c>
      <c r="O92">
        <v>0.2576</v>
      </c>
      <c r="P92" t="str">
        <f>IF(O92&lt;=0.15,"Very Cold",IF(O92&lt;=0.3,"Cold",IF(O92&lt;=0.45,"Pleasant","Hot")))</f>
        <v>Cold</v>
      </c>
      <c r="Q92">
        <v>0.64</v>
      </c>
      <c r="R92" t="str">
        <f>IF(Q92&lt;=0.25,"Low ",IF(Q92&lt;=0.5,"Moderate ",IF(Q92&lt;=0.75,"High ","Very High ")))</f>
        <v xml:space="preserve">High </v>
      </c>
      <c r="S92">
        <v>8.9599999999999999E-2</v>
      </c>
      <c r="T92" t="str">
        <f>IF(S92&lt;=0.15,"Calm",IF(S92&lt;=0.3,"Light Wind",IF(S92&lt;=0.45,"Moderate Wind","Strong Wind")))</f>
        <v>Calm</v>
      </c>
      <c r="U92">
        <v>1</v>
      </c>
      <c r="V92">
        <v>34</v>
      </c>
      <c r="W92">
        <v>35</v>
      </c>
      <c r="X92" t="str">
        <f>IF(W92&lt;=75,"Low Demand",IF(W92&lt;=150,"Medium Demand",IF(W92&lt;=225,"High Demand","Very High Demand")))</f>
        <v>Low Demand</v>
      </c>
    </row>
    <row r="93" spans="1:24" x14ac:dyDescent="0.25">
      <c r="A93">
        <v>92</v>
      </c>
      <c r="B93" s="2">
        <v>40547</v>
      </c>
      <c r="C93">
        <v>1</v>
      </c>
      <c r="D93">
        <v>0</v>
      </c>
      <c r="E93">
        <v>1</v>
      </c>
      <c r="F93">
        <v>23</v>
      </c>
      <c r="G93" t="str">
        <f>IF(F93&lt;6,"Night",IF(F93&lt;12,"Morning",IF(F93&lt;18,"Afternoon","Evening")))</f>
        <v>Evening</v>
      </c>
      <c r="H93">
        <v>0</v>
      </c>
      <c r="I93">
        <v>2</v>
      </c>
      <c r="J93" t="str">
        <f>CHOOSE(I93+1,"Monday","Tuesday","Wednesday","Thursday","Friday","Saturday","Sunday")</f>
        <v>Wednesday</v>
      </c>
      <c r="K93">
        <v>1</v>
      </c>
      <c r="L93" t="str">
        <f>CHOOSE(K93+1,"error","Clear","Misty","Rainy","Severe heater")</f>
        <v>Clear</v>
      </c>
      <c r="M93">
        <v>0.2</v>
      </c>
      <c r="N93" t="str">
        <f>IF(M93&lt;=0.2,"Low",IF(M93&lt;=0.4,"Mid","High"))</f>
        <v>Low</v>
      </c>
      <c r="O93">
        <v>0.2273</v>
      </c>
      <c r="P93" t="str">
        <f>IF(O93&lt;=0.15,"Very Cold",IF(O93&lt;=0.3,"Cold",IF(O93&lt;=0.45,"Pleasant","Hot")))</f>
        <v>Cold</v>
      </c>
      <c r="Q93">
        <v>0.69</v>
      </c>
      <c r="R93" t="str">
        <f>IF(Q93&lt;=0.25,"Low ",IF(Q93&lt;=0.5,"Moderate ",IF(Q93&lt;=0.75,"High ","Very High ")))</f>
        <v xml:space="preserve">High </v>
      </c>
      <c r="S93">
        <v>8.9599999999999999E-2</v>
      </c>
      <c r="T93" t="str">
        <f>IF(S93&lt;=0.15,"Calm",IF(S93&lt;=0.3,"Light Wind",IF(S93&lt;=0.45,"Moderate Wind","Strong Wind")))</f>
        <v>Calm</v>
      </c>
      <c r="U93">
        <v>2</v>
      </c>
      <c r="V93">
        <v>9</v>
      </c>
      <c r="W93">
        <v>11</v>
      </c>
      <c r="X93" t="str">
        <f>IF(W93&lt;=75,"Low Demand",IF(W93&lt;=150,"Medium Demand",IF(W93&lt;=225,"High Demand","Very High Demand")))</f>
        <v>Low Demand</v>
      </c>
    </row>
    <row r="94" spans="1:24" x14ac:dyDescent="0.25">
      <c r="A94">
        <v>93</v>
      </c>
      <c r="B94" s="2">
        <v>40548</v>
      </c>
      <c r="C94">
        <v>1</v>
      </c>
      <c r="D94">
        <v>0</v>
      </c>
      <c r="E94">
        <v>1</v>
      </c>
      <c r="F94">
        <v>0</v>
      </c>
      <c r="G94" t="str">
        <f>IF(F94&lt;6,"Night",IF(F94&lt;12,"Morning",IF(F94&lt;18,"Afternoon","Evening")))</f>
        <v>Night</v>
      </c>
      <c r="H94">
        <v>0</v>
      </c>
      <c r="I94">
        <v>3</v>
      </c>
      <c r="J94" t="str">
        <f>CHOOSE(I94+1,"Monday","Tuesday","Wednesday","Thursday","Friday","Saturday","Sunday")</f>
        <v>Thursday</v>
      </c>
      <c r="K94">
        <v>1</v>
      </c>
      <c r="L94" t="str">
        <f>CHOOSE(K94+1,"error","Clear","Misty","Rainy","Severe heater")</f>
        <v>Clear</v>
      </c>
      <c r="M94">
        <v>0.2</v>
      </c>
      <c r="N94" t="str">
        <f>IF(M94&lt;=0.2,"Low",IF(M94&lt;=0.4,"Mid","High"))</f>
        <v>Low</v>
      </c>
      <c r="O94">
        <v>0.2576</v>
      </c>
      <c r="P94" t="str">
        <f>IF(O94&lt;=0.15,"Very Cold",IF(O94&lt;=0.3,"Cold",IF(O94&lt;=0.45,"Pleasant","Hot")))</f>
        <v>Cold</v>
      </c>
      <c r="Q94">
        <v>0.64</v>
      </c>
      <c r="R94" t="str">
        <f>IF(Q94&lt;=0.25,"Low ",IF(Q94&lt;=0.5,"Moderate ",IF(Q94&lt;=0.75,"High ","Very High ")))</f>
        <v xml:space="preserve">High </v>
      </c>
      <c r="S94">
        <v>0</v>
      </c>
      <c r="T94" t="str">
        <f>IF(S94&lt;=0.15,"Calm",IF(S94&lt;=0.3,"Light Wind",IF(S94&lt;=0.45,"Moderate Wind","Strong Wind")))</f>
        <v>Calm</v>
      </c>
      <c r="U94">
        <v>0</v>
      </c>
      <c r="V94">
        <v>6</v>
      </c>
      <c r="W94">
        <v>6</v>
      </c>
      <c r="X94" t="str">
        <f>IF(W94&lt;=75,"Low Demand",IF(W94&lt;=150,"Medium Demand",IF(W94&lt;=225,"High Demand","Very High Demand")))</f>
        <v>Low Demand</v>
      </c>
    </row>
    <row r="95" spans="1:24" x14ac:dyDescent="0.25">
      <c r="A95">
        <v>94</v>
      </c>
      <c r="B95" s="2">
        <v>40548</v>
      </c>
      <c r="C95">
        <v>1</v>
      </c>
      <c r="D95">
        <v>0</v>
      </c>
      <c r="E95">
        <v>1</v>
      </c>
      <c r="F95">
        <v>1</v>
      </c>
      <c r="G95" t="str">
        <f>IF(F95&lt;6,"Night",IF(F95&lt;12,"Morning",IF(F95&lt;18,"Afternoon","Evening")))</f>
        <v>Night</v>
      </c>
      <c r="H95">
        <v>0</v>
      </c>
      <c r="I95">
        <v>3</v>
      </c>
      <c r="J95" t="str">
        <f>CHOOSE(I95+1,"Monday","Tuesday","Wednesday","Thursday","Friday","Saturday","Sunday")</f>
        <v>Thursday</v>
      </c>
      <c r="K95">
        <v>1</v>
      </c>
      <c r="L95" t="str">
        <f>CHOOSE(K95+1,"error","Clear","Misty","Rainy","Severe heater")</f>
        <v>Clear</v>
      </c>
      <c r="M95">
        <v>0.16</v>
      </c>
      <c r="N95" t="str">
        <f>IF(M95&lt;=0.2,"Low",IF(M95&lt;=0.4,"Mid","High"))</f>
        <v>Low</v>
      </c>
      <c r="O95">
        <v>0.19700000000000001</v>
      </c>
      <c r="P95" t="str">
        <f>IF(O95&lt;=0.15,"Very Cold",IF(O95&lt;=0.3,"Cold",IF(O95&lt;=0.45,"Pleasant","Hot")))</f>
        <v>Cold</v>
      </c>
      <c r="Q95">
        <v>0.74</v>
      </c>
      <c r="R95" t="str">
        <f>IF(Q95&lt;=0.25,"Low ",IF(Q95&lt;=0.5,"Moderate ",IF(Q95&lt;=0.75,"High ","Very High ")))</f>
        <v xml:space="preserve">High </v>
      </c>
      <c r="S95">
        <v>8.9599999999999999E-2</v>
      </c>
      <c r="T95" t="str">
        <f>IF(S95&lt;=0.15,"Calm",IF(S95&lt;=0.3,"Light Wind",IF(S95&lt;=0.45,"Moderate Wind","Strong Wind")))</f>
        <v>Calm</v>
      </c>
      <c r="U95">
        <v>0</v>
      </c>
      <c r="V95">
        <v>6</v>
      </c>
      <c r="W95">
        <v>6</v>
      </c>
      <c r="X95" t="str">
        <f>IF(W95&lt;=75,"Low Demand",IF(W95&lt;=150,"Medium Demand",IF(W95&lt;=225,"High Demand","Very High Demand")))</f>
        <v>Low Demand</v>
      </c>
    </row>
    <row r="96" spans="1:24" x14ac:dyDescent="0.25">
      <c r="A96">
        <v>95</v>
      </c>
      <c r="B96" s="2">
        <v>40548</v>
      </c>
      <c r="C96">
        <v>1</v>
      </c>
      <c r="D96">
        <v>0</v>
      </c>
      <c r="E96">
        <v>1</v>
      </c>
      <c r="F96">
        <v>2</v>
      </c>
      <c r="G96" t="str">
        <f>IF(F96&lt;6,"Night",IF(F96&lt;12,"Morning",IF(F96&lt;18,"Afternoon","Evening")))</f>
        <v>Night</v>
      </c>
      <c r="H96">
        <v>0</v>
      </c>
      <c r="I96">
        <v>3</v>
      </c>
      <c r="J96" t="str">
        <f>CHOOSE(I96+1,"Monday","Tuesday","Wednesday","Thursday","Friday","Saturday","Sunday")</f>
        <v>Thursday</v>
      </c>
      <c r="K96">
        <v>1</v>
      </c>
      <c r="L96" t="str">
        <f>CHOOSE(K96+1,"error","Clear","Misty","Rainy","Severe heater")</f>
        <v>Clear</v>
      </c>
      <c r="M96">
        <v>0.16</v>
      </c>
      <c r="N96" t="str">
        <f>IF(M96&lt;=0.2,"Low",IF(M96&lt;=0.4,"Mid","High"))</f>
        <v>Low</v>
      </c>
      <c r="O96">
        <v>0.19700000000000001</v>
      </c>
      <c r="P96" t="str">
        <f>IF(O96&lt;=0.15,"Very Cold",IF(O96&lt;=0.3,"Cold",IF(O96&lt;=0.45,"Pleasant","Hot")))</f>
        <v>Cold</v>
      </c>
      <c r="Q96">
        <v>0.74</v>
      </c>
      <c r="R96" t="str">
        <f>IF(Q96&lt;=0.25,"Low ",IF(Q96&lt;=0.5,"Moderate ",IF(Q96&lt;=0.75,"High ","Very High ")))</f>
        <v xml:space="preserve">High </v>
      </c>
      <c r="S96">
        <v>8.9599999999999999E-2</v>
      </c>
      <c r="T96" t="str">
        <f>IF(S96&lt;=0.15,"Calm",IF(S96&lt;=0.3,"Light Wind",IF(S96&lt;=0.45,"Moderate Wind","Strong Wind")))</f>
        <v>Calm</v>
      </c>
      <c r="U96">
        <v>0</v>
      </c>
      <c r="V96">
        <v>2</v>
      </c>
      <c r="W96">
        <v>2</v>
      </c>
      <c r="X96" t="str">
        <f>IF(W96&lt;=75,"Low Demand",IF(W96&lt;=150,"Medium Demand",IF(W96&lt;=225,"High Demand","Very High Demand")))</f>
        <v>Low Demand</v>
      </c>
    </row>
    <row r="97" spans="1:24" x14ac:dyDescent="0.25">
      <c r="A97">
        <v>96</v>
      </c>
      <c r="B97" s="2">
        <v>40548</v>
      </c>
      <c r="C97">
        <v>1</v>
      </c>
      <c r="D97">
        <v>0</v>
      </c>
      <c r="E97">
        <v>1</v>
      </c>
      <c r="F97">
        <v>4</v>
      </c>
      <c r="G97" t="str">
        <f>IF(F97&lt;6,"Night",IF(F97&lt;12,"Morning",IF(F97&lt;18,"Afternoon","Evening")))</f>
        <v>Night</v>
      </c>
      <c r="H97">
        <v>0</v>
      </c>
      <c r="I97">
        <v>3</v>
      </c>
      <c r="J97" t="str">
        <f>CHOOSE(I97+1,"Monday","Tuesday","Wednesday","Thursday","Friday","Saturday","Sunday")</f>
        <v>Thursday</v>
      </c>
      <c r="K97">
        <v>1</v>
      </c>
      <c r="L97" t="str">
        <f>CHOOSE(K97+1,"error","Clear","Misty","Rainy","Severe heater")</f>
        <v>Clear</v>
      </c>
      <c r="M97">
        <v>0.24</v>
      </c>
      <c r="N97" t="str">
        <f>IF(M97&lt;=0.2,"Low",IF(M97&lt;=0.4,"Mid","High"))</f>
        <v>Mid</v>
      </c>
      <c r="O97">
        <v>0.2273</v>
      </c>
      <c r="P97" t="str">
        <f>IF(O97&lt;=0.15,"Very Cold",IF(O97&lt;=0.3,"Cold",IF(O97&lt;=0.45,"Pleasant","Hot")))</f>
        <v>Cold</v>
      </c>
      <c r="Q97">
        <v>0.48</v>
      </c>
      <c r="R97" t="str">
        <f>IF(Q97&lt;=0.25,"Low ",IF(Q97&lt;=0.5,"Moderate ",IF(Q97&lt;=0.75,"High ","Very High ")))</f>
        <v xml:space="preserve">Moderate </v>
      </c>
      <c r="S97">
        <v>0.22389999999999999</v>
      </c>
      <c r="T97" t="str">
        <f>IF(S97&lt;=0.15,"Calm",IF(S97&lt;=0.3,"Light Wind",IF(S97&lt;=0.45,"Moderate Wind","Strong Wind")))</f>
        <v>Light Wind</v>
      </c>
      <c r="U97">
        <v>0</v>
      </c>
      <c r="V97">
        <v>2</v>
      </c>
      <c r="W97">
        <v>2</v>
      </c>
      <c r="X97" t="str">
        <f>IF(W97&lt;=75,"Low Demand",IF(W97&lt;=150,"Medium Demand",IF(W97&lt;=225,"High Demand","Very High Demand")))</f>
        <v>Low Demand</v>
      </c>
    </row>
    <row r="98" spans="1:24" x14ac:dyDescent="0.25">
      <c r="A98">
        <v>97</v>
      </c>
      <c r="B98" s="2">
        <v>40548</v>
      </c>
      <c r="C98">
        <v>1</v>
      </c>
      <c r="D98">
        <v>0</v>
      </c>
      <c r="E98">
        <v>1</v>
      </c>
      <c r="F98">
        <v>5</v>
      </c>
      <c r="G98" t="str">
        <f>IF(F98&lt;6,"Night",IF(F98&lt;12,"Morning",IF(F98&lt;18,"Afternoon","Evening")))</f>
        <v>Night</v>
      </c>
      <c r="H98">
        <v>0</v>
      </c>
      <c r="I98">
        <v>3</v>
      </c>
      <c r="J98" t="str">
        <f>CHOOSE(I98+1,"Monday","Tuesday","Wednesday","Thursday","Friday","Saturday","Sunday")</f>
        <v>Thursday</v>
      </c>
      <c r="K98">
        <v>1</v>
      </c>
      <c r="L98" t="str">
        <f>CHOOSE(K98+1,"error","Clear","Misty","Rainy","Severe heater")</f>
        <v>Clear</v>
      </c>
      <c r="M98">
        <v>0.22</v>
      </c>
      <c r="N98" t="str">
        <f>IF(M98&lt;=0.2,"Low",IF(M98&lt;=0.4,"Mid","High"))</f>
        <v>Mid</v>
      </c>
      <c r="O98">
        <v>0.2273</v>
      </c>
      <c r="P98" t="str">
        <f>IF(O98&lt;=0.15,"Very Cold",IF(O98&lt;=0.3,"Cold",IF(O98&lt;=0.45,"Pleasant","Hot")))</f>
        <v>Cold</v>
      </c>
      <c r="Q98">
        <v>0.47</v>
      </c>
      <c r="R98" t="str">
        <f>IF(Q98&lt;=0.25,"Low ",IF(Q98&lt;=0.5,"Moderate ",IF(Q98&lt;=0.75,"High ","Very High ")))</f>
        <v xml:space="preserve">Moderate </v>
      </c>
      <c r="S98">
        <v>0.16420000000000001</v>
      </c>
      <c r="T98" t="str">
        <f>IF(S98&lt;=0.15,"Calm",IF(S98&lt;=0.3,"Light Wind",IF(S98&lt;=0.45,"Moderate Wind","Strong Wind")))</f>
        <v>Light Wind</v>
      </c>
      <c r="U98">
        <v>0</v>
      </c>
      <c r="V98">
        <v>3</v>
      </c>
      <c r="W98">
        <v>3</v>
      </c>
      <c r="X98" t="str">
        <f>IF(W98&lt;=75,"Low Demand",IF(W98&lt;=150,"Medium Demand",IF(W98&lt;=225,"High Demand","Very High Demand")))</f>
        <v>Low Demand</v>
      </c>
    </row>
    <row r="99" spans="1:24" x14ac:dyDescent="0.25">
      <c r="A99">
        <v>98</v>
      </c>
      <c r="B99" s="2">
        <v>40548</v>
      </c>
      <c r="C99">
        <v>1</v>
      </c>
      <c r="D99">
        <v>0</v>
      </c>
      <c r="E99">
        <v>1</v>
      </c>
      <c r="F99">
        <v>6</v>
      </c>
      <c r="G99" t="str">
        <f>IF(F99&lt;6,"Night",IF(F99&lt;12,"Morning",IF(F99&lt;18,"Afternoon","Evening")))</f>
        <v>Morning</v>
      </c>
      <c r="H99">
        <v>0</v>
      </c>
      <c r="I99">
        <v>3</v>
      </c>
      <c r="J99" t="str">
        <f>CHOOSE(I99+1,"Monday","Tuesday","Wednesday","Thursday","Friday","Saturday","Sunday")</f>
        <v>Thursday</v>
      </c>
      <c r="K99">
        <v>1</v>
      </c>
      <c r="L99" t="str">
        <f>CHOOSE(K99+1,"error","Clear","Misty","Rainy","Severe heater")</f>
        <v>Clear</v>
      </c>
      <c r="M99">
        <v>0.2</v>
      </c>
      <c r="N99" t="str">
        <f>IF(M99&lt;=0.2,"Low",IF(M99&lt;=0.4,"Mid","High"))</f>
        <v>Low</v>
      </c>
      <c r="O99">
        <v>0.19700000000000001</v>
      </c>
      <c r="P99" t="str">
        <f>IF(O99&lt;=0.15,"Very Cold",IF(O99&lt;=0.3,"Cold",IF(O99&lt;=0.45,"Pleasant","Hot")))</f>
        <v>Cold</v>
      </c>
      <c r="Q99">
        <v>0.47</v>
      </c>
      <c r="R99" t="str">
        <f>IF(Q99&lt;=0.25,"Low ",IF(Q99&lt;=0.5,"Moderate ",IF(Q99&lt;=0.75,"High ","Very High ")))</f>
        <v xml:space="preserve">Moderate </v>
      </c>
      <c r="S99">
        <v>0.22389999999999999</v>
      </c>
      <c r="T99" t="str">
        <f>IF(S99&lt;=0.15,"Calm",IF(S99&lt;=0.3,"Light Wind",IF(S99&lt;=0.45,"Moderate Wind","Strong Wind")))</f>
        <v>Light Wind</v>
      </c>
      <c r="U99">
        <v>0</v>
      </c>
      <c r="V99">
        <v>33</v>
      </c>
      <c r="W99">
        <v>33</v>
      </c>
      <c r="X99" t="str">
        <f>IF(W99&lt;=75,"Low Demand",IF(W99&lt;=150,"Medium Demand",IF(W99&lt;=225,"High Demand","Very High Demand")))</f>
        <v>Low Demand</v>
      </c>
    </row>
    <row r="100" spans="1:24" x14ac:dyDescent="0.25">
      <c r="A100">
        <v>99</v>
      </c>
      <c r="B100" s="2">
        <v>40548</v>
      </c>
      <c r="C100">
        <v>1</v>
      </c>
      <c r="D100">
        <v>0</v>
      </c>
      <c r="E100">
        <v>1</v>
      </c>
      <c r="F100">
        <v>7</v>
      </c>
      <c r="G100" t="str">
        <f>IF(F100&lt;6,"Night",IF(F100&lt;12,"Morning",IF(F100&lt;18,"Afternoon","Evening")))</f>
        <v>Morning</v>
      </c>
      <c r="H100">
        <v>0</v>
      </c>
      <c r="I100">
        <v>3</v>
      </c>
      <c r="J100" t="str">
        <f>CHOOSE(I100+1,"Monday","Tuesday","Wednesday","Thursday","Friday","Saturday","Sunday")</f>
        <v>Thursday</v>
      </c>
      <c r="K100">
        <v>1</v>
      </c>
      <c r="L100" t="str">
        <f>CHOOSE(K100+1,"error","Clear","Misty","Rainy","Severe heater")</f>
        <v>Clear</v>
      </c>
      <c r="M100">
        <v>0.18</v>
      </c>
      <c r="N100" t="str">
        <f>IF(M100&lt;=0.2,"Low",IF(M100&lt;=0.4,"Mid","High"))</f>
        <v>Low</v>
      </c>
      <c r="O100">
        <v>0.18179999999999999</v>
      </c>
      <c r="P100" t="str">
        <f>IF(O100&lt;=0.15,"Very Cold",IF(O100&lt;=0.3,"Cold",IF(O100&lt;=0.45,"Pleasant","Hot")))</f>
        <v>Cold</v>
      </c>
      <c r="Q100">
        <v>0.43</v>
      </c>
      <c r="R100" t="str">
        <f>IF(Q100&lt;=0.25,"Low ",IF(Q100&lt;=0.5,"Moderate ",IF(Q100&lt;=0.75,"High ","Very High ")))</f>
        <v xml:space="preserve">Moderate </v>
      </c>
      <c r="S100">
        <v>0.19400000000000001</v>
      </c>
      <c r="T100" t="str">
        <f>IF(S100&lt;=0.15,"Calm",IF(S100&lt;=0.3,"Light Wind",IF(S100&lt;=0.45,"Moderate Wind","Strong Wind")))</f>
        <v>Light Wind</v>
      </c>
      <c r="U100">
        <v>1</v>
      </c>
      <c r="V100">
        <v>87</v>
      </c>
      <c r="W100">
        <v>88</v>
      </c>
      <c r="X100" t="str">
        <f>IF(W100&lt;=75,"Low Demand",IF(W100&lt;=150,"Medium Demand",IF(W100&lt;=225,"High Demand","Very High Demand")))</f>
        <v>Medium Demand</v>
      </c>
    </row>
    <row r="101" spans="1:24" x14ac:dyDescent="0.25">
      <c r="A101">
        <v>100</v>
      </c>
      <c r="B101" s="2">
        <v>40548</v>
      </c>
      <c r="C101">
        <v>1</v>
      </c>
      <c r="D101">
        <v>0</v>
      </c>
      <c r="E101">
        <v>1</v>
      </c>
      <c r="F101">
        <v>8</v>
      </c>
      <c r="G101" t="str">
        <f>IF(F101&lt;6,"Night",IF(F101&lt;12,"Morning",IF(F101&lt;18,"Afternoon","Evening")))</f>
        <v>Morning</v>
      </c>
      <c r="H101">
        <v>0</v>
      </c>
      <c r="I101">
        <v>3</v>
      </c>
      <c r="J101" t="str">
        <f>CHOOSE(I101+1,"Monday","Tuesday","Wednesday","Thursday","Friday","Saturday","Sunday")</f>
        <v>Thursday</v>
      </c>
      <c r="K101">
        <v>1</v>
      </c>
      <c r="L101" t="str">
        <f>CHOOSE(K101+1,"error","Clear","Misty","Rainy","Severe heater")</f>
        <v>Clear</v>
      </c>
      <c r="M101">
        <v>0.2</v>
      </c>
      <c r="N101" t="str">
        <f>IF(M101&lt;=0.2,"Low",IF(M101&lt;=0.4,"Mid","High"))</f>
        <v>Low</v>
      </c>
      <c r="O101">
        <v>0.18179999999999999</v>
      </c>
      <c r="P101" t="str">
        <f>IF(O101&lt;=0.15,"Very Cold",IF(O101&lt;=0.3,"Cold",IF(O101&lt;=0.45,"Pleasant","Hot")))</f>
        <v>Cold</v>
      </c>
      <c r="Q101">
        <v>0.4</v>
      </c>
      <c r="R101" t="str">
        <f>IF(Q101&lt;=0.25,"Low ",IF(Q101&lt;=0.5,"Moderate ",IF(Q101&lt;=0.75,"High ","Very High ")))</f>
        <v xml:space="preserve">Moderate </v>
      </c>
      <c r="S101">
        <v>0.29849999999999999</v>
      </c>
      <c r="T101" t="str">
        <f>IF(S101&lt;=0.15,"Calm",IF(S101&lt;=0.3,"Light Wind",IF(S101&lt;=0.45,"Moderate Wind","Strong Wind")))</f>
        <v>Light Wind</v>
      </c>
      <c r="U101">
        <v>3</v>
      </c>
      <c r="V101">
        <v>192</v>
      </c>
      <c r="W101">
        <v>195</v>
      </c>
      <c r="X101" t="str">
        <f>IF(W101&lt;=75,"Low Demand",IF(W101&lt;=150,"Medium Demand",IF(W101&lt;=225,"High Demand","Very High Demand")))</f>
        <v>High Demand</v>
      </c>
    </row>
    <row r="102" spans="1:24" x14ac:dyDescent="0.25">
      <c r="A102">
        <v>101</v>
      </c>
      <c r="B102" s="2">
        <v>40548</v>
      </c>
      <c r="C102">
        <v>1</v>
      </c>
      <c r="D102">
        <v>0</v>
      </c>
      <c r="E102">
        <v>1</v>
      </c>
      <c r="F102">
        <v>9</v>
      </c>
      <c r="G102" t="str">
        <f>IF(F102&lt;6,"Night",IF(F102&lt;12,"Morning",IF(F102&lt;18,"Afternoon","Evening")))</f>
        <v>Morning</v>
      </c>
      <c r="H102">
        <v>0</v>
      </c>
      <c r="I102">
        <v>3</v>
      </c>
      <c r="J102" t="str">
        <f>CHOOSE(I102+1,"Monday","Tuesday","Wednesday","Thursday","Friday","Saturday","Sunday")</f>
        <v>Thursday</v>
      </c>
      <c r="K102">
        <v>1</v>
      </c>
      <c r="L102" t="str">
        <f>CHOOSE(K102+1,"error","Clear","Misty","Rainy","Severe heater")</f>
        <v>Clear</v>
      </c>
      <c r="M102">
        <v>0.22</v>
      </c>
      <c r="N102" t="str">
        <f>IF(M102&lt;=0.2,"Low",IF(M102&lt;=0.4,"Mid","High"))</f>
        <v>Mid</v>
      </c>
      <c r="O102">
        <v>0.19700000000000001</v>
      </c>
      <c r="P102" t="str">
        <f>IF(O102&lt;=0.15,"Very Cold",IF(O102&lt;=0.3,"Cold",IF(O102&lt;=0.45,"Pleasant","Hot")))</f>
        <v>Cold</v>
      </c>
      <c r="Q102">
        <v>0.37</v>
      </c>
      <c r="R102" t="str">
        <f>IF(Q102&lt;=0.25,"Low ",IF(Q102&lt;=0.5,"Moderate ",IF(Q102&lt;=0.75,"High ","Very High ")))</f>
        <v xml:space="preserve">Moderate </v>
      </c>
      <c r="S102">
        <v>0.32840000000000003</v>
      </c>
      <c r="T102" t="str">
        <f>IF(S102&lt;=0.15,"Calm",IF(S102&lt;=0.3,"Light Wind",IF(S102&lt;=0.45,"Moderate Wind","Strong Wind")))</f>
        <v>Moderate Wind</v>
      </c>
      <c r="U102">
        <v>6</v>
      </c>
      <c r="V102">
        <v>109</v>
      </c>
      <c r="W102">
        <v>115</v>
      </c>
      <c r="X102" t="str">
        <f>IF(W102&lt;=75,"Low Demand",IF(W102&lt;=150,"Medium Demand",IF(W102&lt;=225,"High Demand","Very High Demand")))</f>
        <v>Medium Demand</v>
      </c>
    </row>
    <row r="103" spans="1:24" x14ac:dyDescent="0.25">
      <c r="A103">
        <v>102</v>
      </c>
      <c r="B103" s="2">
        <v>40548</v>
      </c>
      <c r="C103">
        <v>1</v>
      </c>
      <c r="D103">
        <v>0</v>
      </c>
      <c r="E103">
        <v>1</v>
      </c>
      <c r="F103">
        <v>10</v>
      </c>
      <c r="G103" t="str">
        <f>IF(F103&lt;6,"Night",IF(F103&lt;12,"Morning",IF(F103&lt;18,"Afternoon","Evening")))</f>
        <v>Morning</v>
      </c>
      <c r="H103">
        <v>0</v>
      </c>
      <c r="I103">
        <v>3</v>
      </c>
      <c r="J103" t="str">
        <f>CHOOSE(I103+1,"Monday","Tuesday","Wednesday","Thursday","Friday","Saturday","Sunday")</f>
        <v>Thursday</v>
      </c>
      <c r="K103">
        <v>1</v>
      </c>
      <c r="L103" t="str">
        <f>CHOOSE(K103+1,"error","Clear","Misty","Rainy","Severe heater")</f>
        <v>Clear</v>
      </c>
      <c r="M103">
        <v>0.22</v>
      </c>
      <c r="N103" t="str">
        <f>IF(M103&lt;=0.2,"Low",IF(M103&lt;=0.4,"Mid","High"))</f>
        <v>Mid</v>
      </c>
      <c r="O103">
        <v>0.19700000000000001</v>
      </c>
      <c r="P103" t="str">
        <f>IF(O103&lt;=0.15,"Very Cold",IF(O103&lt;=0.3,"Cold",IF(O103&lt;=0.45,"Pleasant","Hot")))</f>
        <v>Cold</v>
      </c>
      <c r="Q103">
        <v>0.37</v>
      </c>
      <c r="R103" t="str">
        <f>IF(Q103&lt;=0.25,"Low ",IF(Q103&lt;=0.5,"Moderate ",IF(Q103&lt;=0.75,"High ","Very High ")))</f>
        <v xml:space="preserve">Moderate </v>
      </c>
      <c r="S103">
        <v>0.32840000000000003</v>
      </c>
      <c r="T103" t="str">
        <f>IF(S103&lt;=0.15,"Calm",IF(S103&lt;=0.3,"Light Wind",IF(S103&lt;=0.45,"Moderate Wind","Strong Wind")))</f>
        <v>Moderate Wind</v>
      </c>
      <c r="U103">
        <v>4</v>
      </c>
      <c r="V103">
        <v>53</v>
      </c>
      <c r="W103">
        <v>57</v>
      </c>
      <c r="X103" t="str">
        <f>IF(W103&lt;=75,"Low Demand",IF(W103&lt;=150,"Medium Demand",IF(W103&lt;=225,"High Demand","Very High Demand")))</f>
        <v>Low Demand</v>
      </c>
    </row>
    <row r="104" spans="1:24" x14ac:dyDescent="0.25">
      <c r="A104">
        <v>103</v>
      </c>
      <c r="B104" s="2">
        <v>40548</v>
      </c>
      <c r="C104">
        <v>1</v>
      </c>
      <c r="D104">
        <v>0</v>
      </c>
      <c r="E104">
        <v>1</v>
      </c>
      <c r="F104">
        <v>11</v>
      </c>
      <c r="G104" t="str">
        <f>IF(F104&lt;6,"Night",IF(F104&lt;12,"Morning",IF(F104&lt;18,"Afternoon","Evening")))</f>
        <v>Morning</v>
      </c>
      <c r="H104">
        <v>0</v>
      </c>
      <c r="I104">
        <v>3</v>
      </c>
      <c r="J104" t="str">
        <f>CHOOSE(I104+1,"Monday","Tuesday","Wednesday","Thursday","Friday","Saturday","Sunday")</f>
        <v>Thursday</v>
      </c>
      <c r="K104">
        <v>1</v>
      </c>
      <c r="L104" t="str">
        <f>CHOOSE(K104+1,"error","Clear","Misty","Rainy","Severe heater")</f>
        <v>Clear</v>
      </c>
      <c r="M104">
        <v>0.26</v>
      </c>
      <c r="N104" t="str">
        <f>IF(M104&lt;=0.2,"Low",IF(M104&lt;=0.4,"Mid","High"))</f>
        <v>Mid</v>
      </c>
      <c r="O104">
        <v>0.2273</v>
      </c>
      <c r="P104" t="str">
        <f>IF(O104&lt;=0.15,"Very Cold",IF(O104&lt;=0.3,"Cold",IF(O104&lt;=0.45,"Pleasant","Hot")))</f>
        <v>Cold</v>
      </c>
      <c r="Q104">
        <v>0.33</v>
      </c>
      <c r="R104" t="str">
        <f>IF(Q104&lt;=0.25,"Low ",IF(Q104&lt;=0.5,"Moderate ",IF(Q104&lt;=0.75,"High ","Very High ")))</f>
        <v xml:space="preserve">Moderate </v>
      </c>
      <c r="S104">
        <v>0.32840000000000003</v>
      </c>
      <c r="T104" t="str">
        <f>IF(S104&lt;=0.15,"Calm",IF(S104&lt;=0.3,"Light Wind",IF(S104&lt;=0.45,"Moderate Wind","Strong Wind")))</f>
        <v>Moderate Wind</v>
      </c>
      <c r="U104">
        <v>12</v>
      </c>
      <c r="V104">
        <v>34</v>
      </c>
      <c r="W104">
        <v>46</v>
      </c>
      <c r="X104" t="str">
        <f>IF(W104&lt;=75,"Low Demand",IF(W104&lt;=150,"Medium Demand",IF(W104&lt;=225,"High Demand","Very High Demand")))</f>
        <v>Low Demand</v>
      </c>
    </row>
    <row r="105" spans="1:24" x14ac:dyDescent="0.25">
      <c r="A105">
        <v>104</v>
      </c>
      <c r="B105" s="2">
        <v>40548</v>
      </c>
      <c r="C105">
        <v>1</v>
      </c>
      <c r="D105">
        <v>0</v>
      </c>
      <c r="E105">
        <v>1</v>
      </c>
      <c r="F105">
        <v>12</v>
      </c>
      <c r="G105" t="str">
        <f>IF(F105&lt;6,"Night",IF(F105&lt;12,"Morning",IF(F105&lt;18,"Afternoon","Evening")))</f>
        <v>Afternoon</v>
      </c>
      <c r="H105">
        <v>0</v>
      </c>
      <c r="I105">
        <v>3</v>
      </c>
      <c r="J105" t="str">
        <f>CHOOSE(I105+1,"Monday","Tuesday","Wednesday","Thursday","Friday","Saturday","Sunday")</f>
        <v>Thursday</v>
      </c>
      <c r="K105">
        <v>1</v>
      </c>
      <c r="L105" t="str">
        <f>CHOOSE(K105+1,"error","Clear","Misty","Rainy","Severe heater")</f>
        <v>Clear</v>
      </c>
      <c r="M105">
        <v>0.26</v>
      </c>
      <c r="N105" t="str">
        <f>IF(M105&lt;=0.2,"Low",IF(M105&lt;=0.4,"Mid","High"))</f>
        <v>Mid</v>
      </c>
      <c r="O105">
        <v>0.2273</v>
      </c>
      <c r="P105" t="str">
        <f>IF(O105&lt;=0.15,"Very Cold",IF(O105&lt;=0.3,"Cold",IF(O105&lt;=0.45,"Pleasant","Hot")))</f>
        <v>Cold</v>
      </c>
      <c r="Q105">
        <v>0.33</v>
      </c>
      <c r="R105" t="str">
        <f>IF(Q105&lt;=0.25,"Low ",IF(Q105&lt;=0.5,"Moderate ",IF(Q105&lt;=0.75,"High ","Very High ")))</f>
        <v xml:space="preserve">Moderate </v>
      </c>
      <c r="S105">
        <v>0.32840000000000003</v>
      </c>
      <c r="T105" t="str">
        <f>IF(S105&lt;=0.15,"Calm",IF(S105&lt;=0.3,"Light Wind",IF(S105&lt;=0.45,"Moderate Wind","Strong Wind")))</f>
        <v>Moderate Wind</v>
      </c>
      <c r="U105">
        <v>5</v>
      </c>
      <c r="V105">
        <v>74</v>
      </c>
      <c r="W105">
        <v>79</v>
      </c>
      <c r="X105" t="str">
        <f>IF(W105&lt;=75,"Low Demand",IF(W105&lt;=150,"Medium Demand",IF(W105&lt;=225,"High Demand","Very High Demand")))</f>
        <v>Medium Demand</v>
      </c>
    </row>
    <row r="106" spans="1:24" x14ac:dyDescent="0.25">
      <c r="A106">
        <v>105</v>
      </c>
      <c r="B106" s="2">
        <v>40548</v>
      </c>
      <c r="C106">
        <v>1</v>
      </c>
      <c r="D106">
        <v>0</v>
      </c>
      <c r="E106">
        <v>1</v>
      </c>
      <c r="F106">
        <v>13</v>
      </c>
      <c r="G106" t="str">
        <f>IF(F106&lt;6,"Night",IF(F106&lt;12,"Morning",IF(F106&lt;18,"Afternoon","Evening")))</f>
        <v>Afternoon</v>
      </c>
      <c r="H106">
        <v>0</v>
      </c>
      <c r="I106">
        <v>3</v>
      </c>
      <c r="J106" t="str">
        <f>CHOOSE(I106+1,"Monday","Tuesday","Wednesday","Thursday","Friday","Saturday","Sunday")</f>
        <v>Thursday</v>
      </c>
      <c r="K106">
        <v>1</v>
      </c>
      <c r="L106" t="str">
        <f>CHOOSE(K106+1,"error","Clear","Misty","Rainy","Severe heater")</f>
        <v>Clear</v>
      </c>
      <c r="M106">
        <v>0.28000000000000003</v>
      </c>
      <c r="N106" t="str">
        <f>IF(M106&lt;=0.2,"Low",IF(M106&lt;=0.4,"Mid","High"))</f>
        <v>Mid</v>
      </c>
      <c r="O106">
        <v>0.2576</v>
      </c>
      <c r="P106" t="str">
        <f>IF(O106&lt;=0.15,"Very Cold",IF(O106&lt;=0.3,"Cold",IF(O106&lt;=0.45,"Pleasant","Hot")))</f>
        <v>Cold</v>
      </c>
      <c r="Q106">
        <v>0.3</v>
      </c>
      <c r="R106" t="str">
        <f>IF(Q106&lt;=0.25,"Low ",IF(Q106&lt;=0.5,"Moderate ",IF(Q106&lt;=0.75,"High ","Very High ")))</f>
        <v xml:space="preserve">Moderate </v>
      </c>
      <c r="S106">
        <v>0.29849999999999999</v>
      </c>
      <c r="T106" t="str">
        <f>IF(S106&lt;=0.15,"Calm",IF(S106&lt;=0.3,"Light Wind",IF(S106&lt;=0.45,"Moderate Wind","Strong Wind")))</f>
        <v>Light Wind</v>
      </c>
      <c r="U106">
        <v>6</v>
      </c>
      <c r="V106">
        <v>65</v>
      </c>
      <c r="W106">
        <v>71</v>
      </c>
      <c r="X106" t="str">
        <f>IF(W106&lt;=75,"Low Demand",IF(W106&lt;=150,"Medium Demand",IF(W106&lt;=225,"High Demand","Very High Demand")))</f>
        <v>Low Demand</v>
      </c>
    </row>
    <row r="107" spans="1:24" x14ac:dyDescent="0.25">
      <c r="A107">
        <v>106</v>
      </c>
      <c r="B107" s="2">
        <v>40548</v>
      </c>
      <c r="C107">
        <v>1</v>
      </c>
      <c r="D107">
        <v>0</v>
      </c>
      <c r="E107">
        <v>1</v>
      </c>
      <c r="F107">
        <v>14</v>
      </c>
      <c r="G107" t="str">
        <f>IF(F107&lt;6,"Night",IF(F107&lt;12,"Morning",IF(F107&lt;18,"Afternoon","Evening")))</f>
        <v>Afternoon</v>
      </c>
      <c r="H107">
        <v>0</v>
      </c>
      <c r="I107">
        <v>3</v>
      </c>
      <c r="J107" t="str">
        <f>CHOOSE(I107+1,"Monday","Tuesday","Wednesday","Thursday","Friday","Saturday","Sunday")</f>
        <v>Thursday</v>
      </c>
      <c r="K107">
        <v>1</v>
      </c>
      <c r="L107" t="str">
        <f>CHOOSE(K107+1,"error","Clear","Misty","Rainy","Severe heater")</f>
        <v>Clear</v>
      </c>
      <c r="M107">
        <v>0.3</v>
      </c>
      <c r="N107" t="str">
        <f>IF(M107&lt;=0.2,"Low",IF(M107&lt;=0.4,"Mid","High"))</f>
        <v>Mid</v>
      </c>
      <c r="O107">
        <v>0.28789999999999999</v>
      </c>
      <c r="P107" t="str">
        <f>IF(O107&lt;=0.15,"Very Cold",IF(O107&lt;=0.3,"Cold",IF(O107&lt;=0.45,"Pleasant","Hot")))</f>
        <v>Cold</v>
      </c>
      <c r="Q107">
        <v>0.28000000000000003</v>
      </c>
      <c r="R107" t="str">
        <f>IF(Q107&lt;=0.25,"Low ",IF(Q107&lt;=0.5,"Moderate ",IF(Q107&lt;=0.75,"High ","Very High ")))</f>
        <v xml:space="preserve">Moderate </v>
      </c>
      <c r="S107">
        <v>0.19400000000000001</v>
      </c>
      <c r="T107" t="str">
        <f>IF(S107&lt;=0.15,"Calm",IF(S107&lt;=0.3,"Light Wind",IF(S107&lt;=0.45,"Moderate Wind","Strong Wind")))</f>
        <v>Light Wind</v>
      </c>
      <c r="U107">
        <v>10</v>
      </c>
      <c r="V107">
        <v>52</v>
      </c>
      <c r="W107">
        <v>62</v>
      </c>
      <c r="X107" t="str">
        <f>IF(W107&lt;=75,"Low Demand",IF(W107&lt;=150,"Medium Demand",IF(W107&lt;=225,"High Demand","Very High Demand")))</f>
        <v>Low Demand</v>
      </c>
    </row>
    <row r="108" spans="1:24" x14ac:dyDescent="0.25">
      <c r="A108">
        <v>107</v>
      </c>
      <c r="B108" s="2">
        <v>40548</v>
      </c>
      <c r="C108">
        <v>1</v>
      </c>
      <c r="D108">
        <v>0</v>
      </c>
      <c r="E108">
        <v>1</v>
      </c>
      <c r="F108">
        <v>15</v>
      </c>
      <c r="G108" t="str">
        <f>IF(F108&lt;6,"Night",IF(F108&lt;12,"Morning",IF(F108&lt;18,"Afternoon","Evening")))</f>
        <v>Afternoon</v>
      </c>
      <c r="H108">
        <v>0</v>
      </c>
      <c r="I108">
        <v>3</v>
      </c>
      <c r="J108" t="str">
        <f>CHOOSE(I108+1,"Monday","Tuesday","Wednesday","Thursday","Friday","Saturday","Sunday")</f>
        <v>Thursday</v>
      </c>
      <c r="K108">
        <v>1</v>
      </c>
      <c r="L108" t="str">
        <f>CHOOSE(K108+1,"error","Clear","Misty","Rainy","Severe heater")</f>
        <v>Clear</v>
      </c>
      <c r="M108">
        <v>0.3</v>
      </c>
      <c r="N108" t="str">
        <f>IF(M108&lt;=0.2,"Low",IF(M108&lt;=0.4,"Mid","High"))</f>
        <v>Mid</v>
      </c>
      <c r="O108">
        <v>0.28789999999999999</v>
      </c>
      <c r="P108" t="str">
        <f>IF(O108&lt;=0.15,"Very Cold",IF(O108&lt;=0.3,"Cold",IF(O108&lt;=0.45,"Pleasant","Hot")))</f>
        <v>Cold</v>
      </c>
      <c r="Q108">
        <v>0.28000000000000003</v>
      </c>
      <c r="R108" t="str">
        <f>IF(Q108&lt;=0.25,"Low ",IF(Q108&lt;=0.5,"Moderate ",IF(Q108&lt;=0.75,"High ","Very High ")))</f>
        <v xml:space="preserve">Moderate </v>
      </c>
      <c r="S108">
        <v>0.19400000000000001</v>
      </c>
      <c r="T108" t="str">
        <f>IF(S108&lt;=0.15,"Calm",IF(S108&lt;=0.3,"Light Wind",IF(S108&lt;=0.45,"Moderate Wind","Strong Wind")))</f>
        <v>Light Wind</v>
      </c>
      <c r="U108">
        <v>7</v>
      </c>
      <c r="V108">
        <v>55</v>
      </c>
      <c r="W108">
        <v>62</v>
      </c>
      <c r="X108" t="str">
        <f>IF(W108&lt;=75,"Low Demand",IF(W108&lt;=150,"Medium Demand",IF(W108&lt;=225,"High Demand","Very High Demand")))</f>
        <v>Low Demand</v>
      </c>
    </row>
    <row r="109" spans="1:24" x14ac:dyDescent="0.25">
      <c r="A109">
        <v>108</v>
      </c>
      <c r="B109" s="2">
        <v>40548</v>
      </c>
      <c r="C109">
        <v>1</v>
      </c>
      <c r="D109">
        <v>0</v>
      </c>
      <c r="E109">
        <v>1</v>
      </c>
      <c r="F109">
        <v>16</v>
      </c>
      <c r="G109" t="str">
        <f>IF(F109&lt;6,"Night",IF(F109&lt;12,"Morning",IF(F109&lt;18,"Afternoon","Evening")))</f>
        <v>Afternoon</v>
      </c>
      <c r="H109">
        <v>0</v>
      </c>
      <c r="I109">
        <v>3</v>
      </c>
      <c r="J109" t="str">
        <f>CHOOSE(I109+1,"Monday","Tuesday","Wednesday","Thursday","Friday","Saturday","Sunday")</f>
        <v>Thursday</v>
      </c>
      <c r="K109">
        <v>1</v>
      </c>
      <c r="L109" t="str">
        <f>CHOOSE(K109+1,"error","Clear","Misty","Rainy","Severe heater")</f>
        <v>Clear</v>
      </c>
      <c r="M109">
        <v>0.3</v>
      </c>
      <c r="N109" t="str">
        <f>IF(M109&lt;=0.2,"Low",IF(M109&lt;=0.4,"Mid","High"))</f>
        <v>Mid</v>
      </c>
      <c r="O109">
        <v>0.31819999999999998</v>
      </c>
      <c r="P109" t="str">
        <f>IF(O109&lt;=0.15,"Very Cold",IF(O109&lt;=0.3,"Cold",IF(O109&lt;=0.45,"Pleasant","Hot")))</f>
        <v>Pleasant</v>
      </c>
      <c r="Q109">
        <v>0.28000000000000003</v>
      </c>
      <c r="R109" t="str">
        <f>IF(Q109&lt;=0.25,"Low ",IF(Q109&lt;=0.5,"Moderate ",IF(Q109&lt;=0.75,"High ","Very High ")))</f>
        <v xml:space="preserve">Moderate </v>
      </c>
      <c r="S109">
        <v>8.9599999999999999E-2</v>
      </c>
      <c r="T109" t="str">
        <f>IF(S109&lt;=0.15,"Calm",IF(S109&lt;=0.3,"Light Wind",IF(S109&lt;=0.45,"Moderate Wind","Strong Wind")))</f>
        <v>Calm</v>
      </c>
      <c r="U109">
        <v>4</v>
      </c>
      <c r="V109">
        <v>85</v>
      </c>
      <c r="W109">
        <v>89</v>
      </c>
      <c r="X109" t="str">
        <f>IF(W109&lt;=75,"Low Demand",IF(W109&lt;=150,"Medium Demand",IF(W109&lt;=225,"High Demand","Very High Demand")))</f>
        <v>Medium Demand</v>
      </c>
    </row>
    <row r="110" spans="1:24" x14ac:dyDescent="0.25">
      <c r="A110">
        <v>109</v>
      </c>
      <c r="B110" s="2">
        <v>40548</v>
      </c>
      <c r="C110">
        <v>1</v>
      </c>
      <c r="D110">
        <v>0</v>
      </c>
      <c r="E110">
        <v>1</v>
      </c>
      <c r="F110">
        <v>17</v>
      </c>
      <c r="G110" t="str">
        <f>IF(F110&lt;6,"Night",IF(F110&lt;12,"Morning",IF(F110&lt;18,"Afternoon","Evening")))</f>
        <v>Afternoon</v>
      </c>
      <c r="H110">
        <v>0</v>
      </c>
      <c r="I110">
        <v>3</v>
      </c>
      <c r="J110" t="str">
        <f>CHOOSE(I110+1,"Monday","Tuesday","Wednesday","Thursday","Friday","Saturday","Sunday")</f>
        <v>Thursday</v>
      </c>
      <c r="K110">
        <v>1</v>
      </c>
      <c r="L110" t="str">
        <f>CHOOSE(K110+1,"error","Clear","Misty","Rainy","Severe heater")</f>
        <v>Clear</v>
      </c>
      <c r="M110">
        <v>0.24</v>
      </c>
      <c r="N110" t="str">
        <f>IF(M110&lt;=0.2,"Low",IF(M110&lt;=0.4,"Mid","High"))</f>
        <v>Mid</v>
      </c>
      <c r="O110">
        <v>0.2273</v>
      </c>
      <c r="P110" t="str">
        <f>IF(O110&lt;=0.15,"Very Cold",IF(O110&lt;=0.3,"Cold",IF(O110&lt;=0.45,"Pleasant","Hot")))</f>
        <v>Cold</v>
      </c>
      <c r="Q110">
        <v>0.38</v>
      </c>
      <c r="R110" t="str">
        <f>IF(Q110&lt;=0.25,"Low ",IF(Q110&lt;=0.5,"Moderate ",IF(Q110&lt;=0.75,"High ","Very High ")))</f>
        <v xml:space="preserve">Moderate </v>
      </c>
      <c r="S110">
        <v>0.19400000000000001</v>
      </c>
      <c r="T110" t="str">
        <f>IF(S110&lt;=0.15,"Calm",IF(S110&lt;=0.3,"Light Wind",IF(S110&lt;=0.45,"Moderate Wind","Strong Wind")))</f>
        <v>Light Wind</v>
      </c>
      <c r="U110">
        <v>4</v>
      </c>
      <c r="V110">
        <v>186</v>
      </c>
      <c r="W110">
        <v>190</v>
      </c>
      <c r="X110" t="str">
        <f>IF(W110&lt;=75,"Low Demand",IF(W110&lt;=150,"Medium Demand",IF(W110&lt;=225,"High Demand","Very High Demand")))</f>
        <v>High Demand</v>
      </c>
    </row>
    <row r="111" spans="1:24" x14ac:dyDescent="0.25">
      <c r="A111">
        <v>110</v>
      </c>
      <c r="B111" s="2">
        <v>40548</v>
      </c>
      <c r="C111">
        <v>1</v>
      </c>
      <c r="D111">
        <v>0</v>
      </c>
      <c r="E111">
        <v>1</v>
      </c>
      <c r="F111">
        <v>18</v>
      </c>
      <c r="G111" t="str">
        <f>IF(F111&lt;6,"Night",IF(F111&lt;12,"Morning",IF(F111&lt;18,"Afternoon","Evening")))</f>
        <v>Evening</v>
      </c>
      <c r="H111">
        <v>0</v>
      </c>
      <c r="I111">
        <v>3</v>
      </c>
      <c r="J111" t="str">
        <f>CHOOSE(I111+1,"Monday","Tuesday","Wednesday","Thursday","Friday","Saturday","Sunday")</f>
        <v>Thursday</v>
      </c>
      <c r="K111">
        <v>1</v>
      </c>
      <c r="L111" t="str">
        <f>CHOOSE(K111+1,"error","Clear","Misty","Rainy","Severe heater")</f>
        <v>Clear</v>
      </c>
      <c r="M111">
        <v>0.24</v>
      </c>
      <c r="N111" t="str">
        <f>IF(M111&lt;=0.2,"Low",IF(M111&lt;=0.4,"Mid","High"))</f>
        <v>Mid</v>
      </c>
      <c r="O111">
        <v>0.2424</v>
      </c>
      <c r="P111" t="str">
        <f>IF(O111&lt;=0.15,"Very Cold",IF(O111&lt;=0.3,"Cold",IF(O111&lt;=0.45,"Pleasant","Hot")))</f>
        <v>Cold</v>
      </c>
      <c r="Q111">
        <v>0.38</v>
      </c>
      <c r="R111" t="str">
        <f>IF(Q111&lt;=0.25,"Low ",IF(Q111&lt;=0.5,"Moderate ",IF(Q111&lt;=0.75,"High ","Very High ")))</f>
        <v xml:space="preserve">Moderate </v>
      </c>
      <c r="S111">
        <v>0.1343</v>
      </c>
      <c r="T111" t="str">
        <f>IF(S111&lt;=0.15,"Calm",IF(S111&lt;=0.3,"Light Wind",IF(S111&lt;=0.45,"Moderate Wind","Strong Wind")))</f>
        <v>Calm</v>
      </c>
      <c r="U111">
        <v>3</v>
      </c>
      <c r="V111">
        <v>166</v>
      </c>
      <c r="W111">
        <v>169</v>
      </c>
      <c r="X111" t="str">
        <f>IF(W111&lt;=75,"Low Demand",IF(W111&lt;=150,"Medium Demand",IF(W111&lt;=225,"High Demand","Very High Demand")))</f>
        <v>High Demand</v>
      </c>
    </row>
    <row r="112" spans="1:24" x14ac:dyDescent="0.25">
      <c r="A112">
        <v>111</v>
      </c>
      <c r="B112" s="2">
        <v>40548</v>
      </c>
      <c r="C112">
        <v>1</v>
      </c>
      <c r="D112">
        <v>0</v>
      </c>
      <c r="E112">
        <v>1</v>
      </c>
      <c r="F112">
        <v>19</v>
      </c>
      <c r="G112" t="str">
        <f>IF(F112&lt;6,"Night",IF(F112&lt;12,"Morning",IF(F112&lt;18,"Afternoon","Evening")))</f>
        <v>Evening</v>
      </c>
      <c r="H112">
        <v>0</v>
      </c>
      <c r="I112">
        <v>3</v>
      </c>
      <c r="J112" t="str">
        <f>CHOOSE(I112+1,"Monday","Tuesday","Wednesday","Thursday","Friday","Saturday","Sunday")</f>
        <v>Thursday</v>
      </c>
      <c r="K112">
        <v>1</v>
      </c>
      <c r="L112" t="str">
        <f>CHOOSE(K112+1,"error","Clear","Misty","Rainy","Severe heater")</f>
        <v>Clear</v>
      </c>
      <c r="M112">
        <v>0.24</v>
      </c>
      <c r="N112" t="str">
        <f>IF(M112&lt;=0.2,"Low",IF(M112&lt;=0.4,"Mid","High"))</f>
        <v>Mid</v>
      </c>
      <c r="O112">
        <v>0.2576</v>
      </c>
      <c r="P112" t="str">
        <f>IF(O112&lt;=0.15,"Very Cold",IF(O112&lt;=0.3,"Cold",IF(O112&lt;=0.45,"Pleasant","Hot")))</f>
        <v>Cold</v>
      </c>
      <c r="Q112">
        <v>0.38</v>
      </c>
      <c r="R112" t="str">
        <f>IF(Q112&lt;=0.25,"Low ",IF(Q112&lt;=0.5,"Moderate ",IF(Q112&lt;=0.75,"High ","Very High ")))</f>
        <v xml:space="preserve">Moderate </v>
      </c>
      <c r="S112">
        <v>0.1045</v>
      </c>
      <c r="T112" t="str">
        <f>IF(S112&lt;=0.15,"Calm",IF(S112&lt;=0.3,"Light Wind",IF(S112&lt;=0.45,"Moderate Wind","Strong Wind")))</f>
        <v>Calm</v>
      </c>
      <c r="U112">
        <v>5</v>
      </c>
      <c r="V112">
        <v>127</v>
      </c>
      <c r="W112">
        <v>132</v>
      </c>
      <c r="X112" t="str">
        <f>IF(W112&lt;=75,"Low Demand",IF(W112&lt;=150,"Medium Demand",IF(W112&lt;=225,"High Demand","Very High Demand")))</f>
        <v>Medium Demand</v>
      </c>
    </row>
    <row r="113" spans="1:24" x14ac:dyDescent="0.25">
      <c r="A113">
        <v>112</v>
      </c>
      <c r="B113" s="2">
        <v>40548</v>
      </c>
      <c r="C113">
        <v>1</v>
      </c>
      <c r="D113">
        <v>0</v>
      </c>
      <c r="E113">
        <v>1</v>
      </c>
      <c r="F113">
        <v>20</v>
      </c>
      <c r="G113" t="str">
        <f>IF(F113&lt;6,"Night",IF(F113&lt;12,"Morning",IF(F113&lt;18,"Afternoon","Evening")))</f>
        <v>Evening</v>
      </c>
      <c r="H113">
        <v>0</v>
      </c>
      <c r="I113">
        <v>3</v>
      </c>
      <c r="J113" t="str">
        <f>CHOOSE(I113+1,"Monday","Tuesday","Wednesday","Thursday","Friday","Saturday","Sunday")</f>
        <v>Thursday</v>
      </c>
      <c r="K113">
        <v>1</v>
      </c>
      <c r="L113" t="str">
        <f>CHOOSE(K113+1,"error","Clear","Misty","Rainy","Severe heater")</f>
        <v>Clear</v>
      </c>
      <c r="M113">
        <v>0.22</v>
      </c>
      <c r="N113" t="str">
        <f>IF(M113&lt;=0.2,"Low",IF(M113&lt;=0.4,"Mid","High"))</f>
        <v>Mid</v>
      </c>
      <c r="O113">
        <v>0.2273</v>
      </c>
      <c r="P113" t="str">
        <f>IF(O113&lt;=0.15,"Very Cold",IF(O113&lt;=0.3,"Cold",IF(O113&lt;=0.45,"Pleasant","Hot")))</f>
        <v>Cold</v>
      </c>
      <c r="Q113">
        <v>0.47</v>
      </c>
      <c r="R113" t="str">
        <f>IF(Q113&lt;=0.25,"Low ",IF(Q113&lt;=0.5,"Moderate ",IF(Q113&lt;=0.75,"High ","Very High ")))</f>
        <v xml:space="preserve">Moderate </v>
      </c>
      <c r="S113">
        <v>0.16420000000000001</v>
      </c>
      <c r="T113" t="str">
        <f>IF(S113&lt;=0.15,"Calm",IF(S113&lt;=0.3,"Light Wind",IF(S113&lt;=0.45,"Moderate Wind","Strong Wind")))</f>
        <v>Light Wind</v>
      </c>
      <c r="U113">
        <v>7</v>
      </c>
      <c r="V113">
        <v>82</v>
      </c>
      <c r="W113">
        <v>89</v>
      </c>
      <c r="X113" t="str">
        <f>IF(W113&lt;=75,"Low Demand",IF(W113&lt;=150,"Medium Demand",IF(W113&lt;=225,"High Demand","Very High Demand")))</f>
        <v>Medium Demand</v>
      </c>
    </row>
    <row r="114" spans="1:24" x14ac:dyDescent="0.25">
      <c r="A114">
        <v>113</v>
      </c>
      <c r="B114" s="2">
        <v>40548</v>
      </c>
      <c r="C114">
        <v>1</v>
      </c>
      <c r="D114">
        <v>0</v>
      </c>
      <c r="E114">
        <v>1</v>
      </c>
      <c r="F114">
        <v>21</v>
      </c>
      <c r="G114" t="str">
        <f>IF(F114&lt;6,"Night",IF(F114&lt;12,"Morning",IF(F114&lt;18,"Afternoon","Evening")))</f>
        <v>Evening</v>
      </c>
      <c r="H114">
        <v>0</v>
      </c>
      <c r="I114">
        <v>3</v>
      </c>
      <c r="J114" t="str">
        <f>CHOOSE(I114+1,"Monday","Tuesday","Wednesday","Thursday","Friday","Saturday","Sunday")</f>
        <v>Thursday</v>
      </c>
      <c r="K114">
        <v>1</v>
      </c>
      <c r="L114" t="str">
        <f>CHOOSE(K114+1,"error","Clear","Misty","Rainy","Severe heater")</f>
        <v>Clear</v>
      </c>
      <c r="M114">
        <v>0.2</v>
      </c>
      <c r="N114" t="str">
        <f>IF(M114&lt;=0.2,"Low",IF(M114&lt;=0.4,"Mid","High"))</f>
        <v>Low</v>
      </c>
      <c r="O114">
        <v>0.19700000000000001</v>
      </c>
      <c r="P114" t="str">
        <f>IF(O114&lt;=0.15,"Very Cold",IF(O114&lt;=0.3,"Cold",IF(O114&lt;=0.45,"Pleasant","Hot")))</f>
        <v>Cold</v>
      </c>
      <c r="Q114">
        <v>0.51</v>
      </c>
      <c r="R114" t="str">
        <f>IF(Q114&lt;=0.25,"Low ",IF(Q114&lt;=0.5,"Moderate ",IF(Q114&lt;=0.75,"High ","Very High ")))</f>
        <v xml:space="preserve">High </v>
      </c>
      <c r="S114">
        <v>0.19400000000000001</v>
      </c>
      <c r="T114" t="str">
        <f>IF(S114&lt;=0.15,"Calm",IF(S114&lt;=0.3,"Light Wind",IF(S114&lt;=0.45,"Moderate Wind","Strong Wind")))</f>
        <v>Light Wind</v>
      </c>
      <c r="U114">
        <v>3</v>
      </c>
      <c r="V114">
        <v>40</v>
      </c>
      <c r="W114">
        <v>43</v>
      </c>
      <c r="X114" t="str">
        <f>IF(W114&lt;=75,"Low Demand",IF(W114&lt;=150,"Medium Demand",IF(W114&lt;=225,"High Demand","Very High Demand")))</f>
        <v>Low Demand</v>
      </c>
    </row>
    <row r="115" spans="1:24" x14ac:dyDescent="0.25">
      <c r="A115">
        <v>114</v>
      </c>
      <c r="B115" s="2">
        <v>40548</v>
      </c>
      <c r="C115">
        <v>1</v>
      </c>
      <c r="D115">
        <v>0</v>
      </c>
      <c r="E115">
        <v>1</v>
      </c>
      <c r="F115">
        <v>22</v>
      </c>
      <c r="G115" t="str">
        <f>IF(F115&lt;6,"Night",IF(F115&lt;12,"Morning",IF(F115&lt;18,"Afternoon","Evening")))</f>
        <v>Evening</v>
      </c>
      <c r="H115">
        <v>0</v>
      </c>
      <c r="I115">
        <v>3</v>
      </c>
      <c r="J115" t="str">
        <f>CHOOSE(I115+1,"Monday","Tuesday","Wednesday","Thursday","Friday","Saturday","Sunday")</f>
        <v>Thursday</v>
      </c>
      <c r="K115">
        <v>1</v>
      </c>
      <c r="L115" t="str">
        <f>CHOOSE(K115+1,"error","Clear","Misty","Rainy","Severe heater")</f>
        <v>Clear</v>
      </c>
      <c r="M115">
        <v>0.18</v>
      </c>
      <c r="N115" t="str">
        <f>IF(M115&lt;=0.2,"Low",IF(M115&lt;=0.4,"Mid","High"))</f>
        <v>Low</v>
      </c>
      <c r="O115">
        <v>0.19700000000000001</v>
      </c>
      <c r="P115" t="str">
        <f>IF(O115&lt;=0.15,"Very Cold",IF(O115&lt;=0.3,"Cold",IF(O115&lt;=0.45,"Pleasant","Hot")))</f>
        <v>Cold</v>
      </c>
      <c r="Q115">
        <v>0.55000000000000004</v>
      </c>
      <c r="R115" t="str">
        <f>IF(Q115&lt;=0.25,"Low ",IF(Q115&lt;=0.5,"Moderate ",IF(Q115&lt;=0.75,"High ","Very High ")))</f>
        <v xml:space="preserve">High </v>
      </c>
      <c r="S115">
        <v>0.1343</v>
      </c>
      <c r="T115" t="str">
        <f>IF(S115&lt;=0.15,"Calm",IF(S115&lt;=0.3,"Light Wind",IF(S115&lt;=0.45,"Moderate Wind","Strong Wind")))</f>
        <v>Calm</v>
      </c>
      <c r="U115">
        <v>1</v>
      </c>
      <c r="V115">
        <v>41</v>
      </c>
      <c r="W115">
        <v>42</v>
      </c>
      <c r="X115" t="str">
        <f>IF(W115&lt;=75,"Low Demand",IF(W115&lt;=150,"Medium Demand",IF(W115&lt;=225,"High Demand","Very High Demand")))</f>
        <v>Low Demand</v>
      </c>
    </row>
    <row r="116" spans="1:24" x14ac:dyDescent="0.25">
      <c r="A116">
        <v>115</v>
      </c>
      <c r="B116" s="2">
        <v>40548</v>
      </c>
      <c r="C116">
        <v>1</v>
      </c>
      <c r="D116">
        <v>0</v>
      </c>
      <c r="E116">
        <v>1</v>
      </c>
      <c r="F116">
        <v>23</v>
      </c>
      <c r="G116" t="str">
        <f>IF(F116&lt;6,"Night",IF(F116&lt;12,"Morning",IF(F116&lt;18,"Afternoon","Evening")))</f>
        <v>Evening</v>
      </c>
      <c r="H116">
        <v>0</v>
      </c>
      <c r="I116">
        <v>3</v>
      </c>
      <c r="J116" t="str">
        <f>CHOOSE(I116+1,"Monday","Tuesday","Wednesday","Thursday","Friday","Saturday","Sunday")</f>
        <v>Thursday</v>
      </c>
      <c r="K116">
        <v>1</v>
      </c>
      <c r="L116" t="str">
        <f>CHOOSE(K116+1,"error","Clear","Misty","Rainy","Severe heater")</f>
        <v>Clear</v>
      </c>
      <c r="M116">
        <v>0.2</v>
      </c>
      <c r="N116" t="str">
        <f>IF(M116&lt;=0.2,"Low",IF(M116&lt;=0.4,"Mid","High"))</f>
        <v>Low</v>
      </c>
      <c r="O116">
        <v>0.2576</v>
      </c>
      <c r="P116" t="str">
        <f>IF(O116&lt;=0.15,"Very Cold",IF(O116&lt;=0.3,"Cold",IF(O116&lt;=0.45,"Pleasant","Hot")))</f>
        <v>Cold</v>
      </c>
      <c r="Q116">
        <v>0.47</v>
      </c>
      <c r="R116" t="str">
        <f>IF(Q116&lt;=0.25,"Low ",IF(Q116&lt;=0.5,"Moderate ",IF(Q116&lt;=0.75,"High ","Very High ")))</f>
        <v xml:space="preserve">Moderate </v>
      </c>
      <c r="S116">
        <v>0</v>
      </c>
      <c r="T116" t="str">
        <f>IF(S116&lt;=0.15,"Calm",IF(S116&lt;=0.3,"Light Wind",IF(S116&lt;=0.45,"Moderate Wind","Strong Wind")))</f>
        <v>Calm</v>
      </c>
      <c r="U116">
        <v>1</v>
      </c>
      <c r="V116">
        <v>18</v>
      </c>
      <c r="W116">
        <v>19</v>
      </c>
      <c r="X116" t="str">
        <f>IF(W116&lt;=75,"Low Demand",IF(W116&lt;=150,"Medium Demand",IF(W116&lt;=225,"High Demand","Very High Demand")))</f>
        <v>Low Demand</v>
      </c>
    </row>
    <row r="117" spans="1:24" x14ac:dyDescent="0.25">
      <c r="A117">
        <v>116</v>
      </c>
      <c r="B117" s="2">
        <v>40549</v>
      </c>
      <c r="C117">
        <v>1</v>
      </c>
      <c r="D117">
        <v>0</v>
      </c>
      <c r="E117">
        <v>1</v>
      </c>
      <c r="F117">
        <v>0</v>
      </c>
      <c r="G117" t="str">
        <f>IF(F117&lt;6,"Night",IF(F117&lt;12,"Morning",IF(F117&lt;18,"Afternoon","Evening")))</f>
        <v>Night</v>
      </c>
      <c r="H117">
        <v>0</v>
      </c>
      <c r="I117">
        <v>4</v>
      </c>
      <c r="J117" t="str">
        <f>CHOOSE(I117+1,"Monday","Tuesday","Wednesday","Thursday","Friday","Saturday","Sunday")</f>
        <v>Friday</v>
      </c>
      <c r="K117">
        <v>1</v>
      </c>
      <c r="L117" t="str">
        <f>CHOOSE(K117+1,"error","Clear","Misty","Rainy","Severe heater")</f>
        <v>Clear</v>
      </c>
      <c r="M117">
        <v>0.18</v>
      </c>
      <c r="N117" t="str">
        <f>IF(M117&lt;=0.2,"Low",IF(M117&lt;=0.4,"Mid","High"))</f>
        <v>Low</v>
      </c>
      <c r="O117">
        <v>0.2424</v>
      </c>
      <c r="P117" t="str">
        <f>IF(O117&lt;=0.15,"Very Cold",IF(O117&lt;=0.3,"Cold",IF(O117&lt;=0.45,"Pleasant","Hot")))</f>
        <v>Cold</v>
      </c>
      <c r="Q117">
        <v>0.55000000000000004</v>
      </c>
      <c r="R117" t="str">
        <f>IF(Q117&lt;=0.25,"Low ",IF(Q117&lt;=0.5,"Moderate ",IF(Q117&lt;=0.75,"High ","Very High ")))</f>
        <v xml:space="preserve">High </v>
      </c>
      <c r="S117">
        <v>0</v>
      </c>
      <c r="T117" t="str">
        <f>IF(S117&lt;=0.15,"Calm",IF(S117&lt;=0.3,"Light Wind",IF(S117&lt;=0.45,"Moderate Wind","Strong Wind")))</f>
        <v>Calm</v>
      </c>
      <c r="U117">
        <v>0</v>
      </c>
      <c r="V117">
        <v>11</v>
      </c>
      <c r="W117">
        <v>11</v>
      </c>
      <c r="X117" t="str">
        <f>IF(W117&lt;=75,"Low Demand",IF(W117&lt;=150,"Medium Demand",IF(W117&lt;=225,"High Demand","Very High Demand")))</f>
        <v>Low Demand</v>
      </c>
    </row>
    <row r="118" spans="1:24" x14ac:dyDescent="0.25">
      <c r="A118">
        <v>117</v>
      </c>
      <c r="B118" s="2">
        <v>40549</v>
      </c>
      <c r="C118">
        <v>1</v>
      </c>
      <c r="D118">
        <v>0</v>
      </c>
      <c r="E118">
        <v>1</v>
      </c>
      <c r="F118">
        <v>1</v>
      </c>
      <c r="G118" t="str">
        <f>IF(F118&lt;6,"Night",IF(F118&lt;12,"Morning",IF(F118&lt;18,"Afternoon","Evening")))</f>
        <v>Night</v>
      </c>
      <c r="H118">
        <v>0</v>
      </c>
      <c r="I118">
        <v>4</v>
      </c>
      <c r="J118" t="str">
        <f>CHOOSE(I118+1,"Monday","Tuesday","Wednesday","Thursday","Friday","Saturday","Sunday")</f>
        <v>Friday</v>
      </c>
      <c r="K118">
        <v>1</v>
      </c>
      <c r="L118" t="str">
        <f>CHOOSE(K118+1,"error","Clear","Misty","Rainy","Severe heater")</f>
        <v>Clear</v>
      </c>
      <c r="M118">
        <v>0.16</v>
      </c>
      <c r="N118" t="str">
        <f>IF(M118&lt;=0.2,"Low",IF(M118&lt;=0.4,"Mid","High"))</f>
        <v>Low</v>
      </c>
      <c r="O118">
        <v>0.2273</v>
      </c>
      <c r="P118" t="str">
        <f>IF(O118&lt;=0.15,"Very Cold",IF(O118&lt;=0.3,"Cold",IF(O118&lt;=0.45,"Pleasant","Hot")))</f>
        <v>Cold</v>
      </c>
      <c r="Q118">
        <v>0.64</v>
      </c>
      <c r="R118" t="str">
        <f>IF(Q118&lt;=0.25,"Low ",IF(Q118&lt;=0.5,"Moderate ",IF(Q118&lt;=0.75,"High ","Very High ")))</f>
        <v xml:space="preserve">High </v>
      </c>
      <c r="S118">
        <v>0</v>
      </c>
      <c r="T118" t="str">
        <f>IF(S118&lt;=0.15,"Calm",IF(S118&lt;=0.3,"Light Wind",IF(S118&lt;=0.45,"Moderate Wind","Strong Wind")))</f>
        <v>Calm</v>
      </c>
      <c r="U118">
        <v>0</v>
      </c>
      <c r="V118">
        <v>4</v>
      </c>
      <c r="W118">
        <v>4</v>
      </c>
      <c r="X118" t="str">
        <f>IF(W118&lt;=75,"Low Demand",IF(W118&lt;=150,"Medium Demand",IF(W118&lt;=225,"High Demand","Very High Demand")))</f>
        <v>Low Demand</v>
      </c>
    </row>
    <row r="119" spans="1:24" x14ac:dyDescent="0.25">
      <c r="A119">
        <v>118</v>
      </c>
      <c r="B119" s="2">
        <v>40549</v>
      </c>
      <c r="C119">
        <v>1</v>
      </c>
      <c r="D119">
        <v>0</v>
      </c>
      <c r="E119">
        <v>1</v>
      </c>
      <c r="F119">
        <v>2</v>
      </c>
      <c r="G119" t="str">
        <f>IF(F119&lt;6,"Night",IF(F119&lt;12,"Morning",IF(F119&lt;18,"Afternoon","Evening")))</f>
        <v>Night</v>
      </c>
      <c r="H119">
        <v>0</v>
      </c>
      <c r="I119">
        <v>4</v>
      </c>
      <c r="J119" t="str">
        <f>CHOOSE(I119+1,"Monday","Tuesday","Wednesday","Thursday","Friday","Saturday","Sunday")</f>
        <v>Friday</v>
      </c>
      <c r="K119">
        <v>1</v>
      </c>
      <c r="L119" t="str">
        <f>CHOOSE(K119+1,"error","Clear","Misty","Rainy","Severe heater")</f>
        <v>Clear</v>
      </c>
      <c r="M119">
        <v>0.16</v>
      </c>
      <c r="N119" t="str">
        <f>IF(M119&lt;=0.2,"Low",IF(M119&lt;=0.4,"Mid","High"))</f>
        <v>Low</v>
      </c>
      <c r="O119">
        <v>0.2273</v>
      </c>
      <c r="P119" t="str">
        <f>IF(O119&lt;=0.15,"Very Cold",IF(O119&lt;=0.3,"Cold",IF(O119&lt;=0.45,"Pleasant","Hot")))</f>
        <v>Cold</v>
      </c>
      <c r="Q119">
        <v>0.64</v>
      </c>
      <c r="R119" t="str">
        <f>IF(Q119&lt;=0.25,"Low ",IF(Q119&lt;=0.5,"Moderate ",IF(Q119&lt;=0.75,"High ","Very High ")))</f>
        <v xml:space="preserve">High </v>
      </c>
      <c r="S119">
        <v>0</v>
      </c>
      <c r="T119" t="str">
        <f>IF(S119&lt;=0.15,"Calm",IF(S119&lt;=0.3,"Light Wind",IF(S119&lt;=0.45,"Moderate Wind","Strong Wind")))</f>
        <v>Calm</v>
      </c>
      <c r="U119">
        <v>0</v>
      </c>
      <c r="V119">
        <v>2</v>
      </c>
      <c r="W119">
        <v>2</v>
      </c>
      <c r="X119" t="str">
        <f>IF(W119&lt;=75,"Low Demand",IF(W119&lt;=150,"Medium Demand",IF(W119&lt;=225,"High Demand","Very High Demand")))</f>
        <v>Low Demand</v>
      </c>
    </row>
    <row r="120" spans="1:24" x14ac:dyDescent="0.25">
      <c r="A120">
        <v>119</v>
      </c>
      <c r="B120" s="2">
        <v>40549</v>
      </c>
      <c r="C120">
        <v>1</v>
      </c>
      <c r="D120">
        <v>0</v>
      </c>
      <c r="E120">
        <v>1</v>
      </c>
      <c r="F120">
        <v>4</v>
      </c>
      <c r="G120" t="str">
        <f>IF(F120&lt;6,"Night",IF(F120&lt;12,"Morning",IF(F120&lt;18,"Afternoon","Evening")))</f>
        <v>Night</v>
      </c>
      <c r="H120">
        <v>0</v>
      </c>
      <c r="I120">
        <v>4</v>
      </c>
      <c r="J120" t="str">
        <f>CHOOSE(I120+1,"Monday","Tuesday","Wednesday","Thursday","Friday","Saturday","Sunday")</f>
        <v>Friday</v>
      </c>
      <c r="K120">
        <v>2</v>
      </c>
      <c r="L120" t="str">
        <f>CHOOSE(K120+1,"error","Clear","Misty","Rainy","Severe heater")</f>
        <v>Misty</v>
      </c>
      <c r="M120">
        <v>0.16</v>
      </c>
      <c r="N120" t="str">
        <f>IF(M120&lt;=0.2,"Low",IF(M120&lt;=0.4,"Mid","High"))</f>
        <v>Low</v>
      </c>
      <c r="O120">
        <v>0.19700000000000001</v>
      </c>
      <c r="P120" t="str">
        <f>IF(O120&lt;=0.15,"Very Cold",IF(O120&lt;=0.3,"Cold",IF(O120&lt;=0.45,"Pleasant","Hot")))</f>
        <v>Cold</v>
      </c>
      <c r="Q120">
        <v>0.64</v>
      </c>
      <c r="R120" t="str">
        <f>IF(Q120&lt;=0.25,"Low ",IF(Q120&lt;=0.5,"Moderate ",IF(Q120&lt;=0.75,"High ","Very High ")))</f>
        <v xml:space="preserve">High </v>
      </c>
      <c r="S120">
        <v>8.9599999999999999E-2</v>
      </c>
      <c r="T120" t="str">
        <f>IF(S120&lt;=0.15,"Calm",IF(S120&lt;=0.3,"Light Wind",IF(S120&lt;=0.45,"Moderate Wind","Strong Wind")))</f>
        <v>Calm</v>
      </c>
      <c r="U120">
        <v>0</v>
      </c>
      <c r="V120">
        <v>1</v>
      </c>
      <c r="W120">
        <v>1</v>
      </c>
      <c r="X120" t="str">
        <f>IF(W120&lt;=75,"Low Demand",IF(W120&lt;=150,"Medium Demand",IF(W120&lt;=225,"High Demand","Very High Demand")))</f>
        <v>Low Demand</v>
      </c>
    </row>
    <row r="121" spans="1:24" x14ac:dyDescent="0.25">
      <c r="A121">
        <v>120</v>
      </c>
      <c r="B121" s="2">
        <v>40549</v>
      </c>
      <c r="C121">
        <v>1</v>
      </c>
      <c r="D121">
        <v>0</v>
      </c>
      <c r="E121">
        <v>1</v>
      </c>
      <c r="F121">
        <v>5</v>
      </c>
      <c r="G121" t="str">
        <f>IF(F121&lt;6,"Night",IF(F121&lt;12,"Morning",IF(F121&lt;18,"Afternoon","Evening")))</f>
        <v>Night</v>
      </c>
      <c r="H121">
        <v>0</v>
      </c>
      <c r="I121">
        <v>4</v>
      </c>
      <c r="J121" t="str">
        <f>CHOOSE(I121+1,"Monday","Tuesday","Wednesday","Thursday","Friday","Saturday","Sunday")</f>
        <v>Friday</v>
      </c>
      <c r="K121">
        <v>2</v>
      </c>
      <c r="L121" t="str">
        <f>CHOOSE(K121+1,"error","Clear","Misty","Rainy","Severe heater")</f>
        <v>Misty</v>
      </c>
      <c r="M121">
        <v>0.14000000000000001</v>
      </c>
      <c r="N121" t="str">
        <f>IF(M121&lt;=0.2,"Low",IF(M121&lt;=0.4,"Mid","High"))</f>
        <v>Low</v>
      </c>
      <c r="O121">
        <v>0.18179999999999999</v>
      </c>
      <c r="P121" t="str">
        <f>IF(O121&lt;=0.15,"Very Cold",IF(O121&lt;=0.3,"Cold",IF(O121&lt;=0.45,"Pleasant","Hot")))</f>
        <v>Cold</v>
      </c>
      <c r="Q121">
        <v>0.69</v>
      </c>
      <c r="R121" t="str">
        <f>IF(Q121&lt;=0.25,"Low ",IF(Q121&lt;=0.5,"Moderate ",IF(Q121&lt;=0.75,"High ","Very High ")))</f>
        <v xml:space="preserve">High </v>
      </c>
      <c r="S121">
        <v>8.9599999999999999E-2</v>
      </c>
      <c r="T121" t="str">
        <f>IF(S121&lt;=0.15,"Calm",IF(S121&lt;=0.3,"Light Wind",IF(S121&lt;=0.45,"Moderate Wind","Strong Wind")))</f>
        <v>Calm</v>
      </c>
      <c r="U121">
        <v>0</v>
      </c>
      <c r="V121">
        <v>4</v>
      </c>
      <c r="W121">
        <v>4</v>
      </c>
      <c r="X121" t="str">
        <f>IF(W121&lt;=75,"Low Demand",IF(W121&lt;=150,"Medium Demand",IF(W121&lt;=225,"High Demand","Very High Demand")))</f>
        <v>Low Demand</v>
      </c>
    </row>
    <row r="122" spans="1:24" x14ac:dyDescent="0.25">
      <c r="A122">
        <v>121</v>
      </c>
      <c r="B122" s="2">
        <v>40549</v>
      </c>
      <c r="C122">
        <v>1</v>
      </c>
      <c r="D122">
        <v>0</v>
      </c>
      <c r="E122">
        <v>1</v>
      </c>
      <c r="F122">
        <v>6</v>
      </c>
      <c r="G122" t="str">
        <f>IF(F122&lt;6,"Night",IF(F122&lt;12,"Morning",IF(F122&lt;18,"Afternoon","Evening")))</f>
        <v>Morning</v>
      </c>
      <c r="H122">
        <v>0</v>
      </c>
      <c r="I122">
        <v>4</v>
      </c>
      <c r="J122" t="str">
        <f>CHOOSE(I122+1,"Monday","Tuesday","Wednesday","Thursday","Friday","Saturday","Sunday")</f>
        <v>Friday</v>
      </c>
      <c r="K122">
        <v>2</v>
      </c>
      <c r="L122" t="str">
        <f>CHOOSE(K122+1,"error","Clear","Misty","Rainy","Severe heater")</f>
        <v>Misty</v>
      </c>
      <c r="M122">
        <v>0.14000000000000001</v>
      </c>
      <c r="N122" t="str">
        <f>IF(M122&lt;=0.2,"Low",IF(M122&lt;=0.4,"Mid","High"))</f>
        <v>Low</v>
      </c>
      <c r="O122">
        <v>0.16669999999999999</v>
      </c>
      <c r="P122" t="str">
        <f>IF(O122&lt;=0.15,"Very Cold",IF(O122&lt;=0.3,"Cold",IF(O122&lt;=0.45,"Pleasant","Hot")))</f>
        <v>Cold</v>
      </c>
      <c r="Q122">
        <v>0.63</v>
      </c>
      <c r="R122" t="str">
        <f>IF(Q122&lt;=0.25,"Low ",IF(Q122&lt;=0.5,"Moderate ",IF(Q122&lt;=0.75,"High ","Very High ")))</f>
        <v xml:space="preserve">High </v>
      </c>
      <c r="S122">
        <v>0.1045</v>
      </c>
      <c r="T122" t="str">
        <f>IF(S122&lt;=0.15,"Calm",IF(S122&lt;=0.3,"Light Wind",IF(S122&lt;=0.45,"Moderate Wind","Strong Wind")))</f>
        <v>Calm</v>
      </c>
      <c r="U122">
        <v>0</v>
      </c>
      <c r="V122">
        <v>36</v>
      </c>
      <c r="W122">
        <v>36</v>
      </c>
      <c r="X122" t="str">
        <f>IF(W122&lt;=75,"Low Demand",IF(W122&lt;=150,"Medium Demand",IF(W122&lt;=225,"High Demand","Very High Demand")))</f>
        <v>Low Demand</v>
      </c>
    </row>
    <row r="123" spans="1:24" x14ac:dyDescent="0.25">
      <c r="A123">
        <v>122</v>
      </c>
      <c r="B123" s="2">
        <v>40549</v>
      </c>
      <c r="C123">
        <v>1</v>
      </c>
      <c r="D123">
        <v>0</v>
      </c>
      <c r="E123">
        <v>1</v>
      </c>
      <c r="F123">
        <v>7</v>
      </c>
      <c r="G123" t="str">
        <f>IF(F123&lt;6,"Night",IF(F123&lt;12,"Morning",IF(F123&lt;18,"Afternoon","Evening")))</f>
        <v>Morning</v>
      </c>
      <c r="H123">
        <v>0</v>
      </c>
      <c r="I123">
        <v>4</v>
      </c>
      <c r="J123" t="str">
        <f>CHOOSE(I123+1,"Monday","Tuesday","Wednesday","Thursday","Friday","Saturday","Sunday")</f>
        <v>Friday</v>
      </c>
      <c r="K123">
        <v>2</v>
      </c>
      <c r="L123" t="str">
        <f>CHOOSE(K123+1,"error","Clear","Misty","Rainy","Severe heater")</f>
        <v>Misty</v>
      </c>
      <c r="M123">
        <v>0.16</v>
      </c>
      <c r="N123" t="str">
        <f>IF(M123&lt;=0.2,"Low",IF(M123&lt;=0.4,"Mid","High"))</f>
        <v>Low</v>
      </c>
      <c r="O123">
        <v>0.2273</v>
      </c>
      <c r="P123" t="str">
        <f>IF(O123&lt;=0.15,"Very Cold",IF(O123&lt;=0.3,"Cold",IF(O123&lt;=0.45,"Pleasant","Hot")))</f>
        <v>Cold</v>
      </c>
      <c r="Q123">
        <v>0.59</v>
      </c>
      <c r="R123" t="str">
        <f>IF(Q123&lt;=0.25,"Low ",IF(Q123&lt;=0.5,"Moderate ",IF(Q123&lt;=0.75,"High ","Very High ")))</f>
        <v xml:space="preserve">High </v>
      </c>
      <c r="S123">
        <v>0</v>
      </c>
      <c r="T123" t="str">
        <f>IF(S123&lt;=0.15,"Calm",IF(S123&lt;=0.3,"Light Wind",IF(S123&lt;=0.45,"Moderate Wind","Strong Wind")))</f>
        <v>Calm</v>
      </c>
      <c r="U123">
        <v>0</v>
      </c>
      <c r="V123">
        <v>95</v>
      </c>
      <c r="W123">
        <v>95</v>
      </c>
      <c r="X123" t="str">
        <f>IF(W123&lt;=75,"Low Demand",IF(W123&lt;=150,"Medium Demand",IF(W123&lt;=225,"High Demand","Very High Demand")))</f>
        <v>Medium Demand</v>
      </c>
    </row>
    <row r="124" spans="1:24" x14ac:dyDescent="0.25">
      <c r="A124">
        <v>123</v>
      </c>
      <c r="B124" s="2">
        <v>40549</v>
      </c>
      <c r="C124">
        <v>1</v>
      </c>
      <c r="D124">
        <v>0</v>
      </c>
      <c r="E124">
        <v>1</v>
      </c>
      <c r="F124">
        <v>8</v>
      </c>
      <c r="G124" t="str">
        <f>IF(F124&lt;6,"Night",IF(F124&lt;12,"Morning",IF(F124&lt;18,"Afternoon","Evening")))</f>
        <v>Morning</v>
      </c>
      <c r="H124">
        <v>0</v>
      </c>
      <c r="I124">
        <v>4</v>
      </c>
      <c r="J124" t="str">
        <f>CHOOSE(I124+1,"Monday","Tuesday","Wednesday","Thursday","Friday","Saturday","Sunday")</f>
        <v>Friday</v>
      </c>
      <c r="K124">
        <v>1</v>
      </c>
      <c r="L124" t="str">
        <f>CHOOSE(K124+1,"error","Clear","Misty","Rainy","Severe heater")</f>
        <v>Clear</v>
      </c>
      <c r="M124">
        <v>0.16</v>
      </c>
      <c r="N124" t="str">
        <f>IF(M124&lt;=0.2,"Low",IF(M124&lt;=0.4,"Mid","High"))</f>
        <v>Low</v>
      </c>
      <c r="O124">
        <v>0.2273</v>
      </c>
      <c r="P124" t="str">
        <f>IF(O124&lt;=0.15,"Very Cold",IF(O124&lt;=0.3,"Cold",IF(O124&lt;=0.45,"Pleasant","Hot")))</f>
        <v>Cold</v>
      </c>
      <c r="Q124">
        <v>0.59</v>
      </c>
      <c r="R124" t="str">
        <f>IF(Q124&lt;=0.25,"Low ",IF(Q124&lt;=0.5,"Moderate ",IF(Q124&lt;=0.75,"High ","Very High ")))</f>
        <v xml:space="preserve">High </v>
      </c>
      <c r="S124">
        <v>0</v>
      </c>
      <c r="T124" t="str">
        <f>IF(S124&lt;=0.15,"Calm",IF(S124&lt;=0.3,"Light Wind",IF(S124&lt;=0.45,"Moderate Wind","Strong Wind")))</f>
        <v>Calm</v>
      </c>
      <c r="U124">
        <v>3</v>
      </c>
      <c r="V124">
        <v>216</v>
      </c>
      <c r="W124">
        <v>219</v>
      </c>
      <c r="X124" t="str">
        <f>IF(W124&lt;=75,"Low Demand",IF(W124&lt;=150,"Medium Demand",IF(W124&lt;=225,"High Demand","Very High Demand")))</f>
        <v>High Demand</v>
      </c>
    </row>
    <row r="125" spans="1:24" x14ac:dyDescent="0.25">
      <c r="A125">
        <v>124</v>
      </c>
      <c r="B125" s="2">
        <v>40549</v>
      </c>
      <c r="C125">
        <v>1</v>
      </c>
      <c r="D125">
        <v>0</v>
      </c>
      <c r="E125">
        <v>1</v>
      </c>
      <c r="F125">
        <v>9</v>
      </c>
      <c r="G125" t="str">
        <f>IF(F125&lt;6,"Night",IF(F125&lt;12,"Morning",IF(F125&lt;18,"Afternoon","Evening")))</f>
        <v>Morning</v>
      </c>
      <c r="H125">
        <v>0</v>
      </c>
      <c r="I125">
        <v>4</v>
      </c>
      <c r="J125" t="str">
        <f>CHOOSE(I125+1,"Monday","Tuesday","Wednesday","Thursday","Friday","Saturday","Sunday")</f>
        <v>Friday</v>
      </c>
      <c r="K125">
        <v>2</v>
      </c>
      <c r="L125" t="str">
        <f>CHOOSE(K125+1,"error","Clear","Misty","Rainy","Severe heater")</f>
        <v>Misty</v>
      </c>
      <c r="M125">
        <v>0.18</v>
      </c>
      <c r="N125" t="str">
        <f>IF(M125&lt;=0.2,"Low",IF(M125&lt;=0.4,"Mid","High"))</f>
        <v>Low</v>
      </c>
      <c r="O125">
        <v>0.2424</v>
      </c>
      <c r="P125" t="str">
        <f>IF(O125&lt;=0.15,"Very Cold",IF(O125&lt;=0.3,"Cold",IF(O125&lt;=0.45,"Pleasant","Hot")))</f>
        <v>Cold</v>
      </c>
      <c r="Q125">
        <v>0.51</v>
      </c>
      <c r="R125" t="str">
        <f>IF(Q125&lt;=0.25,"Low ",IF(Q125&lt;=0.5,"Moderate ",IF(Q125&lt;=0.75,"High ","Very High ")))</f>
        <v xml:space="preserve">High </v>
      </c>
      <c r="S125">
        <v>0</v>
      </c>
      <c r="T125" t="str">
        <f>IF(S125&lt;=0.15,"Calm",IF(S125&lt;=0.3,"Light Wind",IF(S125&lt;=0.45,"Moderate Wind","Strong Wind")))</f>
        <v>Calm</v>
      </c>
      <c r="U125">
        <v>6</v>
      </c>
      <c r="V125">
        <v>116</v>
      </c>
      <c r="W125">
        <v>122</v>
      </c>
      <c r="X125" t="str">
        <f>IF(W125&lt;=75,"Low Demand",IF(W125&lt;=150,"Medium Demand",IF(W125&lt;=225,"High Demand","Very High Demand")))</f>
        <v>Medium Demand</v>
      </c>
    </row>
    <row r="126" spans="1:24" x14ac:dyDescent="0.25">
      <c r="A126">
        <v>125</v>
      </c>
      <c r="B126" s="2">
        <v>40549</v>
      </c>
      <c r="C126">
        <v>1</v>
      </c>
      <c r="D126">
        <v>0</v>
      </c>
      <c r="E126">
        <v>1</v>
      </c>
      <c r="F126">
        <v>10</v>
      </c>
      <c r="G126" t="str">
        <f>IF(F126&lt;6,"Night",IF(F126&lt;12,"Morning",IF(F126&lt;18,"Afternoon","Evening")))</f>
        <v>Morning</v>
      </c>
      <c r="H126">
        <v>0</v>
      </c>
      <c r="I126">
        <v>4</v>
      </c>
      <c r="J126" t="str">
        <f>CHOOSE(I126+1,"Monday","Tuesday","Wednesday","Thursday","Friday","Saturday","Sunday")</f>
        <v>Friday</v>
      </c>
      <c r="K126">
        <v>1</v>
      </c>
      <c r="L126" t="str">
        <f>CHOOSE(K126+1,"error","Clear","Misty","Rainy","Severe heater")</f>
        <v>Clear</v>
      </c>
      <c r="M126">
        <v>0.2</v>
      </c>
      <c r="N126" t="str">
        <f>IF(M126&lt;=0.2,"Low",IF(M126&lt;=0.4,"Mid","High"))</f>
        <v>Low</v>
      </c>
      <c r="O126">
        <v>0.2576</v>
      </c>
      <c r="P126" t="str">
        <f>IF(O126&lt;=0.15,"Very Cold",IF(O126&lt;=0.3,"Cold",IF(O126&lt;=0.45,"Pleasant","Hot")))</f>
        <v>Cold</v>
      </c>
      <c r="Q126">
        <v>0.47</v>
      </c>
      <c r="R126" t="str">
        <f>IF(Q126&lt;=0.25,"Low ",IF(Q126&lt;=0.5,"Moderate ",IF(Q126&lt;=0.75,"High ","Very High ")))</f>
        <v xml:space="preserve">Moderate </v>
      </c>
      <c r="S126">
        <v>0</v>
      </c>
      <c r="T126" t="str">
        <f>IF(S126&lt;=0.15,"Calm",IF(S126&lt;=0.3,"Light Wind",IF(S126&lt;=0.45,"Moderate Wind","Strong Wind")))</f>
        <v>Calm</v>
      </c>
      <c r="U126">
        <v>3</v>
      </c>
      <c r="V126">
        <v>42</v>
      </c>
      <c r="W126">
        <v>45</v>
      </c>
      <c r="X126" t="str">
        <f>IF(W126&lt;=75,"Low Demand",IF(W126&lt;=150,"Medium Demand",IF(W126&lt;=225,"High Demand","Very High Demand")))</f>
        <v>Low Demand</v>
      </c>
    </row>
    <row r="127" spans="1:24" x14ac:dyDescent="0.25">
      <c r="A127">
        <v>126</v>
      </c>
      <c r="B127" s="2">
        <v>40549</v>
      </c>
      <c r="C127">
        <v>1</v>
      </c>
      <c r="D127">
        <v>0</v>
      </c>
      <c r="E127">
        <v>1</v>
      </c>
      <c r="F127">
        <v>11</v>
      </c>
      <c r="G127" t="str">
        <f>IF(F127&lt;6,"Night",IF(F127&lt;12,"Morning",IF(F127&lt;18,"Afternoon","Evening")))</f>
        <v>Morning</v>
      </c>
      <c r="H127">
        <v>0</v>
      </c>
      <c r="I127">
        <v>4</v>
      </c>
      <c r="J127" t="str">
        <f>CHOOSE(I127+1,"Monday","Tuesday","Wednesday","Thursday","Friday","Saturday","Sunday")</f>
        <v>Friday</v>
      </c>
      <c r="K127">
        <v>1</v>
      </c>
      <c r="L127" t="str">
        <f>CHOOSE(K127+1,"error","Clear","Misty","Rainy","Severe heater")</f>
        <v>Clear</v>
      </c>
      <c r="M127">
        <v>0.22</v>
      </c>
      <c r="N127" t="str">
        <f>IF(M127&lt;=0.2,"Low",IF(M127&lt;=0.4,"Mid","High"))</f>
        <v>Mid</v>
      </c>
      <c r="O127">
        <v>0.2576</v>
      </c>
      <c r="P127" t="str">
        <f>IF(O127&lt;=0.15,"Very Cold",IF(O127&lt;=0.3,"Cold",IF(O127&lt;=0.45,"Pleasant","Hot")))</f>
        <v>Cold</v>
      </c>
      <c r="Q127">
        <v>0.44</v>
      </c>
      <c r="R127" t="str">
        <f>IF(Q127&lt;=0.25,"Low ",IF(Q127&lt;=0.5,"Moderate ",IF(Q127&lt;=0.75,"High ","Very High ")))</f>
        <v xml:space="preserve">Moderate </v>
      </c>
      <c r="S127">
        <v>8.9599999999999999E-2</v>
      </c>
      <c r="T127" t="str">
        <f>IF(S127&lt;=0.15,"Calm",IF(S127&lt;=0.3,"Light Wind",IF(S127&lt;=0.45,"Moderate Wind","Strong Wind")))</f>
        <v>Calm</v>
      </c>
      <c r="U127">
        <v>2</v>
      </c>
      <c r="V127">
        <v>57</v>
      </c>
      <c r="W127">
        <v>59</v>
      </c>
      <c r="X127" t="str">
        <f>IF(W127&lt;=75,"Low Demand",IF(W127&lt;=150,"Medium Demand",IF(W127&lt;=225,"High Demand","Very High Demand")))</f>
        <v>Low Demand</v>
      </c>
    </row>
    <row r="128" spans="1:24" x14ac:dyDescent="0.25">
      <c r="A128">
        <v>127</v>
      </c>
      <c r="B128" s="2">
        <v>40549</v>
      </c>
      <c r="C128">
        <v>1</v>
      </c>
      <c r="D128">
        <v>0</v>
      </c>
      <c r="E128">
        <v>1</v>
      </c>
      <c r="F128">
        <v>12</v>
      </c>
      <c r="G128" t="str">
        <f>IF(F128&lt;6,"Night",IF(F128&lt;12,"Morning",IF(F128&lt;18,"Afternoon","Evening")))</f>
        <v>Afternoon</v>
      </c>
      <c r="H128">
        <v>0</v>
      </c>
      <c r="I128">
        <v>4</v>
      </c>
      <c r="J128" t="str">
        <f>CHOOSE(I128+1,"Monday","Tuesday","Wednesday","Thursday","Friday","Saturday","Sunday")</f>
        <v>Friday</v>
      </c>
      <c r="K128">
        <v>1</v>
      </c>
      <c r="L128" t="str">
        <f>CHOOSE(K128+1,"error","Clear","Misty","Rainy","Severe heater")</f>
        <v>Clear</v>
      </c>
      <c r="M128">
        <v>0.26</v>
      </c>
      <c r="N128" t="str">
        <f>IF(M128&lt;=0.2,"Low",IF(M128&lt;=0.4,"Mid","High"))</f>
        <v>Mid</v>
      </c>
      <c r="O128">
        <v>0.28789999999999999</v>
      </c>
      <c r="P128" t="str">
        <f>IF(O128&lt;=0.15,"Very Cold",IF(O128&lt;=0.3,"Cold",IF(O128&lt;=0.45,"Pleasant","Hot")))</f>
        <v>Cold</v>
      </c>
      <c r="Q128">
        <v>0.35</v>
      </c>
      <c r="R128" t="str">
        <f>IF(Q128&lt;=0.25,"Low ",IF(Q128&lt;=0.5,"Moderate ",IF(Q128&lt;=0.75,"High ","Very High ")))</f>
        <v xml:space="preserve">Moderate </v>
      </c>
      <c r="S128">
        <v>0</v>
      </c>
      <c r="T128" t="str">
        <f>IF(S128&lt;=0.15,"Calm",IF(S128&lt;=0.3,"Light Wind",IF(S128&lt;=0.45,"Moderate Wind","Strong Wind")))</f>
        <v>Calm</v>
      </c>
      <c r="U128">
        <v>6</v>
      </c>
      <c r="V128">
        <v>78</v>
      </c>
      <c r="W128">
        <v>84</v>
      </c>
      <c r="X128" t="str">
        <f>IF(W128&lt;=75,"Low Demand",IF(W128&lt;=150,"Medium Demand",IF(W128&lt;=225,"High Demand","Very High Demand")))</f>
        <v>Medium Demand</v>
      </c>
    </row>
    <row r="129" spans="1:24" x14ac:dyDescent="0.25">
      <c r="A129">
        <v>128</v>
      </c>
      <c r="B129" s="2">
        <v>40549</v>
      </c>
      <c r="C129">
        <v>1</v>
      </c>
      <c r="D129">
        <v>0</v>
      </c>
      <c r="E129">
        <v>1</v>
      </c>
      <c r="F129">
        <v>13</v>
      </c>
      <c r="G129" t="str">
        <f>IF(F129&lt;6,"Night",IF(F129&lt;12,"Morning",IF(F129&lt;18,"Afternoon","Evening")))</f>
        <v>Afternoon</v>
      </c>
      <c r="H129">
        <v>0</v>
      </c>
      <c r="I129">
        <v>4</v>
      </c>
      <c r="J129" t="str">
        <f>CHOOSE(I129+1,"Monday","Tuesday","Wednesday","Thursday","Friday","Saturday","Sunday")</f>
        <v>Friday</v>
      </c>
      <c r="K129">
        <v>1</v>
      </c>
      <c r="L129" t="str">
        <f>CHOOSE(K129+1,"error","Clear","Misty","Rainy","Severe heater")</f>
        <v>Clear</v>
      </c>
      <c r="M129">
        <v>0.26</v>
      </c>
      <c r="N129" t="str">
        <f>IF(M129&lt;=0.2,"Low",IF(M129&lt;=0.4,"Mid","High"))</f>
        <v>Mid</v>
      </c>
      <c r="O129">
        <v>0.2727</v>
      </c>
      <c r="P129" t="str">
        <f>IF(O129&lt;=0.15,"Very Cold",IF(O129&lt;=0.3,"Cold",IF(O129&lt;=0.45,"Pleasant","Hot")))</f>
        <v>Cold</v>
      </c>
      <c r="Q129">
        <v>0.35</v>
      </c>
      <c r="R129" t="str">
        <f>IF(Q129&lt;=0.25,"Low ",IF(Q129&lt;=0.5,"Moderate ",IF(Q129&lt;=0.75,"High ","Very High ")))</f>
        <v xml:space="preserve">Moderate </v>
      </c>
      <c r="S129">
        <v>0.1045</v>
      </c>
      <c r="T129" t="str">
        <f>IF(S129&lt;=0.15,"Calm",IF(S129&lt;=0.3,"Light Wind",IF(S129&lt;=0.45,"Moderate Wind","Strong Wind")))</f>
        <v>Calm</v>
      </c>
      <c r="U129">
        <v>12</v>
      </c>
      <c r="V129">
        <v>55</v>
      </c>
      <c r="W129">
        <v>67</v>
      </c>
      <c r="X129" t="str">
        <f>IF(W129&lt;=75,"Low Demand",IF(W129&lt;=150,"Medium Demand",IF(W129&lt;=225,"High Demand","Very High Demand")))</f>
        <v>Low Demand</v>
      </c>
    </row>
    <row r="130" spans="1:24" x14ac:dyDescent="0.25">
      <c r="A130">
        <v>129</v>
      </c>
      <c r="B130" s="2">
        <v>40549</v>
      </c>
      <c r="C130">
        <v>1</v>
      </c>
      <c r="D130">
        <v>0</v>
      </c>
      <c r="E130">
        <v>1</v>
      </c>
      <c r="F130">
        <v>14</v>
      </c>
      <c r="G130" t="str">
        <f>IF(F130&lt;6,"Night",IF(F130&lt;12,"Morning",IF(F130&lt;18,"Afternoon","Evening")))</f>
        <v>Afternoon</v>
      </c>
      <c r="H130">
        <v>0</v>
      </c>
      <c r="I130">
        <v>4</v>
      </c>
      <c r="J130" t="str">
        <f>CHOOSE(I130+1,"Monday","Tuesday","Wednesday","Thursday","Friday","Saturday","Sunday")</f>
        <v>Friday</v>
      </c>
      <c r="K130">
        <v>1</v>
      </c>
      <c r="L130" t="str">
        <f>CHOOSE(K130+1,"error","Clear","Misty","Rainy","Severe heater")</f>
        <v>Clear</v>
      </c>
      <c r="M130">
        <v>0.28000000000000003</v>
      </c>
      <c r="N130" t="str">
        <f>IF(M130&lt;=0.2,"Low",IF(M130&lt;=0.4,"Mid","High"))</f>
        <v>Mid</v>
      </c>
      <c r="O130">
        <v>0.2727</v>
      </c>
      <c r="P130" t="str">
        <f>IF(O130&lt;=0.15,"Very Cold",IF(O130&lt;=0.3,"Cold",IF(O130&lt;=0.45,"Pleasant","Hot")))</f>
        <v>Cold</v>
      </c>
      <c r="Q130">
        <v>0.36</v>
      </c>
      <c r="R130" t="str">
        <f>IF(Q130&lt;=0.25,"Low ",IF(Q130&lt;=0.5,"Moderate ",IF(Q130&lt;=0.75,"High ","Very High ")))</f>
        <v xml:space="preserve">Moderate </v>
      </c>
      <c r="S130">
        <v>0.16420000000000001</v>
      </c>
      <c r="T130" t="str">
        <f>IF(S130&lt;=0.15,"Calm",IF(S130&lt;=0.3,"Light Wind",IF(S130&lt;=0.45,"Moderate Wind","Strong Wind")))</f>
        <v>Light Wind</v>
      </c>
      <c r="U130">
        <v>11</v>
      </c>
      <c r="V130">
        <v>59</v>
      </c>
      <c r="W130">
        <v>70</v>
      </c>
      <c r="X130" t="str">
        <f>IF(W130&lt;=75,"Low Demand",IF(W130&lt;=150,"Medium Demand",IF(W130&lt;=225,"High Demand","Very High Demand")))</f>
        <v>Low Demand</v>
      </c>
    </row>
    <row r="131" spans="1:24" x14ac:dyDescent="0.25">
      <c r="A131">
        <v>130</v>
      </c>
      <c r="B131" s="2">
        <v>40549</v>
      </c>
      <c r="C131">
        <v>1</v>
      </c>
      <c r="D131">
        <v>0</v>
      </c>
      <c r="E131">
        <v>1</v>
      </c>
      <c r="F131">
        <v>15</v>
      </c>
      <c r="G131" t="str">
        <f>IF(F131&lt;6,"Night",IF(F131&lt;12,"Morning",IF(F131&lt;18,"Afternoon","Evening")))</f>
        <v>Afternoon</v>
      </c>
      <c r="H131">
        <v>0</v>
      </c>
      <c r="I131">
        <v>4</v>
      </c>
      <c r="J131" t="str">
        <f>CHOOSE(I131+1,"Monday","Tuesday","Wednesday","Thursday","Friday","Saturday","Sunday")</f>
        <v>Friday</v>
      </c>
      <c r="K131">
        <v>1</v>
      </c>
      <c r="L131" t="str">
        <f>CHOOSE(K131+1,"error","Clear","Misty","Rainy","Severe heater")</f>
        <v>Clear</v>
      </c>
      <c r="M131">
        <v>0.28000000000000003</v>
      </c>
      <c r="N131" t="str">
        <f>IF(M131&lt;=0.2,"Low",IF(M131&lt;=0.4,"Mid","High"))</f>
        <v>Mid</v>
      </c>
      <c r="O131">
        <v>0.2727</v>
      </c>
      <c r="P131" t="str">
        <f>IF(O131&lt;=0.15,"Very Cold",IF(O131&lt;=0.3,"Cold",IF(O131&lt;=0.45,"Pleasant","Hot")))</f>
        <v>Cold</v>
      </c>
      <c r="Q131">
        <v>0.36</v>
      </c>
      <c r="R131" t="str">
        <f>IF(Q131&lt;=0.25,"Low ",IF(Q131&lt;=0.5,"Moderate ",IF(Q131&lt;=0.75,"High ","Very High ")))</f>
        <v xml:space="preserve">Moderate </v>
      </c>
      <c r="S131">
        <v>0</v>
      </c>
      <c r="T131" t="str">
        <f>IF(S131&lt;=0.15,"Calm",IF(S131&lt;=0.3,"Light Wind",IF(S131&lt;=0.45,"Moderate Wind","Strong Wind")))</f>
        <v>Calm</v>
      </c>
      <c r="U131">
        <v>8</v>
      </c>
      <c r="V131">
        <v>54</v>
      </c>
      <c r="W131">
        <v>62</v>
      </c>
      <c r="X131" t="str">
        <f>IF(W131&lt;=75,"Low Demand",IF(W131&lt;=150,"Medium Demand",IF(W131&lt;=225,"High Demand","Very High Demand")))</f>
        <v>Low Demand</v>
      </c>
    </row>
    <row r="132" spans="1:24" x14ac:dyDescent="0.25">
      <c r="A132">
        <v>131</v>
      </c>
      <c r="B132" s="2">
        <v>40549</v>
      </c>
      <c r="C132">
        <v>1</v>
      </c>
      <c r="D132">
        <v>0</v>
      </c>
      <c r="E132">
        <v>1</v>
      </c>
      <c r="F132">
        <v>16</v>
      </c>
      <c r="G132" t="str">
        <f>IF(F132&lt;6,"Night",IF(F132&lt;12,"Morning",IF(F132&lt;18,"Afternoon","Evening")))</f>
        <v>Afternoon</v>
      </c>
      <c r="H132">
        <v>0</v>
      </c>
      <c r="I132">
        <v>4</v>
      </c>
      <c r="J132" t="str">
        <f>CHOOSE(I132+1,"Monday","Tuesday","Wednesday","Thursday","Friday","Saturday","Sunday")</f>
        <v>Friday</v>
      </c>
      <c r="K132">
        <v>1</v>
      </c>
      <c r="L132" t="str">
        <f>CHOOSE(K132+1,"error","Clear","Misty","Rainy","Severe heater")</f>
        <v>Clear</v>
      </c>
      <c r="M132">
        <v>0.26</v>
      </c>
      <c r="N132" t="str">
        <f>IF(M132&lt;=0.2,"Low",IF(M132&lt;=0.4,"Mid","High"))</f>
        <v>Mid</v>
      </c>
      <c r="O132">
        <v>0.2576</v>
      </c>
      <c r="P132" t="str">
        <f>IF(O132&lt;=0.15,"Very Cold",IF(O132&lt;=0.3,"Cold",IF(O132&lt;=0.45,"Pleasant","Hot")))</f>
        <v>Cold</v>
      </c>
      <c r="Q132">
        <v>0.38</v>
      </c>
      <c r="R132" t="str">
        <f>IF(Q132&lt;=0.25,"Low ",IF(Q132&lt;=0.5,"Moderate ",IF(Q132&lt;=0.75,"High ","Very High ")))</f>
        <v xml:space="preserve">Moderate </v>
      </c>
      <c r="S132">
        <v>0.16420000000000001</v>
      </c>
      <c r="T132" t="str">
        <f>IF(S132&lt;=0.15,"Calm",IF(S132&lt;=0.3,"Light Wind",IF(S132&lt;=0.45,"Moderate Wind","Strong Wind")))</f>
        <v>Light Wind</v>
      </c>
      <c r="U132">
        <v>12</v>
      </c>
      <c r="V132">
        <v>74</v>
      </c>
      <c r="W132">
        <v>86</v>
      </c>
      <c r="X132" t="str">
        <f>IF(W132&lt;=75,"Low Demand",IF(W132&lt;=150,"Medium Demand",IF(W132&lt;=225,"High Demand","Very High Demand")))</f>
        <v>Medium Demand</v>
      </c>
    </row>
    <row r="133" spans="1:24" x14ac:dyDescent="0.25">
      <c r="A133">
        <v>132</v>
      </c>
      <c r="B133" s="2">
        <v>40549</v>
      </c>
      <c r="C133">
        <v>1</v>
      </c>
      <c r="D133">
        <v>0</v>
      </c>
      <c r="E133">
        <v>1</v>
      </c>
      <c r="F133">
        <v>17</v>
      </c>
      <c r="G133" t="str">
        <f>IF(F133&lt;6,"Night",IF(F133&lt;12,"Morning",IF(F133&lt;18,"Afternoon","Evening")))</f>
        <v>Afternoon</v>
      </c>
      <c r="H133">
        <v>0</v>
      </c>
      <c r="I133">
        <v>4</v>
      </c>
      <c r="J133" t="str">
        <f>CHOOSE(I133+1,"Monday","Tuesday","Wednesday","Thursday","Friday","Saturday","Sunday")</f>
        <v>Friday</v>
      </c>
      <c r="K133">
        <v>1</v>
      </c>
      <c r="L133" t="str">
        <f>CHOOSE(K133+1,"error","Clear","Misty","Rainy","Severe heater")</f>
        <v>Clear</v>
      </c>
      <c r="M133">
        <v>0.22</v>
      </c>
      <c r="N133" t="str">
        <f>IF(M133&lt;=0.2,"Low",IF(M133&lt;=0.4,"Mid","High"))</f>
        <v>Mid</v>
      </c>
      <c r="O133">
        <v>0.2273</v>
      </c>
      <c r="P133" t="str">
        <f>IF(O133&lt;=0.15,"Very Cold",IF(O133&lt;=0.3,"Cold",IF(O133&lt;=0.45,"Pleasant","Hot")))</f>
        <v>Cold</v>
      </c>
      <c r="Q133">
        <v>0.51</v>
      </c>
      <c r="R133" t="str">
        <f>IF(Q133&lt;=0.25,"Low ",IF(Q133&lt;=0.5,"Moderate ",IF(Q133&lt;=0.75,"High ","Very High ")))</f>
        <v xml:space="preserve">High </v>
      </c>
      <c r="S133">
        <v>0.16420000000000001</v>
      </c>
      <c r="T133" t="str">
        <f>IF(S133&lt;=0.15,"Calm",IF(S133&lt;=0.3,"Light Wind",IF(S133&lt;=0.45,"Moderate Wind","Strong Wind")))</f>
        <v>Light Wind</v>
      </c>
      <c r="U133">
        <v>9</v>
      </c>
      <c r="V133">
        <v>163</v>
      </c>
      <c r="W133">
        <v>172</v>
      </c>
      <c r="X133" t="str">
        <f>IF(W133&lt;=75,"Low Demand",IF(W133&lt;=150,"Medium Demand",IF(W133&lt;=225,"High Demand","Very High Demand")))</f>
        <v>High Demand</v>
      </c>
    </row>
    <row r="134" spans="1:24" x14ac:dyDescent="0.25">
      <c r="A134">
        <v>133</v>
      </c>
      <c r="B134" s="2">
        <v>40549</v>
      </c>
      <c r="C134">
        <v>1</v>
      </c>
      <c r="D134">
        <v>0</v>
      </c>
      <c r="E134">
        <v>1</v>
      </c>
      <c r="F134">
        <v>18</v>
      </c>
      <c r="G134" t="str">
        <f>IF(F134&lt;6,"Night",IF(F134&lt;12,"Morning",IF(F134&lt;18,"Afternoon","Evening")))</f>
        <v>Evening</v>
      </c>
      <c r="H134">
        <v>0</v>
      </c>
      <c r="I134">
        <v>4</v>
      </c>
      <c r="J134" t="str">
        <f>CHOOSE(I134+1,"Monday","Tuesday","Wednesday","Thursday","Friday","Saturday","Sunday")</f>
        <v>Friday</v>
      </c>
      <c r="K134">
        <v>1</v>
      </c>
      <c r="L134" t="str">
        <f>CHOOSE(K134+1,"error","Clear","Misty","Rainy","Severe heater")</f>
        <v>Clear</v>
      </c>
      <c r="M134">
        <v>0.22</v>
      </c>
      <c r="N134" t="str">
        <f>IF(M134&lt;=0.2,"Low",IF(M134&lt;=0.4,"Mid","High"))</f>
        <v>Mid</v>
      </c>
      <c r="O134">
        <v>0.2273</v>
      </c>
      <c r="P134" t="str">
        <f>IF(O134&lt;=0.15,"Very Cold",IF(O134&lt;=0.3,"Cold",IF(O134&lt;=0.45,"Pleasant","Hot")))</f>
        <v>Cold</v>
      </c>
      <c r="Q134">
        <v>0.51</v>
      </c>
      <c r="R134" t="str">
        <f>IF(Q134&lt;=0.25,"Low ",IF(Q134&lt;=0.5,"Moderate ",IF(Q134&lt;=0.75,"High ","Very High ")))</f>
        <v xml:space="preserve">High </v>
      </c>
      <c r="S134">
        <v>0.1343</v>
      </c>
      <c r="T134" t="str">
        <f>IF(S134&lt;=0.15,"Calm",IF(S134&lt;=0.3,"Light Wind",IF(S134&lt;=0.45,"Moderate Wind","Strong Wind")))</f>
        <v>Calm</v>
      </c>
      <c r="U134">
        <v>5</v>
      </c>
      <c r="V134">
        <v>158</v>
      </c>
      <c r="W134">
        <v>163</v>
      </c>
      <c r="X134" t="str">
        <f>IF(W134&lt;=75,"Low Demand",IF(W134&lt;=150,"Medium Demand",IF(W134&lt;=225,"High Demand","Very High Demand")))</f>
        <v>High Demand</v>
      </c>
    </row>
    <row r="135" spans="1:24" x14ac:dyDescent="0.25">
      <c r="A135">
        <v>134</v>
      </c>
      <c r="B135" s="2">
        <v>40549</v>
      </c>
      <c r="C135">
        <v>1</v>
      </c>
      <c r="D135">
        <v>0</v>
      </c>
      <c r="E135">
        <v>1</v>
      </c>
      <c r="F135">
        <v>19</v>
      </c>
      <c r="G135" t="str">
        <f>IF(F135&lt;6,"Night",IF(F135&lt;12,"Morning",IF(F135&lt;18,"Afternoon","Evening")))</f>
        <v>Evening</v>
      </c>
      <c r="H135">
        <v>0</v>
      </c>
      <c r="I135">
        <v>4</v>
      </c>
      <c r="J135" t="str">
        <f>CHOOSE(I135+1,"Monday","Tuesday","Wednesday","Thursday","Friday","Saturday","Sunday")</f>
        <v>Friday</v>
      </c>
      <c r="K135">
        <v>1</v>
      </c>
      <c r="L135" t="str">
        <f>CHOOSE(K135+1,"error","Clear","Misty","Rainy","Severe heater")</f>
        <v>Clear</v>
      </c>
      <c r="M135">
        <v>0.22</v>
      </c>
      <c r="N135" t="str">
        <f>IF(M135&lt;=0.2,"Low",IF(M135&lt;=0.4,"Mid","High"))</f>
        <v>Mid</v>
      </c>
      <c r="O135">
        <v>0.2576</v>
      </c>
      <c r="P135" t="str">
        <f>IF(O135&lt;=0.15,"Very Cold",IF(O135&lt;=0.3,"Cold",IF(O135&lt;=0.45,"Pleasant","Hot")))</f>
        <v>Cold</v>
      </c>
      <c r="Q135">
        <v>0.55000000000000004</v>
      </c>
      <c r="R135" t="str">
        <f>IF(Q135&lt;=0.25,"Low ",IF(Q135&lt;=0.5,"Moderate ",IF(Q135&lt;=0.75,"High ","Very High ")))</f>
        <v xml:space="preserve">High </v>
      </c>
      <c r="S135">
        <v>8.9599999999999999E-2</v>
      </c>
      <c r="T135" t="str">
        <f>IF(S135&lt;=0.15,"Calm",IF(S135&lt;=0.3,"Light Wind",IF(S135&lt;=0.45,"Moderate Wind","Strong Wind")))</f>
        <v>Calm</v>
      </c>
      <c r="U135">
        <v>3</v>
      </c>
      <c r="V135">
        <v>109</v>
      </c>
      <c r="W135">
        <v>112</v>
      </c>
      <c r="X135" t="str">
        <f>IF(W135&lt;=75,"Low Demand",IF(W135&lt;=150,"Medium Demand",IF(W135&lt;=225,"High Demand","Very High Demand")))</f>
        <v>Medium Demand</v>
      </c>
    </row>
    <row r="136" spans="1:24" x14ac:dyDescent="0.25">
      <c r="A136">
        <v>135</v>
      </c>
      <c r="B136" s="2">
        <v>40549</v>
      </c>
      <c r="C136">
        <v>1</v>
      </c>
      <c r="D136">
        <v>0</v>
      </c>
      <c r="E136">
        <v>1</v>
      </c>
      <c r="F136">
        <v>20</v>
      </c>
      <c r="G136" t="str">
        <f>IF(F136&lt;6,"Night",IF(F136&lt;12,"Morning",IF(F136&lt;18,"Afternoon","Evening")))</f>
        <v>Evening</v>
      </c>
      <c r="H136">
        <v>0</v>
      </c>
      <c r="I136">
        <v>4</v>
      </c>
      <c r="J136" t="str">
        <f>CHOOSE(I136+1,"Monday","Tuesday","Wednesday","Thursday","Friday","Saturday","Sunday")</f>
        <v>Friday</v>
      </c>
      <c r="K136">
        <v>1</v>
      </c>
      <c r="L136" t="str">
        <f>CHOOSE(K136+1,"error","Clear","Misty","Rainy","Severe heater")</f>
        <v>Clear</v>
      </c>
      <c r="M136">
        <v>0.2</v>
      </c>
      <c r="N136" t="str">
        <f>IF(M136&lt;=0.2,"Low",IF(M136&lt;=0.4,"Mid","High"))</f>
        <v>Low</v>
      </c>
      <c r="O136">
        <v>0.21210000000000001</v>
      </c>
      <c r="P136" t="str">
        <f>IF(O136&lt;=0.15,"Very Cold",IF(O136&lt;=0.3,"Cold",IF(O136&lt;=0.45,"Pleasant","Hot")))</f>
        <v>Cold</v>
      </c>
      <c r="Q136">
        <v>0.51</v>
      </c>
      <c r="R136" t="str">
        <f>IF(Q136&lt;=0.25,"Low ",IF(Q136&lt;=0.5,"Moderate ",IF(Q136&lt;=0.75,"High ","Very High ")))</f>
        <v xml:space="preserve">High </v>
      </c>
      <c r="S136">
        <v>0.16420000000000001</v>
      </c>
      <c r="T136" t="str">
        <f>IF(S136&lt;=0.15,"Calm",IF(S136&lt;=0.3,"Light Wind",IF(S136&lt;=0.45,"Moderate Wind","Strong Wind")))</f>
        <v>Light Wind</v>
      </c>
      <c r="U136">
        <v>3</v>
      </c>
      <c r="V136">
        <v>66</v>
      </c>
      <c r="W136">
        <v>69</v>
      </c>
      <c r="X136" t="str">
        <f>IF(W136&lt;=75,"Low Demand",IF(W136&lt;=150,"Medium Demand",IF(W136&lt;=225,"High Demand","Very High Demand")))</f>
        <v>Low Demand</v>
      </c>
    </row>
    <row r="137" spans="1:24" x14ac:dyDescent="0.25">
      <c r="A137">
        <v>136</v>
      </c>
      <c r="B137" s="2">
        <v>40549</v>
      </c>
      <c r="C137">
        <v>1</v>
      </c>
      <c r="D137">
        <v>0</v>
      </c>
      <c r="E137">
        <v>1</v>
      </c>
      <c r="F137">
        <v>21</v>
      </c>
      <c r="G137" t="str">
        <f>IF(F137&lt;6,"Night",IF(F137&lt;12,"Morning",IF(F137&lt;18,"Afternoon","Evening")))</f>
        <v>Evening</v>
      </c>
      <c r="H137">
        <v>0</v>
      </c>
      <c r="I137">
        <v>4</v>
      </c>
      <c r="J137" t="str">
        <f>CHOOSE(I137+1,"Monday","Tuesday","Wednesday","Thursday","Friday","Saturday","Sunday")</f>
        <v>Friday</v>
      </c>
      <c r="K137">
        <v>2</v>
      </c>
      <c r="L137" t="str">
        <f>CHOOSE(K137+1,"error","Clear","Misty","Rainy","Severe heater")</f>
        <v>Misty</v>
      </c>
      <c r="M137">
        <v>0.22</v>
      </c>
      <c r="N137" t="str">
        <f>IF(M137&lt;=0.2,"Low",IF(M137&lt;=0.4,"Mid","High"))</f>
        <v>Mid</v>
      </c>
      <c r="O137">
        <v>0.21210000000000001</v>
      </c>
      <c r="P137" t="str">
        <f>IF(O137&lt;=0.15,"Very Cold",IF(O137&lt;=0.3,"Cold",IF(O137&lt;=0.45,"Pleasant","Hot")))</f>
        <v>Cold</v>
      </c>
      <c r="Q137">
        <v>0.55000000000000004</v>
      </c>
      <c r="R137" t="str">
        <f>IF(Q137&lt;=0.25,"Low ",IF(Q137&lt;=0.5,"Moderate ",IF(Q137&lt;=0.75,"High ","Very High ")))</f>
        <v xml:space="preserve">High </v>
      </c>
      <c r="S137">
        <v>0.22389999999999999</v>
      </c>
      <c r="T137" t="str">
        <f>IF(S137&lt;=0.15,"Calm",IF(S137&lt;=0.3,"Light Wind",IF(S137&lt;=0.45,"Moderate Wind","Strong Wind")))</f>
        <v>Light Wind</v>
      </c>
      <c r="U137">
        <v>0</v>
      </c>
      <c r="V137">
        <v>48</v>
      </c>
      <c r="W137">
        <v>48</v>
      </c>
      <c r="X137" t="str">
        <f>IF(W137&lt;=75,"Low Demand",IF(W137&lt;=150,"Medium Demand",IF(W137&lt;=225,"High Demand","Very High Demand")))</f>
        <v>Low Demand</v>
      </c>
    </row>
    <row r="138" spans="1:24" x14ac:dyDescent="0.25">
      <c r="A138">
        <v>137</v>
      </c>
      <c r="B138" s="2">
        <v>40549</v>
      </c>
      <c r="C138">
        <v>1</v>
      </c>
      <c r="D138">
        <v>0</v>
      </c>
      <c r="E138">
        <v>1</v>
      </c>
      <c r="F138">
        <v>22</v>
      </c>
      <c r="G138" t="str">
        <f>IF(F138&lt;6,"Night",IF(F138&lt;12,"Morning",IF(F138&lt;18,"Afternoon","Evening")))</f>
        <v>Evening</v>
      </c>
      <c r="H138">
        <v>0</v>
      </c>
      <c r="I138">
        <v>4</v>
      </c>
      <c r="J138" t="str">
        <f>CHOOSE(I138+1,"Monday","Tuesday","Wednesday","Thursday","Friday","Saturday","Sunday")</f>
        <v>Friday</v>
      </c>
      <c r="K138">
        <v>2</v>
      </c>
      <c r="L138" t="str">
        <f>CHOOSE(K138+1,"error","Clear","Misty","Rainy","Severe heater")</f>
        <v>Misty</v>
      </c>
      <c r="M138">
        <v>0.22</v>
      </c>
      <c r="N138" t="str">
        <f>IF(M138&lt;=0.2,"Low",IF(M138&lt;=0.4,"Mid","High"))</f>
        <v>Mid</v>
      </c>
      <c r="O138">
        <v>0.21210000000000001</v>
      </c>
      <c r="P138" t="str">
        <f>IF(O138&lt;=0.15,"Very Cold",IF(O138&lt;=0.3,"Cold",IF(O138&lt;=0.45,"Pleasant","Hot")))</f>
        <v>Cold</v>
      </c>
      <c r="Q138">
        <v>0.51</v>
      </c>
      <c r="R138" t="str">
        <f>IF(Q138&lt;=0.25,"Low ",IF(Q138&lt;=0.5,"Moderate ",IF(Q138&lt;=0.75,"High ","Very High ")))</f>
        <v xml:space="preserve">High </v>
      </c>
      <c r="S138">
        <v>0.28360000000000002</v>
      </c>
      <c r="T138" t="str">
        <f>IF(S138&lt;=0.15,"Calm",IF(S138&lt;=0.3,"Light Wind",IF(S138&lt;=0.45,"Moderate Wind","Strong Wind")))</f>
        <v>Light Wind</v>
      </c>
      <c r="U138">
        <v>1</v>
      </c>
      <c r="V138">
        <v>51</v>
      </c>
      <c r="W138">
        <v>52</v>
      </c>
      <c r="X138" t="str">
        <f>IF(W138&lt;=75,"Low Demand",IF(W138&lt;=150,"Medium Demand",IF(W138&lt;=225,"High Demand","Very High Demand")))</f>
        <v>Low Demand</v>
      </c>
    </row>
    <row r="139" spans="1:24" x14ac:dyDescent="0.25">
      <c r="A139">
        <v>138</v>
      </c>
      <c r="B139" s="2">
        <v>40549</v>
      </c>
      <c r="C139">
        <v>1</v>
      </c>
      <c r="D139">
        <v>0</v>
      </c>
      <c r="E139">
        <v>1</v>
      </c>
      <c r="F139">
        <v>23</v>
      </c>
      <c r="G139" t="str">
        <f>IF(F139&lt;6,"Night",IF(F139&lt;12,"Morning",IF(F139&lt;18,"Afternoon","Evening")))</f>
        <v>Evening</v>
      </c>
      <c r="H139">
        <v>0</v>
      </c>
      <c r="I139">
        <v>4</v>
      </c>
      <c r="J139" t="str">
        <f>CHOOSE(I139+1,"Monday","Tuesday","Wednesday","Thursday","Friday","Saturday","Sunday")</f>
        <v>Friday</v>
      </c>
      <c r="K139">
        <v>2</v>
      </c>
      <c r="L139" t="str">
        <f>CHOOSE(K139+1,"error","Clear","Misty","Rainy","Severe heater")</f>
        <v>Misty</v>
      </c>
      <c r="M139">
        <v>0.2</v>
      </c>
      <c r="N139" t="str">
        <f>IF(M139&lt;=0.2,"Low",IF(M139&lt;=0.4,"Mid","High"))</f>
        <v>Low</v>
      </c>
      <c r="O139">
        <v>0.19700000000000001</v>
      </c>
      <c r="P139" t="str">
        <f>IF(O139&lt;=0.15,"Very Cold",IF(O139&lt;=0.3,"Cold",IF(O139&lt;=0.45,"Pleasant","Hot")))</f>
        <v>Cold</v>
      </c>
      <c r="Q139">
        <v>0.59</v>
      </c>
      <c r="R139" t="str">
        <f>IF(Q139&lt;=0.25,"Low ",IF(Q139&lt;=0.5,"Moderate ",IF(Q139&lt;=0.75,"High ","Very High ")))</f>
        <v xml:space="preserve">High </v>
      </c>
      <c r="S139">
        <v>0.19400000000000001</v>
      </c>
      <c r="T139" t="str">
        <f>IF(S139&lt;=0.15,"Calm",IF(S139&lt;=0.3,"Light Wind",IF(S139&lt;=0.45,"Moderate Wind","Strong Wind")))</f>
        <v>Light Wind</v>
      </c>
      <c r="U139">
        <v>4</v>
      </c>
      <c r="V139">
        <v>19</v>
      </c>
      <c r="W139">
        <v>23</v>
      </c>
      <c r="X139" t="str">
        <f>IF(W139&lt;=75,"Low Demand",IF(W139&lt;=150,"Medium Demand",IF(W139&lt;=225,"High Demand","Very High Demand")))</f>
        <v>Low Demand</v>
      </c>
    </row>
    <row r="140" spans="1:24" x14ac:dyDescent="0.25">
      <c r="A140">
        <v>139</v>
      </c>
      <c r="B140" s="2">
        <v>40550</v>
      </c>
      <c r="C140">
        <v>1</v>
      </c>
      <c r="D140">
        <v>0</v>
      </c>
      <c r="E140">
        <v>1</v>
      </c>
      <c r="F140">
        <v>0</v>
      </c>
      <c r="G140" t="str">
        <f>IF(F140&lt;6,"Night",IF(F140&lt;12,"Morning",IF(F140&lt;18,"Afternoon","Evening")))</f>
        <v>Night</v>
      </c>
      <c r="H140">
        <v>0</v>
      </c>
      <c r="I140">
        <v>5</v>
      </c>
      <c r="J140" t="str">
        <f>CHOOSE(I140+1,"Monday","Tuesday","Wednesday","Thursday","Friday","Saturday","Sunday")</f>
        <v>Saturday</v>
      </c>
      <c r="K140">
        <v>2</v>
      </c>
      <c r="L140" t="str">
        <f>CHOOSE(K140+1,"error","Clear","Misty","Rainy","Severe heater")</f>
        <v>Misty</v>
      </c>
      <c r="M140">
        <v>0.2</v>
      </c>
      <c r="N140" t="str">
        <f>IF(M140&lt;=0.2,"Low",IF(M140&lt;=0.4,"Mid","High"))</f>
        <v>Low</v>
      </c>
      <c r="O140">
        <v>0.19700000000000001</v>
      </c>
      <c r="P140" t="str">
        <f>IF(O140&lt;=0.15,"Very Cold",IF(O140&lt;=0.3,"Cold",IF(O140&lt;=0.45,"Pleasant","Hot")))</f>
        <v>Cold</v>
      </c>
      <c r="Q140">
        <v>0.64</v>
      </c>
      <c r="R140" t="str">
        <f>IF(Q140&lt;=0.25,"Low ",IF(Q140&lt;=0.5,"Moderate ",IF(Q140&lt;=0.75,"High ","Very High ")))</f>
        <v xml:space="preserve">High </v>
      </c>
      <c r="S140">
        <v>0.19400000000000001</v>
      </c>
      <c r="T140" t="str">
        <f>IF(S140&lt;=0.15,"Calm",IF(S140&lt;=0.3,"Light Wind",IF(S140&lt;=0.45,"Moderate Wind","Strong Wind")))</f>
        <v>Light Wind</v>
      </c>
      <c r="U140">
        <v>4</v>
      </c>
      <c r="V140">
        <v>13</v>
      </c>
      <c r="W140">
        <v>17</v>
      </c>
      <c r="X140" t="str">
        <f>IF(W140&lt;=75,"Low Demand",IF(W140&lt;=150,"Medium Demand",IF(W140&lt;=225,"High Demand","Very High Demand")))</f>
        <v>Low Demand</v>
      </c>
    </row>
    <row r="141" spans="1:24" x14ac:dyDescent="0.25">
      <c r="A141">
        <v>140</v>
      </c>
      <c r="B141" s="2">
        <v>40550</v>
      </c>
      <c r="C141">
        <v>1</v>
      </c>
      <c r="D141">
        <v>0</v>
      </c>
      <c r="E141">
        <v>1</v>
      </c>
      <c r="F141">
        <v>1</v>
      </c>
      <c r="G141" t="str">
        <f>IF(F141&lt;6,"Night",IF(F141&lt;12,"Morning",IF(F141&lt;18,"Afternoon","Evening")))</f>
        <v>Night</v>
      </c>
      <c r="H141">
        <v>0</v>
      </c>
      <c r="I141">
        <v>5</v>
      </c>
      <c r="J141" t="str">
        <f>CHOOSE(I141+1,"Monday","Tuesday","Wednesday","Thursday","Friday","Saturday","Sunday")</f>
        <v>Saturday</v>
      </c>
      <c r="K141">
        <v>2</v>
      </c>
      <c r="L141" t="str">
        <f>CHOOSE(K141+1,"error","Clear","Misty","Rainy","Severe heater")</f>
        <v>Misty</v>
      </c>
      <c r="M141">
        <v>0.2</v>
      </c>
      <c r="N141" t="str">
        <f>IF(M141&lt;=0.2,"Low",IF(M141&lt;=0.4,"Mid","High"))</f>
        <v>Low</v>
      </c>
      <c r="O141">
        <v>0.19700000000000001</v>
      </c>
      <c r="P141" t="str">
        <f>IF(O141&lt;=0.15,"Very Cold",IF(O141&lt;=0.3,"Cold",IF(O141&lt;=0.45,"Pleasant","Hot")))</f>
        <v>Cold</v>
      </c>
      <c r="Q141">
        <v>0.69</v>
      </c>
      <c r="R141" t="str">
        <f>IF(Q141&lt;=0.25,"Low ",IF(Q141&lt;=0.5,"Moderate ",IF(Q141&lt;=0.75,"High ","Very High ")))</f>
        <v xml:space="preserve">High </v>
      </c>
      <c r="S141">
        <v>0.22389999999999999</v>
      </c>
      <c r="T141" t="str">
        <f>IF(S141&lt;=0.15,"Calm",IF(S141&lt;=0.3,"Light Wind",IF(S141&lt;=0.45,"Moderate Wind","Strong Wind")))</f>
        <v>Light Wind</v>
      </c>
      <c r="U141">
        <v>2</v>
      </c>
      <c r="V141">
        <v>5</v>
      </c>
      <c r="W141">
        <v>7</v>
      </c>
      <c r="X141" t="str">
        <f>IF(W141&lt;=75,"Low Demand",IF(W141&lt;=150,"Medium Demand",IF(W141&lt;=225,"High Demand","Very High Demand")))</f>
        <v>Low Demand</v>
      </c>
    </row>
    <row r="142" spans="1:24" x14ac:dyDescent="0.25">
      <c r="A142">
        <v>141</v>
      </c>
      <c r="B142" s="2">
        <v>40550</v>
      </c>
      <c r="C142">
        <v>1</v>
      </c>
      <c r="D142">
        <v>0</v>
      </c>
      <c r="E142">
        <v>1</v>
      </c>
      <c r="F142">
        <v>2</v>
      </c>
      <c r="G142" t="str">
        <f>IF(F142&lt;6,"Night",IF(F142&lt;12,"Morning",IF(F142&lt;18,"Afternoon","Evening")))</f>
        <v>Night</v>
      </c>
      <c r="H142">
        <v>0</v>
      </c>
      <c r="I142">
        <v>5</v>
      </c>
      <c r="J142" t="str">
        <f>CHOOSE(I142+1,"Monday","Tuesday","Wednesday","Thursday","Friday","Saturday","Sunday")</f>
        <v>Saturday</v>
      </c>
      <c r="K142">
        <v>2</v>
      </c>
      <c r="L142" t="str">
        <f>CHOOSE(K142+1,"error","Clear","Misty","Rainy","Severe heater")</f>
        <v>Misty</v>
      </c>
      <c r="M142">
        <v>0.2</v>
      </c>
      <c r="N142" t="str">
        <f>IF(M142&lt;=0.2,"Low",IF(M142&lt;=0.4,"Mid","High"))</f>
        <v>Low</v>
      </c>
      <c r="O142">
        <v>0.19700000000000001</v>
      </c>
      <c r="P142" t="str">
        <f>IF(O142&lt;=0.15,"Very Cold",IF(O142&lt;=0.3,"Cold",IF(O142&lt;=0.45,"Pleasant","Hot")))</f>
        <v>Cold</v>
      </c>
      <c r="Q142">
        <v>0.69</v>
      </c>
      <c r="R142" t="str">
        <f>IF(Q142&lt;=0.25,"Low ",IF(Q142&lt;=0.5,"Moderate ",IF(Q142&lt;=0.75,"High ","Very High ")))</f>
        <v xml:space="preserve">High </v>
      </c>
      <c r="S142">
        <v>0.22389999999999999</v>
      </c>
      <c r="T142" t="str">
        <f>IF(S142&lt;=0.15,"Calm",IF(S142&lt;=0.3,"Light Wind",IF(S142&lt;=0.45,"Moderate Wind","Strong Wind")))</f>
        <v>Light Wind</v>
      </c>
      <c r="U142">
        <v>0</v>
      </c>
      <c r="V142">
        <v>1</v>
      </c>
      <c r="W142">
        <v>1</v>
      </c>
      <c r="X142" t="str">
        <f>IF(W142&lt;=75,"Low Demand",IF(W142&lt;=150,"Medium Demand",IF(W142&lt;=225,"High Demand","Very High Demand")))</f>
        <v>Low Demand</v>
      </c>
    </row>
    <row r="143" spans="1:24" x14ac:dyDescent="0.25">
      <c r="A143">
        <v>142</v>
      </c>
      <c r="B143" s="2">
        <v>40550</v>
      </c>
      <c r="C143">
        <v>1</v>
      </c>
      <c r="D143">
        <v>0</v>
      </c>
      <c r="E143">
        <v>1</v>
      </c>
      <c r="F143">
        <v>4</v>
      </c>
      <c r="G143" t="str">
        <f>IF(F143&lt;6,"Night",IF(F143&lt;12,"Morning",IF(F143&lt;18,"Afternoon","Evening")))</f>
        <v>Night</v>
      </c>
      <c r="H143">
        <v>0</v>
      </c>
      <c r="I143">
        <v>5</v>
      </c>
      <c r="J143" t="str">
        <f>CHOOSE(I143+1,"Monday","Tuesday","Wednesday","Thursday","Friday","Saturday","Sunday")</f>
        <v>Saturday</v>
      </c>
      <c r="K143">
        <v>2</v>
      </c>
      <c r="L143" t="str">
        <f>CHOOSE(K143+1,"error","Clear","Misty","Rainy","Severe heater")</f>
        <v>Misty</v>
      </c>
      <c r="M143">
        <v>0.2</v>
      </c>
      <c r="N143" t="str">
        <f>IF(M143&lt;=0.2,"Low",IF(M143&lt;=0.4,"Mid","High"))</f>
        <v>Low</v>
      </c>
      <c r="O143">
        <v>0.21210000000000001</v>
      </c>
      <c r="P143" t="str">
        <f>IF(O143&lt;=0.15,"Very Cold",IF(O143&lt;=0.3,"Cold",IF(O143&lt;=0.45,"Pleasant","Hot")))</f>
        <v>Cold</v>
      </c>
      <c r="Q143">
        <v>0.69</v>
      </c>
      <c r="R143" t="str">
        <f>IF(Q143&lt;=0.25,"Low ",IF(Q143&lt;=0.5,"Moderate ",IF(Q143&lt;=0.75,"High ","Very High ")))</f>
        <v xml:space="preserve">High </v>
      </c>
      <c r="S143">
        <v>0.1343</v>
      </c>
      <c r="T143" t="str">
        <f>IF(S143&lt;=0.15,"Calm",IF(S143&lt;=0.3,"Light Wind",IF(S143&lt;=0.45,"Moderate Wind","Strong Wind")))</f>
        <v>Calm</v>
      </c>
      <c r="U143">
        <v>0</v>
      </c>
      <c r="V143">
        <v>1</v>
      </c>
      <c r="W143">
        <v>1</v>
      </c>
      <c r="X143" t="str">
        <f>IF(W143&lt;=75,"Low Demand",IF(W143&lt;=150,"Medium Demand",IF(W143&lt;=225,"High Demand","Very High Demand")))</f>
        <v>Low Demand</v>
      </c>
    </row>
    <row r="144" spans="1:24" x14ac:dyDescent="0.25">
      <c r="A144">
        <v>143</v>
      </c>
      <c r="B144" s="2">
        <v>40550</v>
      </c>
      <c r="C144">
        <v>1</v>
      </c>
      <c r="D144">
        <v>0</v>
      </c>
      <c r="E144">
        <v>1</v>
      </c>
      <c r="F144">
        <v>5</v>
      </c>
      <c r="G144" t="str">
        <f>IF(F144&lt;6,"Night",IF(F144&lt;12,"Morning",IF(F144&lt;18,"Afternoon","Evening")))</f>
        <v>Night</v>
      </c>
      <c r="H144">
        <v>0</v>
      </c>
      <c r="I144">
        <v>5</v>
      </c>
      <c r="J144" t="str">
        <f>CHOOSE(I144+1,"Monday","Tuesday","Wednesday","Thursday","Friday","Saturday","Sunday")</f>
        <v>Saturday</v>
      </c>
      <c r="K144">
        <v>3</v>
      </c>
      <c r="L144" t="str">
        <f>CHOOSE(K144+1,"error","Clear","Misty","Rainy","Severe heater")</f>
        <v>Rainy</v>
      </c>
      <c r="M144">
        <v>0.22</v>
      </c>
      <c r="N144" t="str">
        <f>IF(M144&lt;=0.2,"Low",IF(M144&lt;=0.4,"Mid","High"))</f>
        <v>Mid</v>
      </c>
      <c r="O144">
        <v>0.2727</v>
      </c>
      <c r="P144" t="str">
        <f>IF(O144&lt;=0.15,"Very Cold",IF(O144&lt;=0.3,"Cold",IF(O144&lt;=0.45,"Pleasant","Hot")))</f>
        <v>Cold</v>
      </c>
      <c r="Q144">
        <v>0.55000000000000004</v>
      </c>
      <c r="R144" t="str">
        <f>IF(Q144&lt;=0.25,"Low ",IF(Q144&lt;=0.5,"Moderate ",IF(Q144&lt;=0.75,"High ","Very High ")))</f>
        <v xml:space="preserve">High </v>
      </c>
      <c r="S144">
        <v>0</v>
      </c>
      <c r="T144" t="str">
        <f>IF(S144&lt;=0.15,"Calm",IF(S144&lt;=0.3,"Light Wind",IF(S144&lt;=0.45,"Moderate Wind","Strong Wind")))</f>
        <v>Calm</v>
      </c>
      <c r="U144">
        <v>0</v>
      </c>
      <c r="V144">
        <v>5</v>
      </c>
      <c r="W144">
        <v>5</v>
      </c>
      <c r="X144" t="str">
        <f>IF(W144&lt;=75,"Low Demand",IF(W144&lt;=150,"Medium Demand",IF(W144&lt;=225,"High Demand","Very High Demand")))</f>
        <v>Low Demand</v>
      </c>
    </row>
    <row r="145" spans="1:24" x14ac:dyDescent="0.25">
      <c r="A145">
        <v>144</v>
      </c>
      <c r="B145" s="2">
        <v>40550</v>
      </c>
      <c r="C145">
        <v>1</v>
      </c>
      <c r="D145">
        <v>0</v>
      </c>
      <c r="E145">
        <v>1</v>
      </c>
      <c r="F145">
        <v>6</v>
      </c>
      <c r="G145" t="str">
        <f>IF(F145&lt;6,"Night",IF(F145&lt;12,"Morning",IF(F145&lt;18,"Afternoon","Evening")))</f>
        <v>Morning</v>
      </c>
      <c r="H145">
        <v>0</v>
      </c>
      <c r="I145">
        <v>5</v>
      </c>
      <c r="J145" t="str">
        <f>CHOOSE(I145+1,"Monday","Tuesday","Wednesday","Thursday","Friday","Saturday","Sunday")</f>
        <v>Saturday</v>
      </c>
      <c r="K145">
        <v>2</v>
      </c>
      <c r="L145" t="str">
        <f>CHOOSE(K145+1,"error","Clear","Misty","Rainy","Severe heater")</f>
        <v>Misty</v>
      </c>
      <c r="M145">
        <v>0.2</v>
      </c>
      <c r="N145" t="str">
        <f>IF(M145&lt;=0.2,"Low",IF(M145&lt;=0.4,"Mid","High"))</f>
        <v>Low</v>
      </c>
      <c r="O145">
        <v>0.2576</v>
      </c>
      <c r="P145" t="str">
        <f>IF(O145&lt;=0.15,"Very Cold",IF(O145&lt;=0.3,"Cold",IF(O145&lt;=0.45,"Pleasant","Hot")))</f>
        <v>Cold</v>
      </c>
      <c r="Q145">
        <v>0.69</v>
      </c>
      <c r="R145" t="str">
        <f>IF(Q145&lt;=0.25,"Low ",IF(Q145&lt;=0.5,"Moderate ",IF(Q145&lt;=0.75,"High ","Very High ")))</f>
        <v xml:space="preserve">High </v>
      </c>
      <c r="S145">
        <v>0</v>
      </c>
      <c r="T145" t="str">
        <f>IF(S145&lt;=0.15,"Calm",IF(S145&lt;=0.3,"Light Wind",IF(S145&lt;=0.45,"Moderate Wind","Strong Wind")))</f>
        <v>Calm</v>
      </c>
      <c r="U145">
        <v>8</v>
      </c>
      <c r="V145">
        <v>26</v>
      </c>
      <c r="W145">
        <v>34</v>
      </c>
      <c r="X145" t="str">
        <f>IF(W145&lt;=75,"Low Demand",IF(W145&lt;=150,"Medium Demand",IF(W145&lt;=225,"High Demand","Very High Demand")))</f>
        <v>Low Demand</v>
      </c>
    </row>
    <row r="146" spans="1:24" x14ac:dyDescent="0.25">
      <c r="A146">
        <v>145</v>
      </c>
      <c r="B146" s="2">
        <v>40550</v>
      </c>
      <c r="C146">
        <v>1</v>
      </c>
      <c r="D146">
        <v>0</v>
      </c>
      <c r="E146">
        <v>1</v>
      </c>
      <c r="F146">
        <v>7</v>
      </c>
      <c r="G146" t="str">
        <f>IF(F146&lt;6,"Night",IF(F146&lt;12,"Morning",IF(F146&lt;18,"Afternoon","Evening")))</f>
        <v>Morning</v>
      </c>
      <c r="H146">
        <v>0</v>
      </c>
      <c r="I146">
        <v>5</v>
      </c>
      <c r="J146" t="str">
        <f>CHOOSE(I146+1,"Monday","Tuesday","Wednesday","Thursday","Friday","Saturday","Sunday")</f>
        <v>Saturday</v>
      </c>
      <c r="K146">
        <v>1</v>
      </c>
      <c r="L146" t="str">
        <f>CHOOSE(K146+1,"error","Clear","Misty","Rainy","Severe heater")</f>
        <v>Clear</v>
      </c>
      <c r="M146">
        <v>0.2</v>
      </c>
      <c r="N146" t="str">
        <f>IF(M146&lt;=0.2,"Low",IF(M146&lt;=0.4,"Mid","High"))</f>
        <v>Low</v>
      </c>
      <c r="O146">
        <v>0.21210000000000001</v>
      </c>
      <c r="P146" t="str">
        <f>IF(O146&lt;=0.15,"Very Cold",IF(O146&lt;=0.3,"Cold",IF(O146&lt;=0.45,"Pleasant","Hot")))</f>
        <v>Cold</v>
      </c>
      <c r="Q146">
        <v>0.69</v>
      </c>
      <c r="R146" t="str">
        <f>IF(Q146&lt;=0.25,"Low ",IF(Q146&lt;=0.5,"Moderate ",IF(Q146&lt;=0.75,"High ","Very High ")))</f>
        <v xml:space="preserve">High </v>
      </c>
      <c r="S146">
        <v>0.1343</v>
      </c>
      <c r="T146" t="str">
        <f>IF(S146&lt;=0.15,"Calm",IF(S146&lt;=0.3,"Light Wind",IF(S146&lt;=0.45,"Moderate Wind","Strong Wind")))</f>
        <v>Calm</v>
      </c>
      <c r="U146">
        <v>8</v>
      </c>
      <c r="V146">
        <v>76</v>
      </c>
      <c r="W146">
        <v>84</v>
      </c>
      <c r="X146" t="str">
        <f>IF(W146&lt;=75,"Low Demand",IF(W146&lt;=150,"Medium Demand",IF(W146&lt;=225,"High Demand","Very High Demand")))</f>
        <v>Medium Demand</v>
      </c>
    </row>
    <row r="147" spans="1:24" x14ac:dyDescent="0.25">
      <c r="A147">
        <v>146</v>
      </c>
      <c r="B147" s="2">
        <v>40550</v>
      </c>
      <c r="C147">
        <v>1</v>
      </c>
      <c r="D147">
        <v>0</v>
      </c>
      <c r="E147">
        <v>1</v>
      </c>
      <c r="F147">
        <v>8</v>
      </c>
      <c r="G147" t="str">
        <f>IF(F147&lt;6,"Night",IF(F147&lt;12,"Morning",IF(F147&lt;18,"Afternoon","Evening")))</f>
        <v>Morning</v>
      </c>
      <c r="H147">
        <v>0</v>
      </c>
      <c r="I147">
        <v>5</v>
      </c>
      <c r="J147" t="str">
        <f>CHOOSE(I147+1,"Monday","Tuesday","Wednesday","Thursday","Friday","Saturday","Sunday")</f>
        <v>Saturday</v>
      </c>
      <c r="K147">
        <v>1</v>
      </c>
      <c r="L147" t="str">
        <f>CHOOSE(K147+1,"error","Clear","Misty","Rainy","Severe heater")</f>
        <v>Clear</v>
      </c>
      <c r="M147">
        <v>0.2</v>
      </c>
      <c r="N147" t="str">
        <f>IF(M147&lt;=0.2,"Low",IF(M147&lt;=0.4,"Mid","High"))</f>
        <v>Low</v>
      </c>
      <c r="O147">
        <v>0.19700000000000001</v>
      </c>
      <c r="P147" t="str">
        <f>IF(O147&lt;=0.15,"Very Cold",IF(O147&lt;=0.3,"Cold",IF(O147&lt;=0.45,"Pleasant","Hot")))</f>
        <v>Cold</v>
      </c>
      <c r="Q147">
        <v>0.51</v>
      </c>
      <c r="R147" t="str">
        <f>IF(Q147&lt;=0.25,"Low ",IF(Q147&lt;=0.5,"Moderate ",IF(Q147&lt;=0.75,"High ","Very High ")))</f>
        <v xml:space="preserve">High </v>
      </c>
      <c r="S147">
        <v>0.25369999999999998</v>
      </c>
      <c r="T147" t="str">
        <f>IF(S147&lt;=0.15,"Calm",IF(S147&lt;=0.3,"Light Wind",IF(S147&lt;=0.45,"Moderate Wind","Strong Wind")))</f>
        <v>Light Wind</v>
      </c>
      <c r="U147">
        <v>20</v>
      </c>
      <c r="V147">
        <v>190</v>
      </c>
      <c r="W147">
        <v>210</v>
      </c>
      <c r="X147" t="str">
        <f>IF(W147&lt;=75,"Low Demand",IF(W147&lt;=150,"Medium Demand",IF(W147&lt;=225,"High Demand","Very High Demand")))</f>
        <v>High Demand</v>
      </c>
    </row>
    <row r="148" spans="1:24" x14ac:dyDescent="0.25">
      <c r="A148">
        <v>147</v>
      </c>
      <c r="B148" s="2">
        <v>40550</v>
      </c>
      <c r="C148">
        <v>1</v>
      </c>
      <c r="D148">
        <v>0</v>
      </c>
      <c r="E148">
        <v>1</v>
      </c>
      <c r="F148">
        <v>9</v>
      </c>
      <c r="G148" t="str">
        <f>IF(F148&lt;6,"Night",IF(F148&lt;12,"Morning",IF(F148&lt;18,"Afternoon","Evening")))</f>
        <v>Morning</v>
      </c>
      <c r="H148">
        <v>0</v>
      </c>
      <c r="I148">
        <v>5</v>
      </c>
      <c r="J148" t="str">
        <f>CHOOSE(I148+1,"Monday","Tuesday","Wednesday","Thursday","Friday","Saturday","Sunday")</f>
        <v>Saturday</v>
      </c>
      <c r="K148">
        <v>1</v>
      </c>
      <c r="L148" t="str">
        <f>CHOOSE(K148+1,"error","Clear","Misty","Rainy","Severe heater")</f>
        <v>Clear</v>
      </c>
      <c r="M148">
        <v>0.2</v>
      </c>
      <c r="N148" t="str">
        <f>IF(M148&lt;=0.2,"Low",IF(M148&lt;=0.4,"Mid","High"))</f>
        <v>Low</v>
      </c>
      <c r="O148">
        <v>0.18179999999999999</v>
      </c>
      <c r="P148" t="str">
        <f>IF(O148&lt;=0.15,"Very Cold",IF(O148&lt;=0.3,"Cold",IF(O148&lt;=0.45,"Pleasant","Hot")))</f>
        <v>Cold</v>
      </c>
      <c r="Q148">
        <v>0.47</v>
      </c>
      <c r="R148" t="str">
        <f>IF(Q148&lt;=0.25,"Low ",IF(Q148&lt;=0.5,"Moderate ",IF(Q148&lt;=0.75,"High ","Very High ")))</f>
        <v xml:space="preserve">Moderate </v>
      </c>
      <c r="S148">
        <v>0.29849999999999999</v>
      </c>
      <c r="T148" t="str">
        <f>IF(S148&lt;=0.15,"Calm",IF(S148&lt;=0.3,"Light Wind",IF(S148&lt;=0.45,"Moderate Wind","Strong Wind")))</f>
        <v>Light Wind</v>
      </c>
      <c r="U148">
        <v>9</v>
      </c>
      <c r="V148">
        <v>125</v>
      </c>
      <c r="W148">
        <v>134</v>
      </c>
      <c r="X148" t="str">
        <f>IF(W148&lt;=75,"Low Demand",IF(W148&lt;=150,"Medium Demand",IF(W148&lt;=225,"High Demand","Very High Demand")))</f>
        <v>Medium Demand</v>
      </c>
    </row>
    <row r="149" spans="1:24" x14ac:dyDescent="0.25">
      <c r="A149">
        <v>148</v>
      </c>
      <c r="B149" s="2">
        <v>40550</v>
      </c>
      <c r="C149">
        <v>1</v>
      </c>
      <c r="D149">
        <v>0</v>
      </c>
      <c r="E149">
        <v>1</v>
      </c>
      <c r="F149">
        <v>10</v>
      </c>
      <c r="G149" t="str">
        <f>IF(F149&lt;6,"Night",IF(F149&lt;12,"Morning",IF(F149&lt;18,"Afternoon","Evening")))</f>
        <v>Morning</v>
      </c>
      <c r="H149">
        <v>0</v>
      </c>
      <c r="I149">
        <v>5</v>
      </c>
      <c r="J149" t="str">
        <f>CHOOSE(I149+1,"Monday","Tuesday","Wednesday","Thursday","Friday","Saturday","Sunday")</f>
        <v>Saturday</v>
      </c>
      <c r="K149">
        <v>1</v>
      </c>
      <c r="L149" t="str">
        <f>CHOOSE(K149+1,"error","Clear","Misty","Rainy","Severe heater")</f>
        <v>Clear</v>
      </c>
      <c r="M149">
        <v>0.22</v>
      </c>
      <c r="N149" t="str">
        <f>IF(M149&lt;=0.2,"Low",IF(M149&lt;=0.4,"Mid","High"))</f>
        <v>Mid</v>
      </c>
      <c r="O149">
        <v>0.19700000000000001</v>
      </c>
      <c r="P149" t="str">
        <f>IF(O149&lt;=0.15,"Very Cold",IF(O149&lt;=0.3,"Cold",IF(O149&lt;=0.45,"Pleasant","Hot")))</f>
        <v>Cold</v>
      </c>
      <c r="Q149">
        <v>0.37</v>
      </c>
      <c r="R149" t="str">
        <f>IF(Q149&lt;=0.25,"Low ",IF(Q149&lt;=0.5,"Moderate ",IF(Q149&lt;=0.75,"High ","Very High ")))</f>
        <v xml:space="preserve">Moderate </v>
      </c>
      <c r="S149">
        <v>0.32840000000000003</v>
      </c>
      <c r="T149" t="str">
        <f>IF(S149&lt;=0.15,"Calm",IF(S149&lt;=0.3,"Light Wind",IF(S149&lt;=0.45,"Moderate Wind","Strong Wind")))</f>
        <v>Moderate Wind</v>
      </c>
      <c r="U149">
        <v>16</v>
      </c>
      <c r="V149">
        <v>47</v>
      </c>
      <c r="W149">
        <v>63</v>
      </c>
      <c r="X149" t="str">
        <f>IF(W149&lt;=75,"Low Demand",IF(W149&lt;=150,"Medium Demand",IF(W149&lt;=225,"High Demand","Very High Demand")))</f>
        <v>Low Demand</v>
      </c>
    </row>
    <row r="150" spans="1:24" x14ac:dyDescent="0.25">
      <c r="A150">
        <v>149</v>
      </c>
      <c r="B150" s="2">
        <v>40550</v>
      </c>
      <c r="C150">
        <v>1</v>
      </c>
      <c r="D150">
        <v>0</v>
      </c>
      <c r="E150">
        <v>1</v>
      </c>
      <c r="F150">
        <v>11</v>
      </c>
      <c r="G150" t="str">
        <f>IF(F150&lt;6,"Night",IF(F150&lt;12,"Morning",IF(F150&lt;18,"Afternoon","Evening")))</f>
        <v>Morning</v>
      </c>
      <c r="H150">
        <v>0</v>
      </c>
      <c r="I150">
        <v>5</v>
      </c>
      <c r="J150" t="str">
        <f>CHOOSE(I150+1,"Monday","Tuesday","Wednesday","Thursday","Friday","Saturday","Sunday")</f>
        <v>Saturday</v>
      </c>
      <c r="K150">
        <v>2</v>
      </c>
      <c r="L150" t="str">
        <f>CHOOSE(K150+1,"error","Clear","Misty","Rainy","Severe heater")</f>
        <v>Misty</v>
      </c>
      <c r="M150">
        <v>0.2</v>
      </c>
      <c r="N150" t="str">
        <f>IF(M150&lt;=0.2,"Low",IF(M150&lt;=0.4,"Mid","High"))</f>
        <v>Low</v>
      </c>
      <c r="O150">
        <v>0.19700000000000001</v>
      </c>
      <c r="P150" t="str">
        <f>IF(O150&lt;=0.15,"Very Cold",IF(O150&lt;=0.3,"Cold",IF(O150&lt;=0.45,"Pleasant","Hot")))</f>
        <v>Cold</v>
      </c>
      <c r="Q150">
        <v>0.4</v>
      </c>
      <c r="R150" t="str">
        <f>IF(Q150&lt;=0.25,"Low ",IF(Q150&lt;=0.5,"Moderate ",IF(Q150&lt;=0.75,"High ","Very High ")))</f>
        <v xml:space="preserve">Moderate </v>
      </c>
      <c r="S150">
        <v>0.22389999999999999</v>
      </c>
      <c r="T150" t="str">
        <f>IF(S150&lt;=0.15,"Calm",IF(S150&lt;=0.3,"Light Wind",IF(S150&lt;=0.45,"Moderate Wind","Strong Wind")))</f>
        <v>Light Wind</v>
      </c>
      <c r="U150">
        <v>19</v>
      </c>
      <c r="V150">
        <v>48</v>
      </c>
      <c r="W150">
        <v>67</v>
      </c>
      <c r="X150" t="str">
        <f>IF(W150&lt;=75,"Low Demand",IF(W150&lt;=150,"Medium Demand",IF(W150&lt;=225,"High Demand","Very High Demand")))</f>
        <v>Low Demand</v>
      </c>
    </row>
    <row r="151" spans="1:24" x14ac:dyDescent="0.25">
      <c r="A151">
        <v>150</v>
      </c>
      <c r="B151" s="2">
        <v>40550</v>
      </c>
      <c r="C151">
        <v>1</v>
      </c>
      <c r="D151">
        <v>0</v>
      </c>
      <c r="E151">
        <v>1</v>
      </c>
      <c r="F151">
        <v>12</v>
      </c>
      <c r="G151" t="str">
        <f>IF(F151&lt;6,"Night",IF(F151&lt;12,"Morning",IF(F151&lt;18,"Afternoon","Evening")))</f>
        <v>Afternoon</v>
      </c>
      <c r="H151">
        <v>0</v>
      </c>
      <c r="I151">
        <v>5</v>
      </c>
      <c r="J151" t="str">
        <f>CHOOSE(I151+1,"Monday","Tuesday","Wednesday","Thursday","Friday","Saturday","Sunday")</f>
        <v>Saturday</v>
      </c>
      <c r="K151">
        <v>2</v>
      </c>
      <c r="L151" t="str">
        <f>CHOOSE(K151+1,"error","Clear","Misty","Rainy","Severe heater")</f>
        <v>Misty</v>
      </c>
      <c r="M151">
        <v>0.2</v>
      </c>
      <c r="N151" t="str">
        <f>IF(M151&lt;=0.2,"Low",IF(M151&lt;=0.4,"Mid","High"))</f>
        <v>Low</v>
      </c>
      <c r="O151">
        <v>0.19700000000000001</v>
      </c>
      <c r="P151" t="str">
        <f>IF(O151&lt;=0.15,"Very Cold",IF(O151&lt;=0.3,"Cold",IF(O151&lt;=0.45,"Pleasant","Hot")))</f>
        <v>Cold</v>
      </c>
      <c r="Q151">
        <v>0.37</v>
      </c>
      <c r="R151" t="str">
        <f>IF(Q151&lt;=0.25,"Low ",IF(Q151&lt;=0.5,"Moderate ",IF(Q151&lt;=0.75,"High ","Very High ")))</f>
        <v xml:space="preserve">Moderate </v>
      </c>
      <c r="S151">
        <v>0.25369999999999998</v>
      </c>
      <c r="T151" t="str">
        <f>IF(S151&lt;=0.15,"Calm",IF(S151&lt;=0.3,"Light Wind",IF(S151&lt;=0.45,"Moderate Wind","Strong Wind")))</f>
        <v>Light Wind</v>
      </c>
      <c r="U151">
        <v>9</v>
      </c>
      <c r="V151">
        <v>50</v>
      </c>
      <c r="W151">
        <v>59</v>
      </c>
      <c r="X151" t="str">
        <f>IF(W151&lt;=75,"Low Demand",IF(W151&lt;=150,"Medium Demand",IF(W151&lt;=225,"High Demand","Very High Demand")))</f>
        <v>Low Demand</v>
      </c>
    </row>
    <row r="152" spans="1:24" x14ac:dyDescent="0.25">
      <c r="A152">
        <v>151</v>
      </c>
      <c r="B152" s="2">
        <v>40550</v>
      </c>
      <c r="C152">
        <v>1</v>
      </c>
      <c r="D152">
        <v>0</v>
      </c>
      <c r="E152">
        <v>1</v>
      </c>
      <c r="F152">
        <v>13</v>
      </c>
      <c r="G152" t="str">
        <f>IF(F152&lt;6,"Night",IF(F152&lt;12,"Morning",IF(F152&lt;18,"Afternoon","Evening")))</f>
        <v>Afternoon</v>
      </c>
      <c r="H152">
        <v>0</v>
      </c>
      <c r="I152">
        <v>5</v>
      </c>
      <c r="J152" t="str">
        <f>CHOOSE(I152+1,"Monday","Tuesday","Wednesday","Thursday","Friday","Saturday","Sunday")</f>
        <v>Saturday</v>
      </c>
      <c r="K152">
        <v>2</v>
      </c>
      <c r="L152" t="str">
        <f>CHOOSE(K152+1,"error","Clear","Misty","Rainy","Severe heater")</f>
        <v>Misty</v>
      </c>
      <c r="M152">
        <v>0.2</v>
      </c>
      <c r="N152" t="str">
        <f>IF(M152&lt;=0.2,"Low",IF(M152&lt;=0.4,"Mid","High"))</f>
        <v>Low</v>
      </c>
      <c r="O152">
        <v>0.18179999999999999</v>
      </c>
      <c r="P152" t="str">
        <f>IF(O152&lt;=0.15,"Very Cold",IF(O152&lt;=0.3,"Cold",IF(O152&lt;=0.45,"Pleasant","Hot")))</f>
        <v>Cold</v>
      </c>
      <c r="Q152">
        <v>0.37</v>
      </c>
      <c r="R152" t="str">
        <f>IF(Q152&lt;=0.25,"Low ",IF(Q152&lt;=0.5,"Moderate ",IF(Q152&lt;=0.75,"High ","Very High ")))</f>
        <v xml:space="preserve">Moderate </v>
      </c>
      <c r="S152">
        <v>0.28360000000000002</v>
      </c>
      <c r="T152" t="str">
        <f>IF(S152&lt;=0.15,"Calm",IF(S152&lt;=0.3,"Light Wind",IF(S152&lt;=0.45,"Moderate Wind","Strong Wind")))</f>
        <v>Light Wind</v>
      </c>
      <c r="U152">
        <v>9</v>
      </c>
      <c r="V152">
        <v>64</v>
      </c>
      <c r="W152">
        <v>73</v>
      </c>
      <c r="X152" t="str">
        <f>IF(W152&lt;=75,"Low Demand",IF(W152&lt;=150,"Medium Demand",IF(W152&lt;=225,"High Demand","Very High Demand")))</f>
        <v>Low Demand</v>
      </c>
    </row>
    <row r="153" spans="1:24" x14ac:dyDescent="0.25">
      <c r="A153">
        <v>152</v>
      </c>
      <c r="B153" s="2">
        <v>40550</v>
      </c>
      <c r="C153">
        <v>1</v>
      </c>
      <c r="D153">
        <v>0</v>
      </c>
      <c r="E153">
        <v>1</v>
      </c>
      <c r="F153">
        <v>14</v>
      </c>
      <c r="G153" t="str">
        <f>IF(F153&lt;6,"Night",IF(F153&lt;12,"Morning",IF(F153&lt;18,"Afternoon","Evening")))</f>
        <v>Afternoon</v>
      </c>
      <c r="H153">
        <v>0</v>
      </c>
      <c r="I153">
        <v>5</v>
      </c>
      <c r="J153" t="str">
        <f>CHOOSE(I153+1,"Monday","Tuesday","Wednesday","Thursday","Friday","Saturday","Sunday")</f>
        <v>Saturday</v>
      </c>
      <c r="K153">
        <v>2</v>
      </c>
      <c r="L153" t="str">
        <f>CHOOSE(K153+1,"error","Clear","Misty","Rainy","Severe heater")</f>
        <v>Misty</v>
      </c>
      <c r="M153">
        <v>0.2</v>
      </c>
      <c r="N153" t="str">
        <f>IF(M153&lt;=0.2,"Low",IF(M153&lt;=0.4,"Mid","High"))</f>
        <v>Low</v>
      </c>
      <c r="O153">
        <v>0.19700000000000001</v>
      </c>
      <c r="P153" t="str">
        <f>IF(O153&lt;=0.15,"Very Cold",IF(O153&lt;=0.3,"Cold",IF(O153&lt;=0.45,"Pleasant","Hot")))</f>
        <v>Cold</v>
      </c>
      <c r="Q153">
        <v>0.4</v>
      </c>
      <c r="R153" t="str">
        <f>IF(Q153&lt;=0.25,"Low ",IF(Q153&lt;=0.5,"Moderate ",IF(Q153&lt;=0.75,"High ","Very High ")))</f>
        <v xml:space="preserve">Moderate </v>
      </c>
      <c r="S153">
        <v>0.25369999999999998</v>
      </c>
      <c r="T153" t="str">
        <f>IF(S153&lt;=0.15,"Calm",IF(S153&lt;=0.3,"Light Wind",IF(S153&lt;=0.45,"Moderate Wind","Strong Wind")))</f>
        <v>Light Wind</v>
      </c>
      <c r="U153">
        <v>7</v>
      </c>
      <c r="V153">
        <v>43</v>
      </c>
      <c r="W153">
        <v>50</v>
      </c>
      <c r="X153" t="str">
        <f>IF(W153&lt;=75,"Low Demand",IF(W153&lt;=150,"Medium Demand",IF(W153&lt;=225,"High Demand","Very High Demand")))</f>
        <v>Low Demand</v>
      </c>
    </row>
    <row r="154" spans="1:24" x14ac:dyDescent="0.25">
      <c r="A154">
        <v>153</v>
      </c>
      <c r="B154" s="2">
        <v>40550</v>
      </c>
      <c r="C154">
        <v>1</v>
      </c>
      <c r="D154">
        <v>0</v>
      </c>
      <c r="E154">
        <v>1</v>
      </c>
      <c r="F154">
        <v>15</v>
      </c>
      <c r="G154" t="str">
        <f>IF(F154&lt;6,"Night",IF(F154&lt;12,"Morning",IF(F154&lt;18,"Afternoon","Evening")))</f>
        <v>Afternoon</v>
      </c>
      <c r="H154">
        <v>0</v>
      </c>
      <c r="I154">
        <v>5</v>
      </c>
      <c r="J154" t="str">
        <f>CHOOSE(I154+1,"Monday","Tuesday","Wednesday","Thursday","Friday","Saturday","Sunday")</f>
        <v>Saturday</v>
      </c>
      <c r="K154">
        <v>2</v>
      </c>
      <c r="L154" t="str">
        <f>CHOOSE(K154+1,"error","Clear","Misty","Rainy","Severe heater")</f>
        <v>Misty</v>
      </c>
      <c r="M154">
        <v>0.2</v>
      </c>
      <c r="N154" t="str">
        <f>IF(M154&lt;=0.2,"Low",IF(M154&lt;=0.4,"Mid","High"))</f>
        <v>Low</v>
      </c>
      <c r="O154">
        <v>0.21210000000000001</v>
      </c>
      <c r="P154" t="str">
        <f>IF(O154&lt;=0.15,"Very Cold",IF(O154&lt;=0.3,"Cold",IF(O154&lt;=0.45,"Pleasant","Hot")))</f>
        <v>Cold</v>
      </c>
      <c r="Q154">
        <v>0.37</v>
      </c>
      <c r="R154" t="str">
        <f>IF(Q154&lt;=0.25,"Low ",IF(Q154&lt;=0.5,"Moderate ",IF(Q154&lt;=0.75,"High ","Very High ")))</f>
        <v xml:space="preserve">Moderate </v>
      </c>
      <c r="S154">
        <v>0.16420000000000001</v>
      </c>
      <c r="T154" t="str">
        <f>IF(S154&lt;=0.15,"Calm",IF(S154&lt;=0.3,"Light Wind",IF(S154&lt;=0.45,"Moderate Wind","Strong Wind")))</f>
        <v>Light Wind</v>
      </c>
      <c r="U154">
        <v>9</v>
      </c>
      <c r="V154">
        <v>63</v>
      </c>
      <c r="W154">
        <v>72</v>
      </c>
      <c r="X154" t="str">
        <f>IF(W154&lt;=75,"Low Demand",IF(W154&lt;=150,"Medium Demand",IF(W154&lt;=225,"High Demand","Very High Demand")))</f>
        <v>Low Demand</v>
      </c>
    </row>
    <row r="155" spans="1:24" x14ac:dyDescent="0.25">
      <c r="A155">
        <v>154</v>
      </c>
      <c r="B155" s="2">
        <v>40550</v>
      </c>
      <c r="C155">
        <v>1</v>
      </c>
      <c r="D155">
        <v>0</v>
      </c>
      <c r="E155">
        <v>1</v>
      </c>
      <c r="F155">
        <v>16</v>
      </c>
      <c r="G155" t="str">
        <f>IF(F155&lt;6,"Night",IF(F155&lt;12,"Morning",IF(F155&lt;18,"Afternoon","Evening")))</f>
        <v>Afternoon</v>
      </c>
      <c r="H155">
        <v>0</v>
      </c>
      <c r="I155">
        <v>5</v>
      </c>
      <c r="J155" t="str">
        <f>CHOOSE(I155+1,"Monday","Tuesday","Wednesday","Thursday","Friday","Saturday","Sunday")</f>
        <v>Saturday</v>
      </c>
      <c r="K155">
        <v>2</v>
      </c>
      <c r="L155" t="str">
        <f>CHOOSE(K155+1,"error","Clear","Misty","Rainy","Severe heater")</f>
        <v>Misty</v>
      </c>
      <c r="M155">
        <v>0.2</v>
      </c>
      <c r="N155" t="str">
        <f>IF(M155&lt;=0.2,"Low",IF(M155&lt;=0.4,"Mid","High"))</f>
        <v>Low</v>
      </c>
      <c r="O155">
        <v>0.21210000000000001</v>
      </c>
      <c r="P155" t="str">
        <f>IF(O155&lt;=0.15,"Very Cold",IF(O155&lt;=0.3,"Cold",IF(O155&lt;=0.45,"Pleasant","Hot")))</f>
        <v>Cold</v>
      </c>
      <c r="Q155">
        <v>0.37</v>
      </c>
      <c r="R155" t="str">
        <f>IF(Q155&lt;=0.25,"Low ",IF(Q155&lt;=0.5,"Moderate ",IF(Q155&lt;=0.75,"High ","Very High ")))</f>
        <v xml:space="preserve">Moderate </v>
      </c>
      <c r="S155">
        <v>0.16420000000000001</v>
      </c>
      <c r="T155" t="str">
        <f>IF(S155&lt;=0.15,"Calm",IF(S155&lt;=0.3,"Light Wind",IF(S155&lt;=0.45,"Moderate Wind","Strong Wind")))</f>
        <v>Light Wind</v>
      </c>
      <c r="U155">
        <v>5</v>
      </c>
      <c r="V155">
        <v>82</v>
      </c>
      <c r="W155">
        <v>87</v>
      </c>
      <c r="X155" t="str">
        <f>IF(W155&lt;=75,"Low Demand",IF(W155&lt;=150,"Medium Demand",IF(W155&lt;=225,"High Demand","Very High Demand")))</f>
        <v>Medium Demand</v>
      </c>
    </row>
    <row r="156" spans="1:24" x14ac:dyDescent="0.25">
      <c r="A156">
        <v>155</v>
      </c>
      <c r="B156" s="2">
        <v>40550</v>
      </c>
      <c r="C156">
        <v>1</v>
      </c>
      <c r="D156">
        <v>0</v>
      </c>
      <c r="E156">
        <v>1</v>
      </c>
      <c r="F156">
        <v>17</v>
      </c>
      <c r="G156" t="str">
        <f>IF(F156&lt;6,"Night",IF(F156&lt;12,"Morning",IF(F156&lt;18,"Afternoon","Evening")))</f>
        <v>Afternoon</v>
      </c>
      <c r="H156">
        <v>0</v>
      </c>
      <c r="I156">
        <v>5</v>
      </c>
      <c r="J156" t="str">
        <f>CHOOSE(I156+1,"Monday","Tuesday","Wednesday","Thursday","Friday","Saturday","Sunday")</f>
        <v>Saturday</v>
      </c>
      <c r="K156">
        <v>2</v>
      </c>
      <c r="L156" t="str">
        <f>CHOOSE(K156+1,"error","Clear","Misty","Rainy","Severe heater")</f>
        <v>Misty</v>
      </c>
      <c r="M156">
        <v>0.2</v>
      </c>
      <c r="N156" t="str">
        <f>IF(M156&lt;=0.2,"Low",IF(M156&lt;=0.4,"Mid","High"))</f>
        <v>Low</v>
      </c>
      <c r="O156">
        <v>0.2576</v>
      </c>
      <c r="P156" t="str">
        <f>IF(O156&lt;=0.15,"Very Cold",IF(O156&lt;=0.3,"Cold",IF(O156&lt;=0.45,"Pleasant","Hot")))</f>
        <v>Cold</v>
      </c>
      <c r="Q156">
        <v>0.37</v>
      </c>
      <c r="R156" t="str">
        <f>IF(Q156&lt;=0.25,"Low ",IF(Q156&lt;=0.5,"Moderate ",IF(Q156&lt;=0.75,"High ","Very High ")))</f>
        <v xml:space="preserve">Moderate </v>
      </c>
      <c r="S156">
        <v>0</v>
      </c>
      <c r="T156" t="str">
        <f>IF(S156&lt;=0.15,"Calm",IF(S156&lt;=0.3,"Light Wind",IF(S156&lt;=0.45,"Moderate Wind","Strong Wind")))</f>
        <v>Calm</v>
      </c>
      <c r="U156">
        <v>9</v>
      </c>
      <c r="V156">
        <v>178</v>
      </c>
      <c r="W156">
        <v>187</v>
      </c>
      <c r="X156" t="str">
        <f>IF(W156&lt;=75,"Low Demand",IF(W156&lt;=150,"Medium Demand",IF(W156&lt;=225,"High Demand","Very High Demand")))</f>
        <v>High Demand</v>
      </c>
    </row>
    <row r="157" spans="1:24" x14ac:dyDescent="0.25">
      <c r="A157">
        <v>156</v>
      </c>
      <c r="B157" s="2">
        <v>40550</v>
      </c>
      <c r="C157">
        <v>1</v>
      </c>
      <c r="D157">
        <v>0</v>
      </c>
      <c r="E157">
        <v>1</v>
      </c>
      <c r="F157">
        <v>18</v>
      </c>
      <c r="G157" t="str">
        <f>IF(F157&lt;6,"Night",IF(F157&lt;12,"Morning",IF(F157&lt;18,"Afternoon","Evening")))</f>
        <v>Evening</v>
      </c>
      <c r="H157">
        <v>0</v>
      </c>
      <c r="I157">
        <v>5</v>
      </c>
      <c r="J157" t="str">
        <f>CHOOSE(I157+1,"Monday","Tuesday","Wednesday","Thursday","Friday","Saturday","Sunday")</f>
        <v>Saturday</v>
      </c>
      <c r="K157">
        <v>1</v>
      </c>
      <c r="L157" t="str">
        <f>CHOOSE(K157+1,"error","Clear","Misty","Rainy","Severe heater")</f>
        <v>Clear</v>
      </c>
      <c r="M157">
        <v>0.2</v>
      </c>
      <c r="N157" t="str">
        <f>IF(M157&lt;=0.2,"Low",IF(M157&lt;=0.4,"Mid","High"))</f>
        <v>Low</v>
      </c>
      <c r="O157">
        <v>0.2273</v>
      </c>
      <c r="P157" t="str">
        <f>IF(O157&lt;=0.15,"Very Cold",IF(O157&lt;=0.3,"Cold",IF(O157&lt;=0.45,"Pleasant","Hot")))</f>
        <v>Cold</v>
      </c>
      <c r="Q157">
        <v>0.4</v>
      </c>
      <c r="R157" t="str">
        <f>IF(Q157&lt;=0.25,"Low ",IF(Q157&lt;=0.5,"Moderate ",IF(Q157&lt;=0.75,"High ","Very High ")))</f>
        <v xml:space="preserve">Moderate </v>
      </c>
      <c r="S157">
        <v>8.9599999999999999E-2</v>
      </c>
      <c r="T157" t="str">
        <f>IF(S157&lt;=0.15,"Calm",IF(S157&lt;=0.3,"Light Wind",IF(S157&lt;=0.45,"Moderate Wind","Strong Wind")))</f>
        <v>Calm</v>
      </c>
      <c r="U157">
        <v>7</v>
      </c>
      <c r="V157">
        <v>116</v>
      </c>
      <c r="W157">
        <v>123</v>
      </c>
      <c r="X157" t="str">
        <f>IF(W157&lt;=75,"Low Demand",IF(W157&lt;=150,"Medium Demand",IF(W157&lt;=225,"High Demand","Very High Demand")))</f>
        <v>Medium Demand</v>
      </c>
    </row>
    <row r="158" spans="1:24" x14ac:dyDescent="0.25">
      <c r="A158">
        <v>157</v>
      </c>
      <c r="B158" s="2">
        <v>40550</v>
      </c>
      <c r="C158">
        <v>1</v>
      </c>
      <c r="D158">
        <v>0</v>
      </c>
      <c r="E158">
        <v>1</v>
      </c>
      <c r="F158">
        <v>19</v>
      </c>
      <c r="G158" t="str">
        <f>IF(F158&lt;6,"Night",IF(F158&lt;12,"Morning",IF(F158&lt;18,"Afternoon","Evening")))</f>
        <v>Evening</v>
      </c>
      <c r="H158">
        <v>0</v>
      </c>
      <c r="I158">
        <v>5</v>
      </c>
      <c r="J158" t="str">
        <f>CHOOSE(I158+1,"Monday","Tuesday","Wednesday","Thursday","Friday","Saturday","Sunday")</f>
        <v>Saturday</v>
      </c>
      <c r="K158">
        <v>1</v>
      </c>
      <c r="L158" t="str">
        <f>CHOOSE(K158+1,"error","Clear","Misty","Rainy","Severe heater")</f>
        <v>Clear</v>
      </c>
      <c r="M158">
        <v>0.16</v>
      </c>
      <c r="N158" t="str">
        <f>IF(M158&lt;=0.2,"Low",IF(M158&lt;=0.4,"Mid","High"))</f>
        <v>Low</v>
      </c>
      <c r="O158">
        <v>0.19700000000000001</v>
      </c>
      <c r="P158" t="str">
        <f>IF(O158&lt;=0.15,"Very Cold",IF(O158&lt;=0.3,"Cold",IF(O158&lt;=0.45,"Pleasant","Hot")))</f>
        <v>Cold</v>
      </c>
      <c r="Q158">
        <v>0.55000000000000004</v>
      </c>
      <c r="R158" t="str">
        <f>IF(Q158&lt;=0.25,"Low ",IF(Q158&lt;=0.5,"Moderate ",IF(Q158&lt;=0.75,"High ","Very High ")))</f>
        <v xml:space="preserve">High </v>
      </c>
      <c r="S158">
        <v>8.9599999999999999E-2</v>
      </c>
      <c r="T158" t="str">
        <f>IF(S158&lt;=0.15,"Calm",IF(S158&lt;=0.3,"Light Wind",IF(S158&lt;=0.45,"Moderate Wind","Strong Wind")))</f>
        <v>Calm</v>
      </c>
      <c r="U158">
        <v>3</v>
      </c>
      <c r="V158">
        <v>92</v>
      </c>
      <c r="W158">
        <v>95</v>
      </c>
      <c r="X158" t="str">
        <f>IF(W158&lt;=75,"Low Demand",IF(W158&lt;=150,"Medium Demand",IF(W158&lt;=225,"High Demand","Very High Demand")))</f>
        <v>Medium Demand</v>
      </c>
    </row>
    <row r="159" spans="1:24" x14ac:dyDescent="0.25">
      <c r="A159">
        <v>158</v>
      </c>
      <c r="B159" s="2">
        <v>40550</v>
      </c>
      <c r="C159">
        <v>1</v>
      </c>
      <c r="D159">
        <v>0</v>
      </c>
      <c r="E159">
        <v>1</v>
      </c>
      <c r="F159">
        <v>20</v>
      </c>
      <c r="G159" t="str">
        <f>IF(F159&lt;6,"Night",IF(F159&lt;12,"Morning",IF(F159&lt;18,"Afternoon","Evening")))</f>
        <v>Evening</v>
      </c>
      <c r="H159">
        <v>0</v>
      </c>
      <c r="I159">
        <v>5</v>
      </c>
      <c r="J159" t="str">
        <f>CHOOSE(I159+1,"Monday","Tuesday","Wednesday","Thursday","Friday","Saturday","Sunday")</f>
        <v>Saturday</v>
      </c>
      <c r="K159">
        <v>1</v>
      </c>
      <c r="L159" t="str">
        <f>CHOOSE(K159+1,"error","Clear","Misty","Rainy","Severe heater")</f>
        <v>Clear</v>
      </c>
      <c r="M159">
        <v>0.18</v>
      </c>
      <c r="N159" t="str">
        <f>IF(M159&lt;=0.2,"Low",IF(M159&lt;=0.4,"Mid","High"))</f>
        <v>Low</v>
      </c>
      <c r="O159">
        <v>0.21210000000000001</v>
      </c>
      <c r="P159" t="str">
        <f>IF(O159&lt;=0.15,"Very Cold",IF(O159&lt;=0.3,"Cold",IF(O159&lt;=0.45,"Pleasant","Hot")))</f>
        <v>Cold</v>
      </c>
      <c r="Q159">
        <v>0.47</v>
      </c>
      <c r="R159" t="str">
        <f>IF(Q159&lt;=0.25,"Low ",IF(Q159&lt;=0.5,"Moderate ",IF(Q159&lt;=0.75,"High ","Very High ")))</f>
        <v xml:space="preserve">Moderate </v>
      </c>
      <c r="S159">
        <v>0.1045</v>
      </c>
      <c r="T159" t="str">
        <f>IF(S159&lt;=0.15,"Calm",IF(S159&lt;=0.3,"Light Wind",IF(S159&lt;=0.45,"Moderate Wind","Strong Wind")))</f>
        <v>Calm</v>
      </c>
      <c r="U159">
        <v>1</v>
      </c>
      <c r="V159">
        <v>50</v>
      </c>
      <c r="W159">
        <v>51</v>
      </c>
      <c r="X159" t="str">
        <f>IF(W159&lt;=75,"Low Demand",IF(W159&lt;=150,"Medium Demand",IF(W159&lt;=225,"High Demand","Very High Demand")))</f>
        <v>Low Demand</v>
      </c>
    </row>
    <row r="160" spans="1:24" x14ac:dyDescent="0.25">
      <c r="A160">
        <v>159</v>
      </c>
      <c r="B160" s="2">
        <v>40550</v>
      </c>
      <c r="C160">
        <v>1</v>
      </c>
      <c r="D160">
        <v>0</v>
      </c>
      <c r="E160">
        <v>1</v>
      </c>
      <c r="F160">
        <v>21</v>
      </c>
      <c r="G160" t="str">
        <f>IF(F160&lt;6,"Night",IF(F160&lt;12,"Morning",IF(F160&lt;18,"Afternoon","Evening")))</f>
        <v>Evening</v>
      </c>
      <c r="H160">
        <v>0</v>
      </c>
      <c r="I160">
        <v>5</v>
      </c>
      <c r="J160" t="str">
        <f>CHOOSE(I160+1,"Monday","Tuesday","Wednesday","Thursday","Friday","Saturday","Sunday")</f>
        <v>Saturday</v>
      </c>
      <c r="K160">
        <v>1</v>
      </c>
      <c r="L160" t="str">
        <f>CHOOSE(K160+1,"error","Clear","Misty","Rainy","Severe heater")</f>
        <v>Clear</v>
      </c>
      <c r="M160">
        <v>0.18</v>
      </c>
      <c r="N160" t="str">
        <f>IF(M160&lt;=0.2,"Low",IF(M160&lt;=0.4,"Mid","High"))</f>
        <v>Low</v>
      </c>
      <c r="O160">
        <v>0.19700000000000001</v>
      </c>
      <c r="P160" t="str">
        <f>IF(O160&lt;=0.15,"Very Cold",IF(O160&lt;=0.3,"Cold",IF(O160&lt;=0.45,"Pleasant","Hot")))</f>
        <v>Cold</v>
      </c>
      <c r="Q160">
        <v>0.47</v>
      </c>
      <c r="R160" t="str">
        <f>IF(Q160&lt;=0.25,"Low ",IF(Q160&lt;=0.5,"Moderate ",IF(Q160&lt;=0.75,"High ","Very High ")))</f>
        <v xml:space="preserve">Moderate </v>
      </c>
      <c r="S160">
        <v>0.1343</v>
      </c>
      <c r="T160" t="str">
        <f>IF(S160&lt;=0.15,"Calm",IF(S160&lt;=0.3,"Light Wind",IF(S160&lt;=0.45,"Moderate Wind","Strong Wind")))</f>
        <v>Calm</v>
      </c>
      <c r="U160">
        <v>0</v>
      </c>
      <c r="V160">
        <v>39</v>
      </c>
      <c r="W160">
        <v>39</v>
      </c>
      <c r="X160" t="str">
        <f>IF(W160&lt;=75,"Low Demand",IF(W160&lt;=150,"Medium Demand",IF(W160&lt;=225,"High Demand","Very High Demand")))</f>
        <v>Low Demand</v>
      </c>
    </row>
    <row r="161" spans="1:24" x14ac:dyDescent="0.25">
      <c r="A161">
        <v>160</v>
      </c>
      <c r="B161" s="2">
        <v>40550</v>
      </c>
      <c r="C161">
        <v>1</v>
      </c>
      <c r="D161">
        <v>0</v>
      </c>
      <c r="E161">
        <v>1</v>
      </c>
      <c r="F161">
        <v>22</v>
      </c>
      <c r="G161" t="str">
        <f>IF(F161&lt;6,"Night",IF(F161&lt;12,"Morning",IF(F161&lt;18,"Afternoon","Evening")))</f>
        <v>Evening</v>
      </c>
      <c r="H161">
        <v>0</v>
      </c>
      <c r="I161">
        <v>5</v>
      </c>
      <c r="J161" t="str">
        <f>CHOOSE(I161+1,"Monday","Tuesday","Wednesday","Thursday","Friday","Saturday","Sunday")</f>
        <v>Saturday</v>
      </c>
      <c r="K161">
        <v>2</v>
      </c>
      <c r="L161" t="str">
        <f>CHOOSE(K161+1,"error","Clear","Misty","Rainy","Severe heater")</f>
        <v>Misty</v>
      </c>
      <c r="M161">
        <v>0.18</v>
      </c>
      <c r="N161" t="str">
        <f>IF(M161&lt;=0.2,"Low",IF(M161&lt;=0.4,"Mid","High"))</f>
        <v>Low</v>
      </c>
      <c r="O161">
        <v>0.19700000000000001</v>
      </c>
      <c r="P161" t="str">
        <f>IF(O161&lt;=0.15,"Very Cold",IF(O161&lt;=0.3,"Cold",IF(O161&lt;=0.45,"Pleasant","Hot")))</f>
        <v>Cold</v>
      </c>
      <c r="Q161">
        <v>0.43</v>
      </c>
      <c r="R161" t="str">
        <f>IF(Q161&lt;=0.25,"Low ",IF(Q161&lt;=0.5,"Moderate ",IF(Q161&lt;=0.75,"High ","Very High ")))</f>
        <v xml:space="preserve">Moderate </v>
      </c>
      <c r="S161">
        <v>0.16420000000000001</v>
      </c>
      <c r="T161" t="str">
        <f>IF(S161&lt;=0.15,"Calm",IF(S161&lt;=0.3,"Light Wind",IF(S161&lt;=0.45,"Moderate Wind","Strong Wind")))</f>
        <v>Light Wind</v>
      </c>
      <c r="U161">
        <v>2</v>
      </c>
      <c r="V161">
        <v>34</v>
      </c>
      <c r="W161">
        <v>36</v>
      </c>
      <c r="X161" t="str">
        <f>IF(W161&lt;=75,"Low Demand",IF(W161&lt;=150,"Medium Demand",IF(W161&lt;=225,"High Demand","Very High Demand")))</f>
        <v>Low Demand</v>
      </c>
    </row>
    <row r="162" spans="1:24" x14ac:dyDescent="0.25">
      <c r="A162">
        <v>161</v>
      </c>
      <c r="B162" s="2">
        <v>40550</v>
      </c>
      <c r="C162">
        <v>1</v>
      </c>
      <c r="D162">
        <v>0</v>
      </c>
      <c r="E162">
        <v>1</v>
      </c>
      <c r="F162">
        <v>23</v>
      </c>
      <c r="G162" t="str">
        <f>IF(F162&lt;6,"Night",IF(F162&lt;12,"Morning",IF(F162&lt;18,"Afternoon","Evening")))</f>
        <v>Evening</v>
      </c>
      <c r="H162">
        <v>0</v>
      </c>
      <c r="I162">
        <v>5</v>
      </c>
      <c r="J162" t="str">
        <f>CHOOSE(I162+1,"Monday","Tuesday","Wednesday","Thursday","Friday","Saturday","Sunday")</f>
        <v>Saturday</v>
      </c>
      <c r="K162">
        <v>2</v>
      </c>
      <c r="L162" t="str">
        <f>CHOOSE(K162+1,"error","Clear","Misty","Rainy","Severe heater")</f>
        <v>Misty</v>
      </c>
      <c r="M162">
        <v>0.18</v>
      </c>
      <c r="N162" t="str">
        <f>IF(M162&lt;=0.2,"Low",IF(M162&lt;=0.4,"Mid","High"))</f>
        <v>Low</v>
      </c>
      <c r="O162">
        <v>0.19700000000000001</v>
      </c>
      <c r="P162" t="str">
        <f>IF(O162&lt;=0.15,"Very Cold",IF(O162&lt;=0.3,"Cold",IF(O162&lt;=0.45,"Pleasant","Hot")))</f>
        <v>Cold</v>
      </c>
      <c r="Q162">
        <v>0.51</v>
      </c>
      <c r="R162" t="str">
        <f>IF(Q162&lt;=0.25,"Low ",IF(Q162&lt;=0.5,"Moderate ",IF(Q162&lt;=0.75,"High ","Very High ")))</f>
        <v xml:space="preserve">High </v>
      </c>
      <c r="S162">
        <v>0.16420000000000001</v>
      </c>
      <c r="T162" t="str">
        <f>IF(S162&lt;=0.15,"Calm",IF(S162&lt;=0.3,"Light Wind",IF(S162&lt;=0.45,"Moderate Wind","Strong Wind")))</f>
        <v>Light Wind</v>
      </c>
      <c r="U162">
        <v>1</v>
      </c>
      <c r="V162">
        <v>14</v>
      </c>
      <c r="W162">
        <v>15</v>
      </c>
      <c r="X162" t="str">
        <f>IF(W162&lt;=75,"Low Demand",IF(W162&lt;=150,"Medium Demand",IF(W162&lt;=225,"High Demand","Very High Demand")))</f>
        <v>Low Demand</v>
      </c>
    </row>
    <row r="163" spans="1:24" x14ac:dyDescent="0.25">
      <c r="A163">
        <v>162</v>
      </c>
      <c r="B163" s="2">
        <v>40551</v>
      </c>
      <c r="C163">
        <v>1</v>
      </c>
      <c r="D163">
        <v>0</v>
      </c>
      <c r="E163">
        <v>1</v>
      </c>
      <c r="F163">
        <v>0</v>
      </c>
      <c r="G163" t="str">
        <f>IF(F163&lt;6,"Night",IF(F163&lt;12,"Morning",IF(F163&lt;18,"Afternoon","Evening")))</f>
        <v>Night</v>
      </c>
      <c r="H163">
        <v>0</v>
      </c>
      <c r="I163">
        <v>6</v>
      </c>
      <c r="J163" t="str">
        <f>CHOOSE(I163+1,"Monday","Tuesday","Wednesday","Thursday","Friday","Saturday","Sunday")</f>
        <v>Sunday</v>
      </c>
      <c r="K163">
        <v>2</v>
      </c>
      <c r="L163" t="str">
        <f>CHOOSE(K163+1,"error","Clear","Misty","Rainy","Severe heater")</f>
        <v>Misty</v>
      </c>
      <c r="M163">
        <v>0.18</v>
      </c>
      <c r="N163" t="str">
        <f>IF(M163&lt;=0.2,"Low",IF(M163&lt;=0.4,"Mid","High"))</f>
        <v>Low</v>
      </c>
      <c r="O163">
        <v>0.19700000000000001</v>
      </c>
      <c r="P163" t="str">
        <f>IF(O163&lt;=0.15,"Very Cold",IF(O163&lt;=0.3,"Cold",IF(O163&lt;=0.45,"Pleasant","Hot")))</f>
        <v>Cold</v>
      </c>
      <c r="Q163">
        <v>0.51</v>
      </c>
      <c r="R163" t="str">
        <f>IF(Q163&lt;=0.25,"Low ",IF(Q163&lt;=0.5,"Moderate ",IF(Q163&lt;=0.75,"High ","Very High ")))</f>
        <v xml:space="preserve">High </v>
      </c>
      <c r="S163">
        <v>0.16420000000000001</v>
      </c>
      <c r="T163" t="str">
        <f>IF(S163&lt;=0.15,"Calm",IF(S163&lt;=0.3,"Light Wind",IF(S163&lt;=0.45,"Moderate Wind","Strong Wind")))</f>
        <v>Light Wind</v>
      </c>
      <c r="U163">
        <v>1</v>
      </c>
      <c r="V163">
        <v>24</v>
      </c>
      <c r="W163">
        <v>25</v>
      </c>
      <c r="X163" t="str">
        <f>IF(W163&lt;=75,"Low Demand",IF(W163&lt;=150,"Medium Demand",IF(W163&lt;=225,"High Demand","Very High Demand")))</f>
        <v>Low Demand</v>
      </c>
    </row>
    <row r="164" spans="1:24" x14ac:dyDescent="0.25">
      <c r="A164">
        <v>163</v>
      </c>
      <c r="B164" s="2">
        <v>40551</v>
      </c>
      <c r="C164">
        <v>1</v>
      </c>
      <c r="D164">
        <v>0</v>
      </c>
      <c r="E164">
        <v>1</v>
      </c>
      <c r="F164">
        <v>1</v>
      </c>
      <c r="G164" t="str">
        <f>IF(F164&lt;6,"Night",IF(F164&lt;12,"Morning",IF(F164&lt;18,"Afternoon","Evening")))</f>
        <v>Night</v>
      </c>
      <c r="H164">
        <v>0</v>
      </c>
      <c r="I164">
        <v>6</v>
      </c>
      <c r="J164" t="str">
        <f>CHOOSE(I164+1,"Monday","Tuesday","Wednesday","Thursday","Friday","Saturday","Sunday")</f>
        <v>Sunday</v>
      </c>
      <c r="K164">
        <v>2</v>
      </c>
      <c r="L164" t="str">
        <f>CHOOSE(K164+1,"error","Clear","Misty","Rainy","Severe heater")</f>
        <v>Misty</v>
      </c>
      <c r="M164">
        <v>0.18</v>
      </c>
      <c r="N164" t="str">
        <f>IF(M164&lt;=0.2,"Low",IF(M164&lt;=0.4,"Mid","High"))</f>
        <v>Low</v>
      </c>
      <c r="O164">
        <v>0.21210000000000001</v>
      </c>
      <c r="P164" t="str">
        <f>IF(O164&lt;=0.15,"Very Cold",IF(O164&lt;=0.3,"Cold",IF(O164&lt;=0.45,"Pleasant","Hot")))</f>
        <v>Cold</v>
      </c>
      <c r="Q164">
        <v>0.55000000000000004</v>
      </c>
      <c r="R164" t="str">
        <f>IF(Q164&lt;=0.25,"Low ",IF(Q164&lt;=0.5,"Moderate ",IF(Q164&lt;=0.75,"High ","Very High ")))</f>
        <v xml:space="preserve">High </v>
      </c>
      <c r="S164">
        <v>8.9599999999999999E-2</v>
      </c>
      <c r="T164" t="str">
        <f>IF(S164&lt;=0.15,"Calm",IF(S164&lt;=0.3,"Light Wind",IF(S164&lt;=0.45,"Moderate Wind","Strong Wind")))</f>
        <v>Calm</v>
      </c>
      <c r="U164">
        <v>1</v>
      </c>
      <c r="V164">
        <v>15</v>
      </c>
      <c r="W164">
        <v>16</v>
      </c>
      <c r="X164" t="str">
        <f>IF(W164&lt;=75,"Low Demand",IF(W164&lt;=150,"Medium Demand",IF(W164&lt;=225,"High Demand","Very High Demand")))</f>
        <v>Low Demand</v>
      </c>
    </row>
    <row r="165" spans="1:24" x14ac:dyDescent="0.25">
      <c r="A165">
        <v>164</v>
      </c>
      <c r="B165" s="2">
        <v>40551</v>
      </c>
      <c r="C165">
        <v>1</v>
      </c>
      <c r="D165">
        <v>0</v>
      </c>
      <c r="E165">
        <v>1</v>
      </c>
      <c r="F165">
        <v>2</v>
      </c>
      <c r="G165" t="str">
        <f>IF(F165&lt;6,"Night",IF(F165&lt;12,"Morning",IF(F165&lt;18,"Afternoon","Evening")))</f>
        <v>Night</v>
      </c>
      <c r="H165">
        <v>0</v>
      </c>
      <c r="I165">
        <v>6</v>
      </c>
      <c r="J165" t="str">
        <f>CHOOSE(I165+1,"Monday","Tuesday","Wednesday","Thursday","Friday","Saturday","Sunday")</f>
        <v>Sunday</v>
      </c>
      <c r="K165">
        <v>2</v>
      </c>
      <c r="L165" t="str">
        <f>CHOOSE(K165+1,"error","Clear","Misty","Rainy","Severe heater")</f>
        <v>Misty</v>
      </c>
      <c r="M165">
        <v>0.18</v>
      </c>
      <c r="N165" t="str">
        <f>IF(M165&lt;=0.2,"Low",IF(M165&lt;=0.4,"Mid","High"))</f>
        <v>Low</v>
      </c>
      <c r="O165">
        <v>0.2424</v>
      </c>
      <c r="P165" t="str">
        <f>IF(O165&lt;=0.15,"Very Cold",IF(O165&lt;=0.3,"Cold",IF(O165&lt;=0.45,"Pleasant","Hot")))</f>
        <v>Cold</v>
      </c>
      <c r="Q165">
        <v>0.55000000000000004</v>
      </c>
      <c r="R165" t="str">
        <f>IF(Q165&lt;=0.25,"Low ",IF(Q165&lt;=0.5,"Moderate ",IF(Q165&lt;=0.75,"High ","Very High ")))</f>
        <v xml:space="preserve">High </v>
      </c>
      <c r="S165">
        <v>0</v>
      </c>
      <c r="T165" t="str">
        <f>IF(S165&lt;=0.15,"Calm",IF(S165&lt;=0.3,"Light Wind",IF(S165&lt;=0.45,"Moderate Wind","Strong Wind")))</f>
        <v>Calm</v>
      </c>
      <c r="U165">
        <v>3</v>
      </c>
      <c r="V165">
        <v>13</v>
      </c>
      <c r="W165">
        <v>16</v>
      </c>
      <c r="X165" t="str">
        <f>IF(W165&lt;=75,"Low Demand",IF(W165&lt;=150,"Medium Demand",IF(W165&lt;=225,"High Demand","Very High Demand")))</f>
        <v>Low Demand</v>
      </c>
    </row>
    <row r="166" spans="1:24" x14ac:dyDescent="0.25">
      <c r="A166">
        <v>165</v>
      </c>
      <c r="B166" s="2">
        <v>40551</v>
      </c>
      <c r="C166">
        <v>1</v>
      </c>
      <c r="D166">
        <v>0</v>
      </c>
      <c r="E166">
        <v>1</v>
      </c>
      <c r="F166">
        <v>3</v>
      </c>
      <c r="G166" t="str">
        <f>IF(F166&lt;6,"Night",IF(F166&lt;12,"Morning",IF(F166&lt;18,"Afternoon","Evening")))</f>
        <v>Night</v>
      </c>
      <c r="H166">
        <v>0</v>
      </c>
      <c r="I166">
        <v>6</v>
      </c>
      <c r="J166" t="str">
        <f>CHOOSE(I166+1,"Monday","Tuesday","Wednesday","Thursday","Friday","Saturday","Sunday")</f>
        <v>Sunday</v>
      </c>
      <c r="K166">
        <v>3</v>
      </c>
      <c r="L166" t="str">
        <f>CHOOSE(K166+1,"error","Clear","Misty","Rainy","Severe heater")</f>
        <v>Rainy</v>
      </c>
      <c r="M166">
        <v>0.18</v>
      </c>
      <c r="N166" t="str">
        <f>IF(M166&lt;=0.2,"Low",IF(M166&lt;=0.4,"Mid","High"))</f>
        <v>Low</v>
      </c>
      <c r="O166">
        <v>0.19700000000000001</v>
      </c>
      <c r="P166" t="str">
        <f>IF(O166&lt;=0.15,"Very Cold",IF(O166&lt;=0.3,"Cold",IF(O166&lt;=0.45,"Pleasant","Hot")))</f>
        <v>Cold</v>
      </c>
      <c r="Q166">
        <v>0.55000000000000004</v>
      </c>
      <c r="R166" t="str">
        <f>IF(Q166&lt;=0.25,"Low ",IF(Q166&lt;=0.5,"Moderate ",IF(Q166&lt;=0.75,"High ","Very High ")))</f>
        <v xml:space="preserve">High </v>
      </c>
      <c r="S166">
        <v>0.16420000000000001</v>
      </c>
      <c r="T166" t="str">
        <f>IF(S166&lt;=0.15,"Calm",IF(S166&lt;=0.3,"Light Wind",IF(S166&lt;=0.45,"Moderate Wind","Strong Wind")))</f>
        <v>Light Wind</v>
      </c>
      <c r="U166">
        <v>0</v>
      </c>
      <c r="V166">
        <v>7</v>
      </c>
      <c r="W166">
        <v>7</v>
      </c>
      <c r="X166" t="str">
        <f>IF(W166&lt;=75,"Low Demand",IF(W166&lt;=150,"Medium Demand",IF(W166&lt;=225,"High Demand","Very High Demand")))</f>
        <v>Low Demand</v>
      </c>
    </row>
    <row r="167" spans="1:24" x14ac:dyDescent="0.25">
      <c r="A167">
        <v>166</v>
      </c>
      <c r="B167" s="2">
        <v>40551</v>
      </c>
      <c r="C167">
        <v>1</v>
      </c>
      <c r="D167">
        <v>0</v>
      </c>
      <c r="E167">
        <v>1</v>
      </c>
      <c r="F167">
        <v>4</v>
      </c>
      <c r="G167" t="str">
        <f>IF(F167&lt;6,"Night",IF(F167&lt;12,"Morning",IF(F167&lt;18,"Afternoon","Evening")))</f>
        <v>Night</v>
      </c>
      <c r="H167">
        <v>0</v>
      </c>
      <c r="I167">
        <v>6</v>
      </c>
      <c r="J167" t="str">
        <f>CHOOSE(I167+1,"Monday","Tuesday","Wednesday","Thursday","Friday","Saturday","Sunday")</f>
        <v>Sunday</v>
      </c>
      <c r="K167">
        <v>3</v>
      </c>
      <c r="L167" t="str">
        <f>CHOOSE(K167+1,"error","Clear","Misty","Rainy","Severe heater")</f>
        <v>Rainy</v>
      </c>
      <c r="M167">
        <v>0.18</v>
      </c>
      <c r="N167" t="str">
        <f>IF(M167&lt;=0.2,"Low",IF(M167&lt;=0.4,"Mid","High"))</f>
        <v>Low</v>
      </c>
      <c r="O167">
        <v>0.19700000000000001</v>
      </c>
      <c r="P167" t="str">
        <f>IF(O167&lt;=0.15,"Very Cold",IF(O167&lt;=0.3,"Cold",IF(O167&lt;=0.45,"Pleasant","Hot")))</f>
        <v>Cold</v>
      </c>
      <c r="Q167">
        <v>0.55000000000000004</v>
      </c>
      <c r="R167" t="str">
        <f>IF(Q167&lt;=0.25,"Low ",IF(Q167&lt;=0.5,"Moderate ",IF(Q167&lt;=0.75,"High ","Very High ")))</f>
        <v xml:space="preserve">High </v>
      </c>
      <c r="S167">
        <v>0.16420000000000001</v>
      </c>
      <c r="T167" t="str">
        <f>IF(S167&lt;=0.15,"Calm",IF(S167&lt;=0.3,"Light Wind",IF(S167&lt;=0.45,"Moderate Wind","Strong Wind")))</f>
        <v>Light Wind</v>
      </c>
      <c r="U167">
        <v>0</v>
      </c>
      <c r="V167">
        <v>1</v>
      </c>
      <c r="W167">
        <v>1</v>
      </c>
      <c r="X167" t="str">
        <f>IF(W167&lt;=75,"Low Demand",IF(W167&lt;=150,"Medium Demand",IF(W167&lt;=225,"High Demand","Very High Demand")))</f>
        <v>Low Demand</v>
      </c>
    </row>
    <row r="168" spans="1:24" x14ac:dyDescent="0.25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str">
        <f>IF(F168&lt;6,"Night",IF(F168&lt;12,"Morning",IF(F168&lt;18,"Afternoon","Evening")))</f>
        <v>Night</v>
      </c>
      <c r="H168">
        <v>0</v>
      </c>
      <c r="I168">
        <v>6</v>
      </c>
      <c r="J168" t="str">
        <f>CHOOSE(I168+1,"Monday","Tuesday","Wednesday","Thursday","Friday","Saturday","Sunday")</f>
        <v>Sunday</v>
      </c>
      <c r="K168">
        <v>2</v>
      </c>
      <c r="L168" t="str">
        <f>CHOOSE(K168+1,"error","Clear","Misty","Rainy","Severe heater")</f>
        <v>Misty</v>
      </c>
      <c r="M168">
        <v>0.16</v>
      </c>
      <c r="N168" t="str">
        <f>IF(M168&lt;=0.2,"Low",IF(M168&lt;=0.4,"Mid","High"))</f>
        <v>Low</v>
      </c>
      <c r="O168">
        <v>0.16669999999999999</v>
      </c>
      <c r="P168" t="str">
        <f>IF(O168&lt;=0.15,"Very Cold",IF(O168&lt;=0.3,"Cold",IF(O168&lt;=0.45,"Pleasant","Hot")))</f>
        <v>Cold</v>
      </c>
      <c r="Q168">
        <v>0.74</v>
      </c>
      <c r="R168" t="str">
        <f>IF(Q168&lt;=0.25,"Low ",IF(Q168&lt;=0.5,"Moderate ",IF(Q168&lt;=0.75,"High ","Very High ")))</f>
        <v xml:space="preserve">High </v>
      </c>
      <c r="S168">
        <v>0.16420000000000001</v>
      </c>
      <c r="T168" t="str">
        <f>IF(S168&lt;=0.15,"Calm",IF(S168&lt;=0.3,"Light Wind",IF(S168&lt;=0.45,"Moderate Wind","Strong Wind")))</f>
        <v>Light Wind</v>
      </c>
      <c r="U168">
        <v>0</v>
      </c>
      <c r="V168">
        <v>5</v>
      </c>
      <c r="W168">
        <v>5</v>
      </c>
      <c r="X168" t="str">
        <f>IF(W168&lt;=75,"Low Demand",IF(W168&lt;=150,"Medium Demand",IF(W168&lt;=225,"High Demand","Very High Demand")))</f>
        <v>Low Demand</v>
      </c>
    </row>
    <row r="169" spans="1:24" x14ac:dyDescent="0.25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str">
        <f>IF(F169&lt;6,"Night",IF(F169&lt;12,"Morning",IF(F169&lt;18,"Afternoon","Evening")))</f>
        <v>Morning</v>
      </c>
      <c r="H169">
        <v>0</v>
      </c>
      <c r="I169">
        <v>6</v>
      </c>
      <c r="J169" t="str">
        <f>CHOOSE(I169+1,"Monday","Tuesday","Wednesday","Thursday","Friday","Saturday","Sunday")</f>
        <v>Sunday</v>
      </c>
      <c r="K169">
        <v>2</v>
      </c>
      <c r="L169" t="str">
        <f>CHOOSE(K169+1,"error","Clear","Misty","Rainy","Severe heater")</f>
        <v>Misty</v>
      </c>
      <c r="M169">
        <v>0.16</v>
      </c>
      <c r="N169" t="str">
        <f>IF(M169&lt;=0.2,"Low",IF(M169&lt;=0.4,"Mid","High"))</f>
        <v>Low</v>
      </c>
      <c r="O169">
        <v>0.16669999999999999</v>
      </c>
      <c r="P169" t="str">
        <f>IF(O169&lt;=0.15,"Very Cold",IF(O169&lt;=0.3,"Cold",IF(O169&lt;=0.45,"Pleasant","Hot")))</f>
        <v>Cold</v>
      </c>
      <c r="Q169">
        <v>0.74</v>
      </c>
      <c r="R169" t="str">
        <f>IF(Q169&lt;=0.25,"Low ",IF(Q169&lt;=0.5,"Moderate ",IF(Q169&lt;=0.75,"High ","Very High ")))</f>
        <v xml:space="preserve">High </v>
      </c>
      <c r="S169">
        <v>0.16420000000000001</v>
      </c>
      <c r="T169" t="str">
        <f>IF(S169&lt;=0.15,"Calm",IF(S169&lt;=0.3,"Light Wind",IF(S169&lt;=0.45,"Moderate Wind","Strong Wind")))</f>
        <v>Light Wind</v>
      </c>
      <c r="U169">
        <v>0</v>
      </c>
      <c r="V169">
        <v>2</v>
      </c>
      <c r="W169">
        <v>2</v>
      </c>
      <c r="X169" t="str">
        <f>IF(W169&lt;=75,"Low Demand",IF(W169&lt;=150,"Medium Demand",IF(W169&lt;=225,"High Demand","Very High Demand")))</f>
        <v>Low Demand</v>
      </c>
    </row>
    <row r="170" spans="1:24" x14ac:dyDescent="0.25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str">
        <f>IF(F170&lt;6,"Night",IF(F170&lt;12,"Morning",IF(F170&lt;18,"Afternoon","Evening")))</f>
        <v>Morning</v>
      </c>
      <c r="H170">
        <v>0</v>
      </c>
      <c r="I170">
        <v>6</v>
      </c>
      <c r="J170" t="str">
        <f>CHOOSE(I170+1,"Monday","Tuesday","Wednesday","Thursday","Friday","Saturday","Sunday")</f>
        <v>Sunday</v>
      </c>
      <c r="K170">
        <v>2</v>
      </c>
      <c r="L170" t="str">
        <f>CHOOSE(K170+1,"error","Clear","Misty","Rainy","Severe heater")</f>
        <v>Misty</v>
      </c>
      <c r="M170">
        <v>0.16</v>
      </c>
      <c r="N170" t="str">
        <f>IF(M170&lt;=0.2,"Low",IF(M170&lt;=0.4,"Mid","High"))</f>
        <v>Low</v>
      </c>
      <c r="O170">
        <v>0.18179999999999999</v>
      </c>
      <c r="P170" t="str">
        <f>IF(O170&lt;=0.15,"Very Cold",IF(O170&lt;=0.3,"Cold",IF(O170&lt;=0.45,"Pleasant","Hot")))</f>
        <v>Cold</v>
      </c>
      <c r="Q170">
        <v>0.74</v>
      </c>
      <c r="R170" t="str">
        <f>IF(Q170&lt;=0.25,"Low ",IF(Q170&lt;=0.5,"Moderate ",IF(Q170&lt;=0.75,"High ","Very High ")))</f>
        <v xml:space="preserve">High </v>
      </c>
      <c r="S170">
        <v>0.1045</v>
      </c>
      <c r="T170" t="str">
        <f>IF(S170&lt;=0.15,"Calm",IF(S170&lt;=0.3,"Light Wind",IF(S170&lt;=0.45,"Moderate Wind","Strong Wind")))</f>
        <v>Calm</v>
      </c>
      <c r="U170">
        <v>1</v>
      </c>
      <c r="V170">
        <v>8</v>
      </c>
      <c r="W170">
        <v>9</v>
      </c>
      <c r="X170" t="str">
        <f>IF(W170&lt;=75,"Low Demand",IF(W170&lt;=150,"Medium Demand",IF(W170&lt;=225,"High Demand","Very High Demand")))</f>
        <v>Low Demand</v>
      </c>
    </row>
    <row r="171" spans="1:24" x14ac:dyDescent="0.25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str">
        <f>IF(F171&lt;6,"Night",IF(F171&lt;12,"Morning",IF(F171&lt;18,"Afternoon","Evening")))</f>
        <v>Morning</v>
      </c>
      <c r="H171">
        <v>0</v>
      </c>
      <c r="I171">
        <v>6</v>
      </c>
      <c r="J171" t="str">
        <f>CHOOSE(I171+1,"Monday","Tuesday","Wednesday","Thursday","Friday","Saturday","Sunday")</f>
        <v>Sunday</v>
      </c>
      <c r="K171">
        <v>3</v>
      </c>
      <c r="L171" t="str">
        <f>CHOOSE(K171+1,"error","Clear","Misty","Rainy","Severe heater")</f>
        <v>Rainy</v>
      </c>
      <c r="M171">
        <v>0.16</v>
      </c>
      <c r="N171" t="str">
        <f>IF(M171&lt;=0.2,"Low",IF(M171&lt;=0.4,"Mid","High"))</f>
        <v>Low</v>
      </c>
      <c r="O171">
        <v>0.18179999999999999</v>
      </c>
      <c r="P171" t="str">
        <f>IF(O171&lt;=0.15,"Very Cold",IF(O171&lt;=0.3,"Cold",IF(O171&lt;=0.45,"Pleasant","Hot")))</f>
        <v>Cold</v>
      </c>
      <c r="Q171">
        <v>0.93</v>
      </c>
      <c r="R171" t="str">
        <f>IF(Q171&lt;=0.25,"Low ",IF(Q171&lt;=0.5,"Moderate ",IF(Q171&lt;=0.75,"High ","Very High ")))</f>
        <v xml:space="preserve">Very High </v>
      </c>
      <c r="S171">
        <v>0.1045</v>
      </c>
      <c r="T171" t="str">
        <f>IF(S171&lt;=0.15,"Calm",IF(S171&lt;=0.3,"Light Wind",IF(S171&lt;=0.45,"Moderate Wind","Strong Wind")))</f>
        <v>Calm</v>
      </c>
      <c r="U171">
        <v>0</v>
      </c>
      <c r="V171">
        <v>15</v>
      </c>
      <c r="W171">
        <v>15</v>
      </c>
      <c r="X171" t="str">
        <f>IF(W171&lt;=75,"Low Demand",IF(W171&lt;=150,"Medium Demand",IF(W171&lt;=225,"High Demand","Very High Demand")))</f>
        <v>Low Demand</v>
      </c>
    </row>
    <row r="172" spans="1:24" x14ac:dyDescent="0.25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str">
        <f>IF(F172&lt;6,"Night",IF(F172&lt;12,"Morning",IF(F172&lt;18,"Afternoon","Evening")))</f>
        <v>Morning</v>
      </c>
      <c r="H172">
        <v>0</v>
      </c>
      <c r="I172">
        <v>6</v>
      </c>
      <c r="J172" t="str">
        <f>CHOOSE(I172+1,"Monday","Tuesday","Wednesday","Thursday","Friday","Saturday","Sunday")</f>
        <v>Sunday</v>
      </c>
      <c r="K172">
        <v>3</v>
      </c>
      <c r="L172" t="str">
        <f>CHOOSE(K172+1,"error","Clear","Misty","Rainy","Severe heater")</f>
        <v>Rainy</v>
      </c>
      <c r="M172">
        <v>0.16</v>
      </c>
      <c r="N172" t="str">
        <f>IF(M172&lt;=0.2,"Low",IF(M172&lt;=0.4,"Mid","High"))</f>
        <v>Low</v>
      </c>
      <c r="O172">
        <v>0.18179999999999999</v>
      </c>
      <c r="P172" t="str">
        <f>IF(O172&lt;=0.15,"Very Cold",IF(O172&lt;=0.3,"Cold",IF(O172&lt;=0.45,"Pleasant","Hot")))</f>
        <v>Cold</v>
      </c>
      <c r="Q172">
        <v>0.93</v>
      </c>
      <c r="R172" t="str">
        <f>IF(Q172&lt;=0.25,"Low ",IF(Q172&lt;=0.5,"Moderate ",IF(Q172&lt;=0.75,"High ","Very High ")))</f>
        <v xml:space="preserve">Very High </v>
      </c>
      <c r="S172">
        <v>0.1045</v>
      </c>
      <c r="T172" t="str">
        <f>IF(S172&lt;=0.15,"Calm",IF(S172&lt;=0.3,"Light Wind",IF(S172&lt;=0.45,"Moderate Wind","Strong Wind")))</f>
        <v>Calm</v>
      </c>
      <c r="U172">
        <v>0</v>
      </c>
      <c r="V172">
        <v>20</v>
      </c>
      <c r="W172">
        <v>20</v>
      </c>
      <c r="X172" t="str">
        <f>IF(W172&lt;=75,"Low Demand",IF(W172&lt;=150,"Medium Demand",IF(W172&lt;=225,"High Demand","Very High Demand")))</f>
        <v>Low Demand</v>
      </c>
    </row>
    <row r="173" spans="1:24" x14ac:dyDescent="0.25">
      <c r="A173">
        <v>172</v>
      </c>
      <c r="B173" s="2">
        <v>40551</v>
      </c>
      <c r="C173">
        <v>1</v>
      </c>
      <c r="D173">
        <v>0</v>
      </c>
      <c r="E173">
        <v>1</v>
      </c>
      <c r="F173">
        <v>10</v>
      </c>
      <c r="G173" t="str">
        <f>IF(F173&lt;6,"Night",IF(F173&lt;12,"Morning",IF(F173&lt;18,"Afternoon","Evening")))</f>
        <v>Morning</v>
      </c>
      <c r="H173">
        <v>0</v>
      </c>
      <c r="I173">
        <v>6</v>
      </c>
      <c r="J173" t="str">
        <f>CHOOSE(I173+1,"Monday","Tuesday","Wednesday","Thursday","Friday","Saturday","Sunday")</f>
        <v>Sunday</v>
      </c>
      <c r="K173">
        <v>2</v>
      </c>
      <c r="L173" t="str">
        <f>CHOOSE(K173+1,"error","Clear","Misty","Rainy","Severe heater")</f>
        <v>Misty</v>
      </c>
      <c r="M173">
        <v>0.18</v>
      </c>
      <c r="N173" t="str">
        <f>IF(M173&lt;=0.2,"Low",IF(M173&lt;=0.4,"Mid","High"))</f>
        <v>Low</v>
      </c>
      <c r="O173">
        <v>0.19700000000000001</v>
      </c>
      <c r="P173" t="str">
        <f>IF(O173&lt;=0.15,"Very Cold",IF(O173&lt;=0.3,"Cold",IF(O173&lt;=0.45,"Pleasant","Hot")))</f>
        <v>Cold</v>
      </c>
      <c r="Q173">
        <v>0.8</v>
      </c>
      <c r="R173" t="str">
        <f>IF(Q173&lt;=0.25,"Low ",IF(Q173&lt;=0.5,"Moderate ",IF(Q173&lt;=0.75,"High ","Very High ")))</f>
        <v xml:space="preserve">Very High </v>
      </c>
      <c r="S173">
        <v>0.16420000000000001</v>
      </c>
      <c r="T173" t="str">
        <f>IF(S173&lt;=0.15,"Calm",IF(S173&lt;=0.3,"Light Wind",IF(S173&lt;=0.45,"Moderate Wind","Strong Wind")))</f>
        <v>Light Wind</v>
      </c>
      <c r="U173">
        <v>5</v>
      </c>
      <c r="V173">
        <v>56</v>
      </c>
      <c r="W173">
        <v>61</v>
      </c>
      <c r="X173" t="str">
        <f>IF(W173&lt;=75,"Low Demand",IF(W173&lt;=150,"Medium Demand",IF(W173&lt;=225,"High Demand","Very High Demand")))</f>
        <v>Low Demand</v>
      </c>
    </row>
    <row r="174" spans="1:24" x14ac:dyDescent="0.25">
      <c r="A174">
        <v>173</v>
      </c>
      <c r="B174" s="2">
        <v>40551</v>
      </c>
      <c r="C174">
        <v>1</v>
      </c>
      <c r="D174">
        <v>0</v>
      </c>
      <c r="E174">
        <v>1</v>
      </c>
      <c r="F174">
        <v>11</v>
      </c>
      <c r="G174" t="str">
        <f>IF(F174&lt;6,"Night",IF(F174&lt;12,"Morning",IF(F174&lt;18,"Afternoon","Evening")))</f>
        <v>Morning</v>
      </c>
      <c r="H174">
        <v>0</v>
      </c>
      <c r="I174">
        <v>6</v>
      </c>
      <c r="J174" t="str">
        <f>CHOOSE(I174+1,"Monday","Tuesday","Wednesday","Thursday","Friday","Saturday","Sunday")</f>
        <v>Sunday</v>
      </c>
      <c r="K174">
        <v>2</v>
      </c>
      <c r="L174" t="str">
        <f>CHOOSE(K174+1,"error","Clear","Misty","Rainy","Severe heater")</f>
        <v>Misty</v>
      </c>
      <c r="M174">
        <v>0.2</v>
      </c>
      <c r="N174" t="str">
        <f>IF(M174&lt;=0.2,"Low",IF(M174&lt;=0.4,"Mid","High"))</f>
        <v>Low</v>
      </c>
      <c r="O174">
        <v>0.18179999999999999</v>
      </c>
      <c r="P174" t="str">
        <f>IF(O174&lt;=0.15,"Very Cold",IF(O174&lt;=0.3,"Cold",IF(O174&lt;=0.45,"Pleasant","Hot")))</f>
        <v>Cold</v>
      </c>
      <c r="Q174">
        <v>0.69</v>
      </c>
      <c r="R174" t="str">
        <f>IF(Q174&lt;=0.25,"Low ",IF(Q174&lt;=0.5,"Moderate ",IF(Q174&lt;=0.75,"High ","Very High ")))</f>
        <v xml:space="preserve">High </v>
      </c>
      <c r="S174">
        <v>0.3881</v>
      </c>
      <c r="T174" t="str">
        <f>IF(S174&lt;=0.15,"Calm",IF(S174&lt;=0.3,"Light Wind",IF(S174&lt;=0.45,"Moderate Wind","Strong Wind")))</f>
        <v>Moderate Wind</v>
      </c>
      <c r="U174">
        <v>2</v>
      </c>
      <c r="V174">
        <v>60</v>
      </c>
      <c r="W174">
        <v>62</v>
      </c>
      <c r="X174" t="str">
        <f>IF(W174&lt;=75,"Low Demand",IF(W174&lt;=150,"Medium Demand",IF(W174&lt;=225,"High Demand","Very High Demand")))</f>
        <v>Low Demand</v>
      </c>
    </row>
    <row r="175" spans="1:24" x14ac:dyDescent="0.25">
      <c r="A175">
        <v>174</v>
      </c>
      <c r="B175" s="2">
        <v>40551</v>
      </c>
      <c r="C175">
        <v>1</v>
      </c>
      <c r="D175">
        <v>0</v>
      </c>
      <c r="E175">
        <v>1</v>
      </c>
      <c r="F175">
        <v>12</v>
      </c>
      <c r="G175" t="str">
        <f>IF(F175&lt;6,"Night",IF(F175&lt;12,"Morning",IF(F175&lt;18,"Afternoon","Evening")))</f>
        <v>Afternoon</v>
      </c>
      <c r="H175">
        <v>0</v>
      </c>
      <c r="I175">
        <v>6</v>
      </c>
      <c r="J175" t="str">
        <f>CHOOSE(I175+1,"Monday","Tuesday","Wednesday","Thursday","Friday","Saturday","Sunday")</f>
        <v>Sunday</v>
      </c>
      <c r="K175">
        <v>2</v>
      </c>
      <c r="L175" t="str">
        <f>CHOOSE(K175+1,"error","Clear","Misty","Rainy","Severe heater")</f>
        <v>Misty</v>
      </c>
      <c r="M175">
        <v>0.2</v>
      </c>
      <c r="N175" t="str">
        <f>IF(M175&lt;=0.2,"Low",IF(M175&lt;=0.4,"Mid","High"))</f>
        <v>Low</v>
      </c>
      <c r="O175">
        <v>0.18179999999999999</v>
      </c>
      <c r="P175" t="str">
        <f>IF(O175&lt;=0.15,"Very Cold",IF(O175&lt;=0.3,"Cold",IF(O175&lt;=0.45,"Pleasant","Hot")))</f>
        <v>Cold</v>
      </c>
      <c r="Q175">
        <v>0.59</v>
      </c>
      <c r="R175" t="str">
        <f>IF(Q175&lt;=0.25,"Low ",IF(Q175&lt;=0.5,"Moderate ",IF(Q175&lt;=0.75,"High ","Very High ")))</f>
        <v xml:space="preserve">High </v>
      </c>
      <c r="S175">
        <v>0.35820000000000002</v>
      </c>
      <c r="T175" t="str">
        <f>IF(S175&lt;=0.15,"Calm",IF(S175&lt;=0.3,"Light Wind",IF(S175&lt;=0.45,"Moderate Wind","Strong Wind")))</f>
        <v>Moderate Wind</v>
      </c>
      <c r="U175">
        <v>8</v>
      </c>
      <c r="V175">
        <v>90</v>
      </c>
      <c r="W175">
        <v>98</v>
      </c>
      <c r="X175" t="str">
        <f>IF(W175&lt;=75,"Low Demand",IF(W175&lt;=150,"Medium Demand",IF(W175&lt;=225,"High Demand","Very High Demand")))</f>
        <v>Medium Demand</v>
      </c>
    </row>
    <row r="176" spans="1:24" x14ac:dyDescent="0.25">
      <c r="A176">
        <v>175</v>
      </c>
      <c r="B176" s="2">
        <v>40551</v>
      </c>
      <c r="C176">
        <v>1</v>
      </c>
      <c r="D176">
        <v>0</v>
      </c>
      <c r="E176">
        <v>1</v>
      </c>
      <c r="F176">
        <v>13</v>
      </c>
      <c r="G176" t="str">
        <f>IF(F176&lt;6,"Night",IF(F176&lt;12,"Morning",IF(F176&lt;18,"Afternoon","Evening")))</f>
        <v>Afternoon</v>
      </c>
      <c r="H176">
        <v>0</v>
      </c>
      <c r="I176">
        <v>6</v>
      </c>
      <c r="J176" t="str">
        <f>CHOOSE(I176+1,"Monday","Tuesday","Wednesday","Thursday","Friday","Saturday","Sunday")</f>
        <v>Sunday</v>
      </c>
      <c r="K176">
        <v>1</v>
      </c>
      <c r="L176" t="str">
        <f>CHOOSE(K176+1,"error","Clear","Misty","Rainy","Severe heater")</f>
        <v>Clear</v>
      </c>
      <c r="M176">
        <v>0.2</v>
      </c>
      <c r="N176" t="str">
        <f>IF(M176&lt;=0.2,"Low",IF(M176&lt;=0.4,"Mid","High"))</f>
        <v>Low</v>
      </c>
      <c r="O176">
        <v>0.18179999999999999</v>
      </c>
      <c r="P176" t="str">
        <f>IF(O176&lt;=0.15,"Very Cold",IF(O176&lt;=0.3,"Cold",IF(O176&lt;=0.45,"Pleasant","Hot")))</f>
        <v>Cold</v>
      </c>
      <c r="Q176">
        <v>0.44</v>
      </c>
      <c r="R176" t="str">
        <f>IF(Q176&lt;=0.25,"Low ",IF(Q176&lt;=0.5,"Moderate ",IF(Q176&lt;=0.75,"High ","Very High ")))</f>
        <v xml:space="preserve">Moderate </v>
      </c>
      <c r="S176">
        <v>0.32840000000000003</v>
      </c>
      <c r="T176" t="str">
        <f>IF(S176&lt;=0.15,"Calm",IF(S176&lt;=0.3,"Light Wind",IF(S176&lt;=0.45,"Moderate Wind","Strong Wind")))</f>
        <v>Moderate Wind</v>
      </c>
      <c r="U176">
        <v>7</v>
      </c>
      <c r="V176">
        <v>95</v>
      </c>
      <c r="W176">
        <v>102</v>
      </c>
      <c r="X176" t="str">
        <f>IF(W176&lt;=75,"Low Demand",IF(W176&lt;=150,"Medium Demand",IF(W176&lt;=225,"High Demand","Very High Demand")))</f>
        <v>Medium Demand</v>
      </c>
    </row>
    <row r="177" spans="1:24" x14ac:dyDescent="0.25">
      <c r="A177">
        <v>176</v>
      </c>
      <c r="B177" s="2">
        <v>40551</v>
      </c>
      <c r="C177">
        <v>1</v>
      </c>
      <c r="D177">
        <v>0</v>
      </c>
      <c r="E177">
        <v>1</v>
      </c>
      <c r="F177">
        <v>14</v>
      </c>
      <c r="G177" t="str">
        <f>IF(F177&lt;6,"Night",IF(F177&lt;12,"Morning",IF(F177&lt;18,"Afternoon","Evening")))</f>
        <v>Afternoon</v>
      </c>
      <c r="H177">
        <v>0</v>
      </c>
      <c r="I177">
        <v>6</v>
      </c>
      <c r="J177" t="str">
        <f>CHOOSE(I177+1,"Monday","Tuesday","Wednesday","Thursday","Friday","Saturday","Sunday")</f>
        <v>Sunday</v>
      </c>
      <c r="K177">
        <v>1</v>
      </c>
      <c r="L177" t="str">
        <f>CHOOSE(K177+1,"error","Clear","Misty","Rainy","Severe heater")</f>
        <v>Clear</v>
      </c>
      <c r="M177">
        <v>0.2</v>
      </c>
      <c r="N177" t="str">
        <f>IF(M177&lt;=0.2,"Low",IF(M177&lt;=0.4,"Mid","High"))</f>
        <v>Low</v>
      </c>
      <c r="O177">
        <v>0.16669999999999999</v>
      </c>
      <c r="P177" t="str">
        <f>IF(O177&lt;=0.15,"Very Cold",IF(O177&lt;=0.3,"Cold",IF(O177&lt;=0.45,"Pleasant","Hot")))</f>
        <v>Cold</v>
      </c>
      <c r="Q177">
        <v>0.32</v>
      </c>
      <c r="R177" t="str">
        <f>IF(Q177&lt;=0.25,"Low ",IF(Q177&lt;=0.5,"Moderate ",IF(Q177&lt;=0.75,"High ","Very High ")))</f>
        <v xml:space="preserve">Moderate </v>
      </c>
      <c r="S177">
        <v>0.49249999999999999</v>
      </c>
      <c r="T177" t="str">
        <f>IF(S177&lt;=0.15,"Calm",IF(S177&lt;=0.3,"Light Wind",IF(S177&lt;=0.45,"Moderate Wind","Strong Wind")))</f>
        <v>Strong Wind</v>
      </c>
      <c r="U177">
        <v>12</v>
      </c>
      <c r="V177">
        <v>83</v>
      </c>
      <c r="W177">
        <v>95</v>
      </c>
      <c r="X177" t="str">
        <f>IF(W177&lt;=75,"Low Demand",IF(W177&lt;=150,"Medium Demand",IF(W177&lt;=225,"High Demand","Very High Demand")))</f>
        <v>Medium Demand</v>
      </c>
    </row>
    <row r="178" spans="1:24" x14ac:dyDescent="0.25">
      <c r="A178">
        <v>177</v>
      </c>
      <c r="B178" s="2">
        <v>40551</v>
      </c>
      <c r="C178">
        <v>1</v>
      </c>
      <c r="D178">
        <v>0</v>
      </c>
      <c r="E178">
        <v>1</v>
      </c>
      <c r="F178">
        <v>15</v>
      </c>
      <c r="G178" t="str">
        <f>IF(F178&lt;6,"Night",IF(F178&lt;12,"Morning",IF(F178&lt;18,"Afternoon","Evening")))</f>
        <v>Afternoon</v>
      </c>
      <c r="H178">
        <v>0</v>
      </c>
      <c r="I178">
        <v>6</v>
      </c>
      <c r="J178" t="str">
        <f>CHOOSE(I178+1,"Monday","Tuesday","Wednesday","Thursday","Friday","Saturday","Sunday")</f>
        <v>Sunday</v>
      </c>
      <c r="K178">
        <v>1</v>
      </c>
      <c r="L178" t="str">
        <f>CHOOSE(K178+1,"error","Clear","Misty","Rainy","Severe heater")</f>
        <v>Clear</v>
      </c>
      <c r="M178">
        <v>0.2</v>
      </c>
      <c r="N178" t="str">
        <f>IF(M178&lt;=0.2,"Low",IF(M178&lt;=0.4,"Mid","High"))</f>
        <v>Low</v>
      </c>
      <c r="O178">
        <v>0.16669999999999999</v>
      </c>
      <c r="P178" t="str">
        <f>IF(O178&lt;=0.15,"Very Cold",IF(O178&lt;=0.3,"Cold",IF(O178&lt;=0.45,"Pleasant","Hot")))</f>
        <v>Cold</v>
      </c>
      <c r="Q178">
        <v>0.32</v>
      </c>
      <c r="R178" t="str">
        <f>IF(Q178&lt;=0.25,"Low ",IF(Q178&lt;=0.5,"Moderate ",IF(Q178&lt;=0.75,"High ","Very High ")))</f>
        <v xml:space="preserve">Moderate </v>
      </c>
      <c r="S178">
        <v>0.44779999999999998</v>
      </c>
      <c r="T178" t="str">
        <f>IF(S178&lt;=0.15,"Calm",IF(S178&lt;=0.3,"Light Wind",IF(S178&lt;=0.45,"Moderate Wind","Strong Wind")))</f>
        <v>Moderate Wind</v>
      </c>
      <c r="U178">
        <v>5</v>
      </c>
      <c r="V178">
        <v>69</v>
      </c>
      <c r="W178">
        <v>74</v>
      </c>
      <c r="X178" t="str">
        <f>IF(W178&lt;=75,"Low Demand",IF(W178&lt;=150,"Medium Demand",IF(W178&lt;=225,"High Demand","Very High Demand")))</f>
        <v>Low Demand</v>
      </c>
    </row>
    <row r="179" spans="1:24" x14ac:dyDescent="0.25">
      <c r="A179">
        <v>178</v>
      </c>
      <c r="B179" s="2">
        <v>40551</v>
      </c>
      <c r="C179">
        <v>1</v>
      </c>
      <c r="D179">
        <v>0</v>
      </c>
      <c r="E179">
        <v>1</v>
      </c>
      <c r="F179">
        <v>16</v>
      </c>
      <c r="G179" t="str">
        <f>IF(F179&lt;6,"Night",IF(F179&lt;12,"Morning",IF(F179&lt;18,"Afternoon","Evening")))</f>
        <v>Afternoon</v>
      </c>
      <c r="H179">
        <v>0</v>
      </c>
      <c r="I179">
        <v>6</v>
      </c>
      <c r="J179" t="str">
        <f>CHOOSE(I179+1,"Monday","Tuesday","Wednesday","Thursday","Friday","Saturday","Sunday")</f>
        <v>Sunday</v>
      </c>
      <c r="K179">
        <v>1</v>
      </c>
      <c r="L179" t="str">
        <f>CHOOSE(K179+1,"error","Clear","Misty","Rainy","Severe heater")</f>
        <v>Clear</v>
      </c>
      <c r="M179">
        <v>0.18</v>
      </c>
      <c r="N179" t="str">
        <f>IF(M179&lt;=0.2,"Low",IF(M179&lt;=0.4,"Mid","High"))</f>
        <v>Low</v>
      </c>
      <c r="O179">
        <v>0.13639999999999999</v>
      </c>
      <c r="P179" t="str">
        <f>IF(O179&lt;=0.15,"Very Cold",IF(O179&lt;=0.3,"Cold",IF(O179&lt;=0.45,"Pleasant","Hot")))</f>
        <v>Very Cold</v>
      </c>
      <c r="Q179">
        <v>0.28999999999999998</v>
      </c>
      <c r="R179" t="str">
        <f>IF(Q179&lt;=0.25,"Low ",IF(Q179&lt;=0.5,"Moderate ",IF(Q179&lt;=0.75,"High ","Very High ")))</f>
        <v xml:space="preserve">Moderate </v>
      </c>
      <c r="S179">
        <v>0.44779999999999998</v>
      </c>
      <c r="T179" t="str">
        <f>IF(S179&lt;=0.15,"Calm",IF(S179&lt;=0.3,"Light Wind",IF(S179&lt;=0.45,"Moderate Wind","Strong Wind")))</f>
        <v>Moderate Wind</v>
      </c>
      <c r="U179">
        <v>8</v>
      </c>
      <c r="V179">
        <v>68</v>
      </c>
      <c r="W179">
        <v>76</v>
      </c>
      <c r="X179" t="str">
        <f>IF(W179&lt;=75,"Low Demand",IF(W179&lt;=150,"Medium Demand",IF(W179&lt;=225,"High Demand","Very High Demand")))</f>
        <v>Medium Demand</v>
      </c>
    </row>
    <row r="180" spans="1:24" x14ac:dyDescent="0.25">
      <c r="A180">
        <v>179</v>
      </c>
      <c r="B180" s="2">
        <v>40551</v>
      </c>
      <c r="C180">
        <v>1</v>
      </c>
      <c r="D180">
        <v>0</v>
      </c>
      <c r="E180">
        <v>1</v>
      </c>
      <c r="F180">
        <v>17</v>
      </c>
      <c r="G180" t="str">
        <f>IF(F180&lt;6,"Night",IF(F180&lt;12,"Morning",IF(F180&lt;18,"Afternoon","Evening")))</f>
        <v>Afternoon</v>
      </c>
      <c r="H180">
        <v>0</v>
      </c>
      <c r="I180">
        <v>6</v>
      </c>
      <c r="J180" t="str">
        <f>CHOOSE(I180+1,"Monday","Tuesday","Wednesday","Thursday","Friday","Saturday","Sunday")</f>
        <v>Sunday</v>
      </c>
      <c r="K180">
        <v>1</v>
      </c>
      <c r="L180" t="str">
        <f>CHOOSE(K180+1,"error","Clear","Misty","Rainy","Severe heater")</f>
        <v>Clear</v>
      </c>
      <c r="M180">
        <v>0.16</v>
      </c>
      <c r="N180" t="str">
        <f>IF(M180&lt;=0.2,"Low",IF(M180&lt;=0.4,"Mid","High"))</f>
        <v>Low</v>
      </c>
      <c r="O180">
        <v>0.1212</v>
      </c>
      <c r="P180" t="str">
        <f>IF(O180&lt;=0.15,"Very Cold",IF(O180&lt;=0.3,"Cold",IF(O180&lt;=0.45,"Pleasant","Hot")))</f>
        <v>Very Cold</v>
      </c>
      <c r="Q180">
        <v>0.37</v>
      </c>
      <c r="R180" t="str">
        <f>IF(Q180&lt;=0.25,"Low ",IF(Q180&lt;=0.5,"Moderate ",IF(Q180&lt;=0.75,"High ","Very High ")))</f>
        <v xml:space="preserve">Moderate </v>
      </c>
      <c r="S180">
        <v>0.55220000000000002</v>
      </c>
      <c r="T180" t="str">
        <f>IF(S180&lt;=0.15,"Calm",IF(S180&lt;=0.3,"Light Wind",IF(S180&lt;=0.45,"Moderate Wind","Strong Wind")))</f>
        <v>Strong Wind</v>
      </c>
      <c r="U180">
        <v>5</v>
      </c>
      <c r="V180">
        <v>64</v>
      </c>
      <c r="W180">
        <v>69</v>
      </c>
      <c r="X180" t="str">
        <f>IF(W180&lt;=75,"Low Demand",IF(W180&lt;=150,"Medium Demand",IF(W180&lt;=225,"High Demand","Very High Demand")))</f>
        <v>Low Demand</v>
      </c>
    </row>
    <row r="181" spans="1:24" x14ac:dyDescent="0.25">
      <c r="A181">
        <v>180</v>
      </c>
      <c r="B181" s="2">
        <v>40551</v>
      </c>
      <c r="C181">
        <v>1</v>
      </c>
      <c r="D181">
        <v>0</v>
      </c>
      <c r="E181">
        <v>1</v>
      </c>
      <c r="F181">
        <v>18</v>
      </c>
      <c r="G181" t="str">
        <f>IF(F181&lt;6,"Night",IF(F181&lt;12,"Morning",IF(F181&lt;18,"Afternoon","Evening")))</f>
        <v>Evening</v>
      </c>
      <c r="H181">
        <v>0</v>
      </c>
      <c r="I181">
        <v>6</v>
      </c>
      <c r="J181" t="str">
        <f>CHOOSE(I181+1,"Monday","Tuesday","Wednesday","Thursday","Friday","Saturday","Sunday")</f>
        <v>Sunday</v>
      </c>
      <c r="K181">
        <v>1</v>
      </c>
      <c r="L181" t="str">
        <f>CHOOSE(K181+1,"error","Clear","Misty","Rainy","Severe heater")</f>
        <v>Clear</v>
      </c>
      <c r="M181">
        <v>0.14000000000000001</v>
      </c>
      <c r="N181" t="str">
        <f>IF(M181&lt;=0.2,"Low",IF(M181&lt;=0.4,"Mid","High"))</f>
        <v>Low</v>
      </c>
      <c r="O181">
        <v>0.1212</v>
      </c>
      <c r="P181" t="str">
        <f>IF(O181&lt;=0.15,"Very Cold",IF(O181&lt;=0.3,"Cold",IF(O181&lt;=0.45,"Pleasant","Hot")))</f>
        <v>Very Cold</v>
      </c>
      <c r="Q181">
        <v>0.39</v>
      </c>
      <c r="R181" t="str">
        <f>IF(Q181&lt;=0.25,"Low ",IF(Q181&lt;=0.5,"Moderate ",IF(Q181&lt;=0.75,"High ","Very High ")))</f>
        <v xml:space="preserve">Moderate </v>
      </c>
      <c r="S181">
        <v>0.29849999999999999</v>
      </c>
      <c r="T181" t="str">
        <f>IF(S181&lt;=0.15,"Calm",IF(S181&lt;=0.3,"Light Wind",IF(S181&lt;=0.45,"Moderate Wind","Strong Wind")))</f>
        <v>Light Wind</v>
      </c>
      <c r="U181">
        <v>3</v>
      </c>
      <c r="V181">
        <v>52</v>
      </c>
      <c r="W181">
        <v>55</v>
      </c>
      <c r="X181" t="str">
        <f>IF(W181&lt;=75,"Low Demand",IF(W181&lt;=150,"Medium Demand",IF(W181&lt;=225,"High Demand","Very High Demand")))</f>
        <v>Low Demand</v>
      </c>
    </row>
    <row r="182" spans="1:24" x14ac:dyDescent="0.25">
      <c r="A182">
        <v>181</v>
      </c>
      <c r="B182" s="2">
        <v>40551</v>
      </c>
      <c r="C182">
        <v>1</v>
      </c>
      <c r="D182">
        <v>0</v>
      </c>
      <c r="E182">
        <v>1</v>
      </c>
      <c r="F182">
        <v>19</v>
      </c>
      <c r="G182" t="str">
        <f>IF(F182&lt;6,"Night",IF(F182&lt;12,"Morning",IF(F182&lt;18,"Afternoon","Evening")))</f>
        <v>Evening</v>
      </c>
      <c r="H182">
        <v>0</v>
      </c>
      <c r="I182">
        <v>6</v>
      </c>
      <c r="J182" t="str">
        <f>CHOOSE(I182+1,"Monday","Tuesday","Wednesday","Thursday","Friday","Saturday","Sunday")</f>
        <v>Sunday</v>
      </c>
      <c r="K182">
        <v>1</v>
      </c>
      <c r="L182" t="str">
        <f>CHOOSE(K182+1,"error","Clear","Misty","Rainy","Severe heater")</f>
        <v>Clear</v>
      </c>
      <c r="M182">
        <v>0.14000000000000001</v>
      </c>
      <c r="N182" t="str">
        <f>IF(M182&lt;=0.2,"Low",IF(M182&lt;=0.4,"Mid","High"))</f>
        <v>Low</v>
      </c>
      <c r="O182">
        <v>0.1212</v>
      </c>
      <c r="P182" t="str">
        <f>IF(O182&lt;=0.15,"Very Cold",IF(O182&lt;=0.3,"Cold",IF(O182&lt;=0.45,"Pleasant","Hot")))</f>
        <v>Very Cold</v>
      </c>
      <c r="Q182">
        <v>0.36</v>
      </c>
      <c r="R182" t="str">
        <f>IF(Q182&lt;=0.25,"Low ",IF(Q182&lt;=0.5,"Moderate ",IF(Q182&lt;=0.75,"High ","Very High ")))</f>
        <v xml:space="preserve">Moderate </v>
      </c>
      <c r="S182">
        <v>0.25369999999999998</v>
      </c>
      <c r="T182" t="str">
        <f>IF(S182&lt;=0.15,"Calm",IF(S182&lt;=0.3,"Light Wind",IF(S182&lt;=0.45,"Moderate Wind","Strong Wind")))</f>
        <v>Light Wind</v>
      </c>
      <c r="U182">
        <v>4</v>
      </c>
      <c r="V182">
        <v>26</v>
      </c>
      <c r="W182">
        <v>30</v>
      </c>
      <c r="X182" t="str">
        <f>IF(W182&lt;=75,"Low Demand",IF(W182&lt;=150,"Medium Demand",IF(W182&lt;=225,"High Demand","Very High Demand")))</f>
        <v>Low Demand</v>
      </c>
    </row>
    <row r="183" spans="1:24" x14ac:dyDescent="0.25">
      <c r="A183">
        <v>182</v>
      </c>
      <c r="B183" s="2">
        <v>40551</v>
      </c>
      <c r="C183">
        <v>1</v>
      </c>
      <c r="D183">
        <v>0</v>
      </c>
      <c r="E183">
        <v>1</v>
      </c>
      <c r="F183">
        <v>20</v>
      </c>
      <c r="G183" t="str">
        <f>IF(F183&lt;6,"Night",IF(F183&lt;12,"Morning",IF(F183&lt;18,"Afternoon","Evening")))</f>
        <v>Evening</v>
      </c>
      <c r="H183">
        <v>0</v>
      </c>
      <c r="I183">
        <v>6</v>
      </c>
      <c r="J183" t="str">
        <f>CHOOSE(I183+1,"Monday","Tuesday","Wednesday","Thursday","Friday","Saturday","Sunday")</f>
        <v>Sunday</v>
      </c>
      <c r="K183">
        <v>1</v>
      </c>
      <c r="L183" t="str">
        <f>CHOOSE(K183+1,"error","Clear","Misty","Rainy","Severe heater")</f>
        <v>Clear</v>
      </c>
      <c r="M183">
        <v>0.12</v>
      </c>
      <c r="N183" t="str">
        <f>IF(M183&lt;=0.2,"Low",IF(M183&lt;=0.4,"Mid","High"))</f>
        <v>Low</v>
      </c>
      <c r="O183">
        <v>0.1212</v>
      </c>
      <c r="P183" t="str">
        <f>IF(O183&lt;=0.15,"Very Cold",IF(O183&lt;=0.3,"Cold",IF(O183&lt;=0.45,"Pleasant","Hot")))</f>
        <v>Very Cold</v>
      </c>
      <c r="Q183">
        <v>0.36</v>
      </c>
      <c r="R183" t="str">
        <f>IF(Q183&lt;=0.25,"Low ",IF(Q183&lt;=0.5,"Moderate ",IF(Q183&lt;=0.75,"High ","Very High ")))</f>
        <v xml:space="preserve">Moderate </v>
      </c>
      <c r="S183">
        <v>0.25369999999999998</v>
      </c>
      <c r="T183" t="str">
        <f>IF(S183&lt;=0.15,"Calm",IF(S183&lt;=0.3,"Light Wind",IF(S183&lt;=0.45,"Moderate Wind","Strong Wind")))</f>
        <v>Light Wind</v>
      </c>
      <c r="U183">
        <v>0</v>
      </c>
      <c r="V183">
        <v>28</v>
      </c>
      <c r="W183">
        <v>28</v>
      </c>
      <c r="X183" t="str">
        <f>IF(W183&lt;=75,"Low Demand",IF(W183&lt;=150,"Medium Demand",IF(W183&lt;=225,"High Demand","Very High Demand")))</f>
        <v>Low Demand</v>
      </c>
    </row>
    <row r="184" spans="1:24" x14ac:dyDescent="0.25">
      <c r="A184">
        <v>183</v>
      </c>
      <c r="B184" s="2">
        <v>40551</v>
      </c>
      <c r="C184">
        <v>1</v>
      </c>
      <c r="D184">
        <v>0</v>
      </c>
      <c r="E184">
        <v>1</v>
      </c>
      <c r="F184">
        <v>21</v>
      </c>
      <c r="G184" t="str">
        <f>IF(F184&lt;6,"Night",IF(F184&lt;12,"Morning",IF(F184&lt;18,"Afternoon","Evening")))</f>
        <v>Evening</v>
      </c>
      <c r="H184">
        <v>0</v>
      </c>
      <c r="I184">
        <v>6</v>
      </c>
      <c r="J184" t="str">
        <f>CHOOSE(I184+1,"Monday","Tuesday","Wednesday","Thursday","Friday","Saturday","Sunday")</f>
        <v>Sunday</v>
      </c>
      <c r="K184">
        <v>1</v>
      </c>
      <c r="L184" t="str">
        <f>CHOOSE(K184+1,"error","Clear","Misty","Rainy","Severe heater")</f>
        <v>Clear</v>
      </c>
      <c r="M184">
        <v>0.12</v>
      </c>
      <c r="N184" t="str">
        <f>IF(M184&lt;=0.2,"Low",IF(M184&lt;=0.4,"Mid","High"))</f>
        <v>Low</v>
      </c>
      <c r="O184">
        <v>0.1061</v>
      </c>
      <c r="P184" t="str">
        <f>IF(O184&lt;=0.15,"Very Cold",IF(O184&lt;=0.3,"Cold",IF(O184&lt;=0.45,"Pleasant","Hot")))</f>
        <v>Very Cold</v>
      </c>
      <c r="Q184">
        <v>0.39</v>
      </c>
      <c r="R184" t="str">
        <f>IF(Q184&lt;=0.25,"Low ",IF(Q184&lt;=0.5,"Moderate ",IF(Q184&lt;=0.75,"High ","Very High ")))</f>
        <v xml:space="preserve">Moderate </v>
      </c>
      <c r="S184">
        <v>0.35820000000000002</v>
      </c>
      <c r="T184" t="str">
        <f>IF(S184&lt;=0.15,"Calm",IF(S184&lt;=0.3,"Light Wind",IF(S184&lt;=0.45,"Moderate Wind","Strong Wind")))</f>
        <v>Moderate Wind</v>
      </c>
      <c r="U184">
        <v>2</v>
      </c>
      <c r="V184">
        <v>35</v>
      </c>
      <c r="W184">
        <v>37</v>
      </c>
      <c r="X184" t="str">
        <f>IF(W184&lt;=75,"Low Demand",IF(W184&lt;=150,"Medium Demand",IF(W184&lt;=225,"High Demand","Very High Demand")))</f>
        <v>Low Demand</v>
      </c>
    </row>
    <row r="185" spans="1:24" x14ac:dyDescent="0.25">
      <c r="A185">
        <v>184</v>
      </c>
      <c r="B185" s="2">
        <v>40551</v>
      </c>
      <c r="C185">
        <v>1</v>
      </c>
      <c r="D185">
        <v>0</v>
      </c>
      <c r="E185">
        <v>1</v>
      </c>
      <c r="F185">
        <v>22</v>
      </c>
      <c r="G185" t="str">
        <f>IF(F185&lt;6,"Night",IF(F185&lt;12,"Morning",IF(F185&lt;18,"Afternoon","Evening")))</f>
        <v>Evening</v>
      </c>
      <c r="H185">
        <v>0</v>
      </c>
      <c r="I185">
        <v>6</v>
      </c>
      <c r="J185" t="str">
        <f>CHOOSE(I185+1,"Monday","Tuesday","Wednesday","Thursday","Friday","Saturday","Sunday")</f>
        <v>Sunday</v>
      </c>
      <c r="K185">
        <v>1</v>
      </c>
      <c r="L185" t="str">
        <f>CHOOSE(K185+1,"error","Clear","Misty","Rainy","Severe heater")</f>
        <v>Clear</v>
      </c>
      <c r="M185">
        <v>0.12</v>
      </c>
      <c r="N185" t="str">
        <f>IF(M185&lt;=0.2,"Low",IF(M185&lt;=0.4,"Mid","High"))</f>
        <v>Low</v>
      </c>
      <c r="O185">
        <v>0.1061</v>
      </c>
      <c r="P185" t="str">
        <f>IF(O185&lt;=0.15,"Very Cold",IF(O185&lt;=0.3,"Cold",IF(O185&lt;=0.45,"Pleasant","Hot")))</f>
        <v>Very Cold</v>
      </c>
      <c r="Q185">
        <v>0.36</v>
      </c>
      <c r="R185" t="str">
        <f>IF(Q185&lt;=0.25,"Low ",IF(Q185&lt;=0.5,"Moderate ",IF(Q185&lt;=0.75,"High ","Very High ")))</f>
        <v xml:space="preserve">Moderate </v>
      </c>
      <c r="S185">
        <v>0.3881</v>
      </c>
      <c r="T185" t="str">
        <f>IF(S185&lt;=0.15,"Calm",IF(S185&lt;=0.3,"Light Wind",IF(S185&lt;=0.45,"Moderate Wind","Strong Wind")))</f>
        <v>Moderate Wind</v>
      </c>
      <c r="U185">
        <v>1</v>
      </c>
      <c r="V185">
        <v>33</v>
      </c>
      <c r="W185">
        <v>34</v>
      </c>
      <c r="X185" t="str">
        <f>IF(W185&lt;=75,"Low Demand",IF(W185&lt;=150,"Medium Demand",IF(W185&lt;=225,"High Demand","Very High Demand")))</f>
        <v>Low Demand</v>
      </c>
    </row>
    <row r="186" spans="1:24" x14ac:dyDescent="0.25">
      <c r="A186">
        <v>185</v>
      </c>
      <c r="B186" s="2">
        <v>40551</v>
      </c>
      <c r="C186">
        <v>1</v>
      </c>
      <c r="D186">
        <v>0</v>
      </c>
      <c r="E186">
        <v>1</v>
      </c>
      <c r="F186">
        <v>23</v>
      </c>
      <c r="G186" t="str">
        <f>IF(F186&lt;6,"Night",IF(F186&lt;12,"Morning",IF(F186&lt;18,"Afternoon","Evening")))</f>
        <v>Evening</v>
      </c>
      <c r="H186">
        <v>0</v>
      </c>
      <c r="I186">
        <v>6</v>
      </c>
      <c r="J186" t="str">
        <f>CHOOSE(I186+1,"Monday","Tuesday","Wednesday","Thursday","Friday","Saturday","Sunday")</f>
        <v>Sunday</v>
      </c>
      <c r="K186">
        <v>1</v>
      </c>
      <c r="L186" t="str">
        <f>CHOOSE(K186+1,"error","Clear","Misty","Rainy","Severe heater")</f>
        <v>Clear</v>
      </c>
      <c r="M186">
        <v>0.1</v>
      </c>
      <c r="N186" t="str">
        <f>IF(M186&lt;=0.2,"Low",IF(M186&lt;=0.4,"Mid","High"))</f>
        <v>Low</v>
      </c>
      <c r="O186">
        <v>6.0600000000000001E-2</v>
      </c>
      <c r="P186" t="str">
        <f>IF(O186&lt;=0.15,"Very Cold",IF(O186&lt;=0.3,"Cold",IF(O186&lt;=0.45,"Pleasant","Hot")))</f>
        <v>Very Cold</v>
      </c>
      <c r="Q186">
        <v>0.39</v>
      </c>
      <c r="R186" t="str">
        <f>IF(Q186&lt;=0.25,"Low ",IF(Q186&lt;=0.5,"Moderate ",IF(Q186&lt;=0.75,"High ","Very High ")))</f>
        <v xml:space="preserve">Moderate </v>
      </c>
      <c r="S186">
        <v>0.44779999999999998</v>
      </c>
      <c r="T186" t="str">
        <f>IF(S186&lt;=0.15,"Calm",IF(S186&lt;=0.3,"Light Wind",IF(S186&lt;=0.45,"Moderate Wind","Strong Wind")))</f>
        <v>Moderate Wind</v>
      </c>
      <c r="U186">
        <v>0</v>
      </c>
      <c r="V186">
        <v>22</v>
      </c>
      <c r="W186">
        <v>22</v>
      </c>
      <c r="X186" t="str">
        <f>IF(W186&lt;=75,"Low Demand",IF(W186&lt;=150,"Medium Demand",IF(W186&lt;=225,"High Demand","Very High Demand")))</f>
        <v>Low Demand</v>
      </c>
    </row>
    <row r="187" spans="1:24" x14ac:dyDescent="0.25">
      <c r="A187">
        <v>186</v>
      </c>
      <c r="B187" s="2">
        <v>40552</v>
      </c>
      <c r="C187">
        <v>1</v>
      </c>
      <c r="D187">
        <v>0</v>
      </c>
      <c r="E187">
        <v>1</v>
      </c>
      <c r="F187">
        <v>0</v>
      </c>
      <c r="G187" t="str">
        <f>IF(F187&lt;6,"Night",IF(F187&lt;12,"Morning",IF(F187&lt;18,"Afternoon","Evening")))</f>
        <v>Night</v>
      </c>
      <c r="H187">
        <v>0</v>
      </c>
      <c r="I187">
        <v>0</v>
      </c>
      <c r="J187" t="str">
        <f>CHOOSE(I187+1,"Monday","Tuesday","Wednesday","Thursday","Friday","Saturday","Sunday")</f>
        <v>Monday</v>
      </c>
      <c r="K187">
        <v>1</v>
      </c>
      <c r="L187" t="str">
        <f>CHOOSE(K187+1,"error","Clear","Misty","Rainy","Severe heater")</f>
        <v>Clear</v>
      </c>
      <c r="M187">
        <v>0.1</v>
      </c>
      <c r="N187" t="str">
        <f>IF(M187&lt;=0.2,"Low",IF(M187&lt;=0.4,"Mid","High"))</f>
        <v>Low</v>
      </c>
      <c r="O187">
        <v>7.5800000000000006E-2</v>
      </c>
      <c r="P187" t="str">
        <f>IF(O187&lt;=0.15,"Very Cold",IF(O187&lt;=0.3,"Cold",IF(O187&lt;=0.45,"Pleasant","Hot")))</f>
        <v>Very Cold</v>
      </c>
      <c r="Q187">
        <v>0.42</v>
      </c>
      <c r="R187" t="str">
        <f>IF(Q187&lt;=0.25,"Low ",IF(Q187&lt;=0.5,"Moderate ",IF(Q187&lt;=0.75,"High ","Very High ")))</f>
        <v xml:space="preserve">Moderate </v>
      </c>
      <c r="S187">
        <v>0.3881</v>
      </c>
      <c r="T187" t="str">
        <f>IF(S187&lt;=0.15,"Calm",IF(S187&lt;=0.3,"Light Wind",IF(S187&lt;=0.45,"Moderate Wind","Strong Wind")))</f>
        <v>Moderate Wind</v>
      </c>
      <c r="U187">
        <v>1</v>
      </c>
      <c r="V187">
        <v>24</v>
      </c>
      <c r="W187">
        <v>25</v>
      </c>
      <c r="X187" t="str">
        <f>IF(W187&lt;=75,"Low Demand",IF(W187&lt;=150,"Medium Demand",IF(W187&lt;=225,"High Demand","Very High Demand")))</f>
        <v>Low Demand</v>
      </c>
    </row>
    <row r="188" spans="1:24" x14ac:dyDescent="0.25">
      <c r="A188">
        <v>187</v>
      </c>
      <c r="B188" s="2">
        <v>40552</v>
      </c>
      <c r="C188">
        <v>1</v>
      </c>
      <c r="D188">
        <v>0</v>
      </c>
      <c r="E188">
        <v>1</v>
      </c>
      <c r="F188">
        <v>1</v>
      </c>
      <c r="G188" t="str">
        <f>IF(F188&lt;6,"Night",IF(F188&lt;12,"Morning",IF(F188&lt;18,"Afternoon","Evening")))</f>
        <v>Night</v>
      </c>
      <c r="H188">
        <v>0</v>
      </c>
      <c r="I188">
        <v>0</v>
      </c>
      <c r="J188" t="str">
        <f>CHOOSE(I188+1,"Monday","Tuesday","Wednesday","Thursday","Friday","Saturday","Sunday")</f>
        <v>Monday</v>
      </c>
      <c r="K188">
        <v>1</v>
      </c>
      <c r="L188" t="str">
        <f>CHOOSE(K188+1,"error","Clear","Misty","Rainy","Severe heater")</f>
        <v>Clear</v>
      </c>
      <c r="M188">
        <v>0.1</v>
      </c>
      <c r="N188" t="str">
        <f>IF(M188&lt;=0.2,"Low",IF(M188&lt;=0.4,"Mid","High"))</f>
        <v>Low</v>
      </c>
      <c r="O188">
        <v>6.0600000000000001E-2</v>
      </c>
      <c r="P188" t="str">
        <f>IF(O188&lt;=0.15,"Very Cold",IF(O188&lt;=0.3,"Cold",IF(O188&lt;=0.45,"Pleasant","Hot")))</f>
        <v>Very Cold</v>
      </c>
      <c r="Q188">
        <v>0.42</v>
      </c>
      <c r="R188" t="str">
        <f>IF(Q188&lt;=0.25,"Low ",IF(Q188&lt;=0.5,"Moderate ",IF(Q188&lt;=0.75,"High ","Very High ")))</f>
        <v xml:space="preserve">Moderate </v>
      </c>
      <c r="S188">
        <v>0.4627</v>
      </c>
      <c r="T188" t="str">
        <f>IF(S188&lt;=0.15,"Calm",IF(S188&lt;=0.3,"Light Wind",IF(S188&lt;=0.45,"Moderate Wind","Strong Wind")))</f>
        <v>Strong Wind</v>
      </c>
      <c r="U188">
        <v>0</v>
      </c>
      <c r="V188">
        <v>12</v>
      </c>
      <c r="W188">
        <v>12</v>
      </c>
      <c r="X188" t="str">
        <f>IF(W188&lt;=75,"Low Demand",IF(W188&lt;=150,"Medium Demand",IF(W188&lt;=225,"High Demand","Very High Demand")))</f>
        <v>Low Demand</v>
      </c>
    </row>
    <row r="189" spans="1:24" x14ac:dyDescent="0.25">
      <c r="A189">
        <v>188</v>
      </c>
      <c r="B189" s="2">
        <v>40552</v>
      </c>
      <c r="C189">
        <v>1</v>
      </c>
      <c r="D189">
        <v>0</v>
      </c>
      <c r="E189">
        <v>1</v>
      </c>
      <c r="F189">
        <v>2</v>
      </c>
      <c r="G189" t="str">
        <f>IF(F189&lt;6,"Night",IF(F189&lt;12,"Morning",IF(F189&lt;18,"Afternoon","Evening")))</f>
        <v>Night</v>
      </c>
      <c r="H189">
        <v>0</v>
      </c>
      <c r="I189">
        <v>0</v>
      </c>
      <c r="J189" t="str">
        <f>CHOOSE(I189+1,"Monday","Tuesday","Wednesday","Thursday","Friday","Saturday","Sunday")</f>
        <v>Monday</v>
      </c>
      <c r="K189">
        <v>1</v>
      </c>
      <c r="L189" t="str">
        <f>CHOOSE(K189+1,"error","Clear","Misty","Rainy","Severe heater")</f>
        <v>Clear</v>
      </c>
      <c r="M189">
        <v>0.1</v>
      </c>
      <c r="N189" t="str">
        <f>IF(M189&lt;=0.2,"Low",IF(M189&lt;=0.4,"Mid","High"))</f>
        <v>Low</v>
      </c>
      <c r="O189">
        <v>6.0600000000000001E-2</v>
      </c>
      <c r="P189" t="str">
        <f>IF(O189&lt;=0.15,"Very Cold",IF(O189&lt;=0.3,"Cold",IF(O189&lt;=0.45,"Pleasant","Hot")))</f>
        <v>Very Cold</v>
      </c>
      <c r="Q189">
        <v>0.46</v>
      </c>
      <c r="R189" t="str">
        <f>IF(Q189&lt;=0.25,"Low ",IF(Q189&lt;=0.5,"Moderate ",IF(Q189&lt;=0.75,"High ","Very High ")))</f>
        <v xml:space="preserve">Moderate </v>
      </c>
      <c r="S189">
        <v>0.4627</v>
      </c>
      <c r="T189" t="str">
        <f>IF(S189&lt;=0.15,"Calm",IF(S189&lt;=0.3,"Light Wind",IF(S189&lt;=0.45,"Moderate Wind","Strong Wind")))</f>
        <v>Strong Wind</v>
      </c>
      <c r="U189">
        <v>0</v>
      </c>
      <c r="V189">
        <v>11</v>
      </c>
      <c r="W189">
        <v>11</v>
      </c>
      <c r="X189" t="str">
        <f>IF(W189&lt;=75,"Low Demand",IF(W189&lt;=150,"Medium Demand",IF(W189&lt;=225,"High Demand","Very High Demand")))</f>
        <v>Low Demand</v>
      </c>
    </row>
    <row r="190" spans="1:24" x14ac:dyDescent="0.25">
      <c r="A190">
        <v>189</v>
      </c>
      <c r="B190" s="2">
        <v>40552</v>
      </c>
      <c r="C190">
        <v>1</v>
      </c>
      <c r="D190">
        <v>0</v>
      </c>
      <c r="E190">
        <v>1</v>
      </c>
      <c r="F190">
        <v>3</v>
      </c>
      <c r="G190" t="str">
        <f>IF(F190&lt;6,"Night",IF(F190&lt;12,"Morning",IF(F190&lt;18,"Afternoon","Evening")))</f>
        <v>Night</v>
      </c>
      <c r="H190">
        <v>0</v>
      </c>
      <c r="I190">
        <v>0</v>
      </c>
      <c r="J190" t="str">
        <f>CHOOSE(I190+1,"Monday","Tuesday","Wednesday","Thursday","Friday","Saturday","Sunday")</f>
        <v>Monday</v>
      </c>
      <c r="K190">
        <v>1</v>
      </c>
      <c r="L190" t="str">
        <f>CHOOSE(K190+1,"error","Clear","Misty","Rainy","Severe heater")</f>
        <v>Clear</v>
      </c>
      <c r="M190">
        <v>0.1</v>
      </c>
      <c r="N190" t="str">
        <f>IF(M190&lt;=0.2,"Low",IF(M190&lt;=0.4,"Mid","High"))</f>
        <v>Low</v>
      </c>
      <c r="O190">
        <v>7.5800000000000006E-2</v>
      </c>
      <c r="P190" t="str">
        <f>IF(O190&lt;=0.15,"Very Cold",IF(O190&lt;=0.3,"Cold",IF(O190&lt;=0.45,"Pleasant","Hot")))</f>
        <v>Very Cold</v>
      </c>
      <c r="Q190">
        <v>0.46</v>
      </c>
      <c r="R190" t="str">
        <f>IF(Q190&lt;=0.25,"Low ",IF(Q190&lt;=0.5,"Moderate ",IF(Q190&lt;=0.75,"High ","Very High ")))</f>
        <v xml:space="preserve">Moderate </v>
      </c>
      <c r="S190">
        <v>0.41789999999999999</v>
      </c>
      <c r="T190" t="str">
        <f>IF(S190&lt;=0.15,"Calm",IF(S190&lt;=0.3,"Light Wind",IF(S190&lt;=0.45,"Moderate Wind","Strong Wind")))</f>
        <v>Moderate Wind</v>
      </c>
      <c r="U190">
        <v>0</v>
      </c>
      <c r="V190">
        <v>4</v>
      </c>
      <c r="W190">
        <v>4</v>
      </c>
      <c r="X190" t="str">
        <f>IF(W190&lt;=75,"Low Demand",IF(W190&lt;=150,"Medium Demand",IF(W190&lt;=225,"High Demand","Very High Demand")))</f>
        <v>Low Demand</v>
      </c>
    </row>
    <row r="191" spans="1:24" x14ac:dyDescent="0.25">
      <c r="A191">
        <v>190</v>
      </c>
      <c r="B191" s="2">
        <v>40552</v>
      </c>
      <c r="C191">
        <v>1</v>
      </c>
      <c r="D191">
        <v>0</v>
      </c>
      <c r="E191">
        <v>1</v>
      </c>
      <c r="F191">
        <v>4</v>
      </c>
      <c r="G191" t="str">
        <f>IF(F191&lt;6,"Night",IF(F191&lt;12,"Morning",IF(F191&lt;18,"Afternoon","Evening")))</f>
        <v>Night</v>
      </c>
      <c r="H191">
        <v>0</v>
      </c>
      <c r="I191">
        <v>0</v>
      </c>
      <c r="J191" t="str">
        <f>CHOOSE(I191+1,"Monday","Tuesday","Wednesday","Thursday","Friday","Saturday","Sunday")</f>
        <v>Monday</v>
      </c>
      <c r="K191">
        <v>1</v>
      </c>
      <c r="L191" t="str">
        <f>CHOOSE(K191+1,"error","Clear","Misty","Rainy","Severe heater")</f>
        <v>Clear</v>
      </c>
      <c r="M191">
        <v>0.08</v>
      </c>
      <c r="N191" t="str">
        <f>IF(M191&lt;=0.2,"Low",IF(M191&lt;=0.4,"Mid","High"))</f>
        <v>Low</v>
      </c>
      <c r="O191">
        <v>9.0899999999999995E-2</v>
      </c>
      <c r="P191" t="str">
        <f>IF(O191&lt;=0.15,"Very Cold",IF(O191&lt;=0.3,"Cold",IF(O191&lt;=0.45,"Pleasant","Hot")))</f>
        <v>Very Cold</v>
      </c>
      <c r="Q191">
        <v>0.53</v>
      </c>
      <c r="R191" t="str">
        <f>IF(Q191&lt;=0.25,"Low ",IF(Q191&lt;=0.5,"Moderate ",IF(Q191&lt;=0.75,"High ","Very High ")))</f>
        <v xml:space="preserve">High </v>
      </c>
      <c r="S191">
        <v>0.19400000000000001</v>
      </c>
      <c r="T191" t="str">
        <f>IF(S191&lt;=0.15,"Calm",IF(S191&lt;=0.3,"Light Wind",IF(S191&lt;=0.45,"Moderate Wind","Strong Wind")))</f>
        <v>Light Wind</v>
      </c>
      <c r="U191">
        <v>0</v>
      </c>
      <c r="V191">
        <v>1</v>
      </c>
      <c r="W191">
        <v>1</v>
      </c>
      <c r="X191" t="str">
        <f>IF(W191&lt;=75,"Low Demand",IF(W191&lt;=150,"Medium Demand",IF(W191&lt;=225,"High Demand","Very High Demand")))</f>
        <v>Low Demand</v>
      </c>
    </row>
    <row r="192" spans="1:24" x14ac:dyDescent="0.25">
      <c r="A192">
        <v>191</v>
      </c>
      <c r="B192" s="2">
        <v>40552</v>
      </c>
      <c r="C192">
        <v>1</v>
      </c>
      <c r="D192">
        <v>0</v>
      </c>
      <c r="E192">
        <v>1</v>
      </c>
      <c r="F192">
        <v>5</v>
      </c>
      <c r="G192" t="str">
        <f>IF(F192&lt;6,"Night",IF(F192&lt;12,"Morning",IF(F192&lt;18,"Afternoon","Evening")))</f>
        <v>Night</v>
      </c>
      <c r="H192">
        <v>0</v>
      </c>
      <c r="I192">
        <v>0</v>
      </c>
      <c r="J192" t="str">
        <f>CHOOSE(I192+1,"Monday","Tuesday","Wednesday","Thursday","Friday","Saturday","Sunday")</f>
        <v>Monday</v>
      </c>
      <c r="K192">
        <v>1</v>
      </c>
      <c r="L192" t="str">
        <f>CHOOSE(K192+1,"error","Clear","Misty","Rainy","Severe heater")</f>
        <v>Clear</v>
      </c>
      <c r="M192">
        <v>0.08</v>
      </c>
      <c r="N192" t="str">
        <f>IF(M192&lt;=0.2,"Low",IF(M192&lt;=0.4,"Mid","High"))</f>
        <v>Low</v>
      </c>
      <c r="O192">
        <v>9.0899999999999995E-2</v>
      </c>
      <c r="P192" t="str">
        <f>IF(O192&lt;=0.15,"Very Cold",IF(O192&lt;=0.3,"Cold",IF(O192&lt;=0.45,"Pleasant","Hot")))</f>
        <v>Very Cold</v>
      </c>
      <c r="Q192">
        <v>0.53</v>
      </c>
      <c r="R192" t="str">
        <f>IF(Q192&lt;=0.25,"Low ",IF(Q192&lt;=0.5,"Moderate ",IF(Q192&lt;=0.75,"High ","Very High ")))</f>
        <v xml:space="preserve">High </v>
      </c>
      <c r="S192">
        <v>0.19400000000000001</v>
      </c>
      <c r="T192" t="str">
        <f>IF(S192&lt;=0.15,"Calm",IF(S192&lt;=0.3,"Light Wind",IF(S192&lt;=0.45,"Moderate Wind","Strong Wind")))</f>
        <v>Light Wind</v>
      </c>
      <c r="U192">
        <v>0</v>
      </c>
      <c r="V192">
        <v>1</v>
      </c>
      <c r="W192">
        <v>1</v>
      </c>
      <c r="X192" t="str">
        <f>IF(W192&lt;=75,"Low Demand",IF(W192&lt;=150,"Medium Demand",IF(W192&lt;=225,"High Demand","Very High Demand")))</f>
        <v>Low Demand</v>
      </c>
    </row>
    <row r="193" spans="1:24" x14ac:dyDescent="0.25">
      <c r="A193">
        <v>192</v>
      </c>
      <c r="B193" s="2">
        <v>40552</v>
      </c>
      <c r="C193">
        <v>1</v>
      </c>
      <c r="D193">
        <v>0</v>
      </c>
      <c r="E193">
        <v>1</v>
      </c>
      <c r="F193">
        <v>6</v>
      </c>
      <c r="G193" t="str">
        <f>IF(F193&lt;6,"Night",IF(F193&lt;12,"Morning",IF(F193&lt;18,"Afternoon","Evening")))</f>
        <v>Morning</v>
      </c>
      <c r="H193">
        <v>0</v>
      </c>
      <c r="I193">
        <v>0</v>
      </c>
      <c r="J193" t="str">
        <f>CHOOSE(I193+1,"Monday","Tuesday","Wednesday","Thursday","Friday","Saturday","Sunday")</f>
        <v>Monday</v>
      </c>
      <c r="K193">
        <v>1</v>
      </c>
      <c r="L193" t="str">
        <f>CHOOSE(K193+1,"error","Clear","Misty","Rainy","Severe heater")</f>
        <v>Clear</v>
      </c>
      <c r="M193">
        <v>0.1</v>
      </c>
      <c r="N193" t="str">
        <f>IF(M193&lt;=0.2,"Low",IF(M193&lt;=0.4,"Mid","High"))</f>
        <v>Low</v>
      </c>
      <c r="O193">
        <v>9.0899999999999995E-2</v>
      </c>
      <c r="P193" t="str">
        <f>IF(O193&lt;=0.15,"Very Cold",IF(O193&lt;=0.3,"Cold",IF(O193&lt;=0.45,"Pleasant","Hot")))</f>
        <v>Very Cold</v>
      </c>
      <c r="Q193">
        <v>0.49</v>
      </c>
      <c r="R193" t="str">
        <f>IF(Q193&lt;=0.25,"Low ",IF(Q193&lt;=0.5,"Moderate ",IF(Q193&lt;=0.75,"High ","Very High ")))</f>
        <v xml:space="preserve">Moderate </v>
      </c>
      <c r="S193">
        <v>0.28360000000000002</v>
      </c>
      <c r="T193" t="str">
        <f>IF(S193&lt;=0.15,"Calm",IF(S193&lt;=0.3,"Light Wind",IF(S193&lt;=0.45,"Moderate Wind","Strong Wind")))</f>
        <v>Light Wind</v>
      </c>
      <c r="U193">
        <v>0</v>
      </c>
      <c r="V193">
        <v>1</v>
      </c>
      <c r="W193">
        <v>1</v>
      </c>
      <c r="X193" t="str">
        <f>IF(W193&lt;=75,"Low Demand",IF(W193&lt;=150,"Medium Demand",IF(W193&lt;=225,"High Demand","Very High Demand")))</f>
        <v>Low Demand</v>
      </c>
    </row>
    <row r="194" spans="1:24" x14ac:dyDescent="0.25">
      <c r="A194">
        <v>193</v>
      </c>
      <c r="B194" s="2">
        <v>40552</v>
      </c>
      <c r="C194">
        <v>1</v>
      </c>
      <c r="D194">
        <v>0</v>
      </c>
      <c r="E194">
        <v>1</v>
      </c>
      <c r="F194">
        <v>7</v>
      </c>
      <c r="G194" t="str">
        <f>IF(F194&lt;6,"Night",IF(F194&lt;12,"Morning",IF(F194&lt;18,"Afternoon","Evening")))</f>
        <v>Morning</v>
      </c>
      <c r="H194">
        <v>0</v>
      </c>
      <c r="I194">
        <v>0</v>
      </c>
      <c r="J194" t="str">
        <f>CHOOSE(I194+1,"Monday","Tuesday","Wednesday","Thursday","Friday","Saturday","Sunday")</f>
        <v>Monday</v>
      </c>
      <c r="K194">
        <v>1</v>
      </c>
      <c r="L194" t="str">
        <f>CHOOSE(K194+1,"error","Clear","Misty","Rainy","Severe heater")</f>
        <v>Clear</v>
      </c>
      <c r="M194">
        <v>0.08</v>
      </c>
      <c r="N194" t="str">
        <f>IF(M194&lt;=0.2,"Low",IF(M194&lt;=0.4,"Mid","High"))</f>
        <v>Low</v>
      </c>
      <c r="O194">
        <v>9.0899999999999995E-2</v>
      </c>
      <c r="P194" t="str">
        <f>IF(O194&lt;=0.15,"Very Cold",IF(O194&lt;=0.3,"Cold",IF(O194&lt;=0.45,"Pleasant","Hot")))</f>
        <v>Very Cold</v>
      </c>
      <c r="Q194">
        <v>0.53</v>
      </c>
      <c r="R194" t="str">
        <f>IF(Q194&lt;=0.25,"Low ",IF(Q194&lt;=0.5,"Moderate ",IF(Q194&lt;=0.75,"High ","Very High ")))</f>
        <v xml:space="preserve">High </v>
      </c>
      <c r="S194">
        <v>0.19400000000000001</v>
      </c>
      <c r="T194" t="str">
        <f>IF(S194&lt;=0.15,"Calm",IF(S194&lt;=0.3,"Light Wind",IF(S194&lt;=0.45,"Moderate Wind","Strong Wind")))</f>
        <v>Light Wind</v>
      </c>
      <c r="U194">
        <v>1</v>
      </c>
      <c r="V194">
        <v>5</v>
      </c>
      <c r="W194">
        <v>6</v>
      </c>
      <c r="X194" t="str">
        <f>IF(W194&lt;=75,"Low Demand",IF(W194&lt;=150,"Medium Demand",IF(W194&lt;=225,"High Demand","Very High Demand")))</f>
        <v>Low Demand</v>
      </c>
    </row>
    <row r="195" spans="1:24" x14ac:dyDescent="0.25">
      <c r="A195">
        <v>194</v>
      </c>
      <c r="B195" s="2">
        <v>40552</v>
      </c>
      <c r="C195">
        <v>1</v>
      </c>
      <c r="D195">
        <v>0</v>
      </c>
      <c r="E195">
        <v>1</v>
      </c>
      <c r="F195">
        <v>8</v>
      </c>
      <c r="G195" t="str">
        <f>IF(F195&lt;6,"Night",IF(F195&lt;12,"Morning",IF(F195&lt;18,"Afternoon","Evening")))</f>
        <v>Morning</v>
      </c>
      <c r="H195">
        <v>0</v>
      </c>
      <c r="I195">
        <v>0</v>
      </c>
      <c r="J195" t="str">
        <f>CHOOSE(I195+1,"Monday","Tuesday","Wednesday","Thursday","Friday","Saturday","Sunday")</f>
        <v>Monday</v>
      </c>
      <c r="K195">
        <v>1</v>
      </c>
      <c r="L195" t="str">
        <f>CHOOSE(K195+1,"error","Clear","Misty","Rainy","Severe heater")</f>
        <v>Clear</v>
      </c>
      <c r="M195">
        <v>0.1</v>
      </c>
      <c r="N195" t="str">
        <f>IF(M195&lt;=0.2,"Low",IF(M195&lt;=0.4,"Mid","High"))</f>
        <v>Low</v>
      </c>
      <c r="O195">
        <v>9.0899999999999995E-2</v>
      </c>
      <c r="P195" t="str">
        <f>IF(O195&lt;=0.15,"Very Cold",IF(O195&lt;=0.3,"Cold",IF(O195&lt;=0.45,"Pleasant","Hot")))</f>
        <v>Very Cold</v>
      </c>
      <c r="Q195">
        <v>0.49</v>
      </c>
      <c r="R195" t="str">
        <f>IF(Q195&lt;=0.25,"Low ",IF(Q195&lt;=0.5,"Moderate ",IF(Q195&lt;=0.75,"High ","Very High ")))</f>
        <v xml:space="preserve">Moderate </v>
      </c>
      <c r="S195">
        <v>0.28360000000000002</v>
      </c>
      <c r="T195" t="str">
        <f>IF(S195&lt;=0.15,"Calm",IF(S195&lt;=0.3,"Light Wind",IF(S195&lt;=0.45,"Moderate Wind","Strong Wind")))</f>
        <v>Light Wind</v>
      </c>
      <c r="U195">
        <v>0</v>
      </c>
      <c r="V195">
        <v>10</v>
      </c>
      <c r="W195">
        <v>10</v>
      </c>
      <c r="X195" t="str">
        <f>IF(W195&lt;=75,"Low Demand",IF(W195&lt;=150,"Medium Demand",IF(W195&lt;=225,"High Demand","Very High Demand")))</f>
        <v>Low Demand</v>
      </c>
    </row>
    <row r="196" spans="1:24" x14ac:dyDescent="0.25">
      <c r="A196">
        <v>195</v>
      </c>
      <c r="B196" s="2">
        <v>40552</v>
      </c>
      <c r="C196">
        <v>1</v>
      </c>
      <c r="D196">
        <v>0</v>
      </c>
      <c r="E196">
        <v>1</v>
      </c>
      <c r="F196">
        <v>9</v>
      </c>
      <c r="G196" t="str">
        <f>IF(F196&lt;6,"Night",IF(F196&lt;12,"Morning",IF(F196&lt;18,"Afternoon","Evening")))</f>
        <v>Morning</v>
      </c>
      <c r="H196">
        <v>0</v>
      </c>
      <c r="I196">
        <v>0</v>
      </c>
      <c r="J196" t="str">
        <f>CHOOSE(I196+1,"Monday","Tuesday","Wednesday","Thursday","Friday","Saturday","Sunday")</f>
        <v>Monday</v>
      </c>
      <c r="K196">
        <v>1</v>
      </c>
      <c r="L196" t="str">
        <f>CHOOSE(K196+1,"error","Clear","Misty","Rainy","Severe heater")</f>
        <v>Clear</v>
      </c>
      <c r="M196">
        <v>0.12</v>
      </c>
      <c r="N196" t="str">
        <f>IF(M196&lt;=0.2,"Low",IF(M196&lt;=0.4,"Mid","High"))</f>
        <v>Low</v>
      </c>
      <c r="O196">
        <v>7.5800000000000006E-2</v>
      </c>
      <c r="P196" t="str">
        <f>IF(O196&lt;=0.15,"Very Cold",IF(O196&lt;=0.3,"Cold",IF(O196&lt;=0.45,"Pleasant","Hot")))</f>
        <v>Very Cold</v>
      </c>
      <c r="Q196">
        <v>0.46</v>
      </c>
      <c r="R196" t="str">
        <f>IF(Q196&lt;=0.25,"Low ",IF(Q196&lt;=0.5,"Moderate ",IF(Q196&lt;=0.75,"High ","Very High ")))</f>
        <v xml:space="preserve">Moderate </v>
      </c>
      <c r="S196">
        <v>0.52239999999999998</v>
      </c>
      <c r="T196" t="str">
        <f>IF(S196&lt;=0.15,"Calm",IF(S196&lt;=0.3,"Light Wind",IF(S196&lt;=0.45,"Moderate Wind","Strong Wind")))</f>
        <v>Strong Wind</v>
      </c>
      <c r="U196">
        <v>0</v>
      </c>
      <c r="V196">
        <v>19</v>
      </c>
      <c r="W196">
        <v>19</v>
      </c>
      <c r="X196" t="str">
        <f>IF(W196&lt;=75,"Low Demand",IF(W196&lt;=150,"Medium Demand",IF(W196&lt;=225,"High Demand","Very High Demand")))</f>
        <v>Low Demand</v>
      </c>
    </row>
    <row r="197" spans="1:24" x14ac:dyDescent="0.25">
      <c r="A197">
        <v>196</v>
      </c>
      <c r="B197" s="2">
        <v>40552</v>
      </c>
      <c r="C197">
        <v>1</v>
      </c>
      <c r="D197">
        <v>0</v>
      </c>
      <c r="E197">
        <v>1</v>
      </c>
      <c r="F197">
        <v>10</v>
      </c>
      <c r="G197" t="str">
        <f>IF(F197&lt;6,"Night",IF(F197&lt;12,"Morning",IF(F197&lt;18,"Afternoon","Evening")))</f>
        <v>Morning</v>
      </c>
      <c r="H197">
        <v>0</v>
      </c>
      <c r="I197">
        <v>0</v>
      </c>
      <c r="J197" t="str">
        <f>CHOOSE(I197+1,"Monday","Tuesday","Wednesday","Thursday","Friday","Saturday","Sunday")</f>
        <v>Monday</v>
      </c>
      <c r="K197">
        <v>1</v>
      </c>
      <c r="L197" t="str">
        <f>CHOOSE(K197+1,"error","Clear","Misty","Rainy","Severe heater")</f>
        <v>Clear</v>
      </c>
      <c r="M197">
        <v>0.14000000000000001</v>
      </c>
      <c r="N197" t="str">
        <f>IF(M197&lt;=0.2,"Low",IF(M197&lt;=0.4,"Mid","High"))</f>
        <v>Low</v>
      </c>
      <c r="O197">
        <v>0.1061</v>
      </c>
      <c r="P197" t="str">
        <f>IF(O197&lt;=0.15,"Very Cold",IF(O197&lt;=0.3,"Cold",IF(O197&lt;=0.45,"Pleasant","Hot")))</f>
        <v>Very Cold</v>
      </c>
      <c r="Q197">
        <v>0.43</v>
      </c>
      <c r="R197" t="str">
        <f>IF(Q197&lt;=0.25,"Low ",IF(Q197&lt;=0.5,"Moderate ",IF(Q197&lt;=0.75,"High ","Very High ")))</f>
        <v xml:space="preserve">Moderate </v>
      </c>
      <c r="S197">
        <v>0.3881</v>
      </c>
      <c r="T197" t="str">
        <f>IF(S197&lt;=0.15,"Calm",IF(S197&lt;=0.3,"Light Wind",IF(S197&lt;=0.45,"Moderate Wind","Strong Wind")))</f>
        <v>Moderate Wind</v>
      </c>
      <c r="U197">
        <v>0</v>
      </c>
      <c r="V197">
        <v>49</v>
      </c>
      <c r="W197">
        <v>49</v>
      </c>
      <c r="X197" t="str">
        <f>IF(W197&lt;=75,"Low Demand",IF(W197&lt;=150,"Medium Demand",IF(W197&lt;=225,"High Demand","Very High Demand")))</f>
        <v>Low Demand</v>
      </c>
    </row>
    <row r="198" spans="1:24" x14ac:dyDescent="0.25">
      <c r="A198">
        <v>197</v>
      </c>
      <c r="B198" s="2">
        <v>40552</v>
      </c>
      <c r="C198">
        <v>1</v>
      </c>
      <c r="D198">
        <v>0</v>
      </c>
      <c r="E198">
        <v>1</v>
      </c>
      <c r="F198">
        <v>11</v>
      </c>
      <c r="G198" t="str">
        <f>IF(F198&lt;6,"Night",IF(F198&lt;12,"Morning",IF(F198&lt;18,"Afternoon","Evening")))</f>
        <v>Morning</v>
      </c>
      <c r="H198">
        <v>0</v>
      </c>
      <c r="I198">
        <v>0</v>
      </c>
      <c r="J198" t="str">
        <f>CHOOSE(I198+1,"Monday","Tuesday","Wednesday","Thursday","Friday","Saturday","Sunday")</f>
        <v>Monday</v>
      </c>
      <c r="K198">
        <v>1</v>
      </c>
      <c r="L198" t="str">
        <f>CHOOSE(K198+1,"error","Clear","Misty","Rainy","Severe heater")</f>
        <v>Clear</v>
      </c>
      <c r="M198">
        <v>0.16</v>
      </c>
      <c r="N198" t="str">
        <f>IF(M198&lt;=0.2,"Low",IF(M198&lt;=0.4,"Mid","High"))</f>
        <v>Low</v>
      </c>
      <c r="O198">
        <v>0.1212</v>
      </c>
      <c r="P198" t="str">
        <f>IF(O198&lt;=0.15,"Very Cold",IF(O198&lt;=0.3,"Cold",IF(O198&lt;=0.45,"Pleasant","Hot")))</f>
        <v>Very Cold</v>
      </c>
      <c r="Q198">
        <v>0.4</v>
      </c>
      <c r="R198" t="str">
        <f>IF(Q198&lt;=0.25,"Low ",IF(Q198&lt;=0.5,"Moderate ",IF(Q198&lt;=0.75,"High ","Very High ")))</f>
        <v xml:space="preserve">Moderate </v>
      </c>
      <c r="S198">
        <v>0.52239999999999998</v>
      </c>
      <c r="T198" t="str">
        <f>IF(S198&lt;=0.15,"Calm",IF(S198&lt;=0.3,"Light Wind",IF(S198&lt;=0.45,"Moderate Wind","Strong Wind")))</f>
        <v>Strong Wind</v>
      </c>
      <c r="U198">
        <v>2</v>
      </c>
      <c r="V198">
        <v>47</v>
      </c>
      <c r="W198">
        <v>49</v>
      </c>
      <c r="X198" t="str">
        <f>IF(W198&lt;=75,"Low Demand",IF(W198&lt;=150,"Medium Demand",IF(W198&lt;=225,"High Demand","Very High Demand")))</f>
        <v>Low Demand</v>
      </c>
    </row>
    <row r="199" spans="1:24" x14ac:dyDescent="0.25">
      <c r="A199">
        <v>198</v>
      </c>
      <c r="B199" s="2">
        <v>40552</v>
      </c>
      <c r="C199">
        <v>1</v>
      </c>
      <c r="D199">
        <v>0</v>
      </c>
      <c r="E199">
        <v>1</v>
      </c>
      <c r="F199">
        <v>12</v>
      </c>
      <c r="G199" t="str">
        <f>IF(F199&lt;6,"Night",IF(F199&lt;12,"Morning",IF(F199&lt;18,"Afternoon","Evening")))</f>
        <v>Afternoon</v>
      </c>
      <c r="H199">
        <v>0</v>
      </c>
      <c r="I199">
        <v>0</v>
      </c>
      <c r="J199" t="str">
        <f>CHOOSE(I199+1,"Monday","Tuesday","Wednesday","Thursday","Friday","Saturday","Sunday")</f>
        <v>Monday</v>
      </c>
      <c r="K199">
        <v>1</v>
      </c>
      <c r="L199" t="str">
        <f>CHOOSE(K199+1,"error","Clear","Misty","Rainy","Severe heater")</f>
        <v>Clear</v>
      </c>
      <c r="M199">
        <v>0.18</v>
      </c>
      <c r="N199" t="str">
        <f>IF(M199&lt;=0.2,"Low",IF(M199&lt;=0.4,"Mid","High"))</f>
        <v>Low</v>
      </c>
      <c r="O199">
        <v>0.13639999999999999</v>
      </c>
      <c r="P199" t="str">
        <f>IF(O199&lt;=0.15,"Very Cold",IF(O199&lt;=0.3,"Cold",IF(O199&lt;=0.45,"Pleasant","Hot")))</f>
        <v>Very Cold</v>
      </c>
      <c r="Q199">
        <v>0.37</v>
      </c>
      <c r="R199" t="str">
        <f>IF(Q199&lt;=0.25,"Low ",IF(Q199&lt;=0.5,"Moderate ",IF(Q199&lt;=0.75,"High ","Very High ")))</f>
        <v xml:space="preserve">Moderate </v>
      </c>
      <c r="S199">
        <v>0.44779999999999998</v>
      </c>
      <c r="T199" t="str">
        <f>IF(S199&lt;=0.15,"Calm",IF(S199&lt;=0.3,"Light Wind",IF(S199&lt;=0.45,"Moderate Wind","Strong Wind")))</f>
        <v>Moderate Wind</v>
      </c>
      <c r="U199">
        <v>4</v>
      </c>
      <c r="V199">
        <v>79</v>
      </c>
      <c r="W199">
        <v>83</v>
      </c>
      <c r="X199" t="str">
        <f>IF(W199&lt;=75,"Low Demand",IF(W199&lt;=150,"Medium Demand",IF(W199&lt;=225,"High Demand","Very High Demand")))</f>
        <v>Medium Demand</v>
      </c>
    </row>
    <row r="200" spans="1:24" x14ac:dyDescent="0.25">
      <c r="A200">
        <v>199</v>
      </c>
      <c r="B200" s="2">
        <v>40552</v>
      </c>
      <c r="C200">
        <v>1</v>
      </c>
      <c r="D200">
        <v>0</v>
      </c>
      <c r="E200">
        <v>1</v>
      </c>
      <c r="F200">
        <v>13</v>
      </c>
      <c r="G200" t="str">
        <f>IF(F200&lt;6,"Night",IF(F200&lt;12,"Morning",IF(F200&lt;18,"Afternoon","Evening")))</f>
        <v>Afternoon</v>
      </c>
      <c r="H200">
        <v>0</v>
      </c>
      <c r="I200">
        <v>0</v>
      </c>
      <c r="J200" t="str">
        <f>CHOOSE(I200+1,"Monday","Tuesday","Wednesday","Thursday","Friday","Saturday","Sunday")</f>
        <v>Monday</v>
      </c>
      <c r="K200">
        <v>1</v>
      </c>
      <c r="L200" t="str">
        <f>CHOOSE(K200+1,"error","Clear","Misty","Rainy","Severe heater")</f>
        <v>Clear</v>
      </c>
      <c r="M200">
        <v>0.2</v>
      </c>
      <c r="N200" t="str">
        <f>IF(M200&lt;=0.2,"Low",IF(M200&lt;=0.4,"Mid","High"))</f>
        <v>Low</v>
      </c>
      <c r="O200">
        <v>0.16669999999999999</v>
      </c>
      <c r="P200" t="str">
        <f>IF(O200&lt;=0.15,"Very Cold",IF(O200&lt;=0.3,"Cold",IF(O200&lt;=0.45,"Pleasant","Hot")))</f>
        <v>Cold</v>
      </c>
      <c r="Q200">
        <v>0.34</v>
      </c>
      <c r="R200" t="str">
        <f>IF(Q200&lt;=0.25,"Low ",IF(Q200&lt;=0.5,"Moderate ",IF(Q200&lt;=0.75,"High ","Very High ")))</f>
        <v xml:space="preserve">Moderate </v>
      </c>
      <c r="S200">
        <v>0.44779999999999998</v>
      </c>
      <c r="T200" t="str">
        <f>IF(S200&lt;=0.15,"Calm",IF(S200&lt;=0.3,"Light Wind",IF(S200&lt;=0.45,"Moderate Wind","Strong Wind")))</f>
        <v>Moderate Wind</v>
      </c>
      <c r="U200">
        <v>6</v>
      </c>
      <c r="V200">
        <v>69</v>
      </c>
      <c r="W200">
        <v>75</v>
      </c>
      <c r="X200" t="str">
        <f>IF(W200&lt;=75,"Low Demand",IF(W200&lt;=150,"Medium Demand",IF(W200&lt;=225,"High Demand","Very High Demand")))</f>
        <v>Low Demand</v>
      </c>
    </row>
    <row r="201" spans="1:24" x14ac:dyDescent="0.25">
      <c r="A201">
        <v>200</v>
      </c>
      <c r="B201" s="2">
        <v>40552</v>
      </c>
      <c r="C201">
        <v>1</v>
      </c>
      <c r="D201">
        <v>0</v>
      </c>
      <c r="E201">
        <v>1</v>
      </c>
      <c r="F201">
        <v>14</v>
      </c>
      <c r="G201" t="str">
        <f>IF(F201&lt;6,"Night",IF(F201&lt;12,"Morning",IF(F201&lt;18,"Afternoon","Evening")))</f>
        <v>Afternoon</v>
      </c>
      <c r="H201">
        <v>0</v>
      </c>
      <c r="I201">
        <v>0</v>
      </c>
      <c r="J201" t="str">
        <f>CHOOSE(I201+1,"Monday","Tuesday","Wednesday","Thursday","Friday","Saturday","Sunday")</f>
        <v>Monday</v>
      </c>
      <c r="K201">
        <v>1</v>
      </c>
      <c r="L201" t="str">
        <f>CHOOSE(K201+1,"error","Clear","Misty","Rainy","Severe heater")</f>
        <v>Clear</v>
      </c>
      <c r="M201">
        <v>0.22</v>
      </c>
      <c r="N201" t="str">
        <f>IF(M201&lt;=0.2,"Low",IF(M201&lt;=0.4,"Mid","High"))</f>
        <v>Mid</v>
      </c>
      <c r="O201">
        <v>0.18179999999999999</v>
      </c>
      <c r="P201" t="str">
        <f>IF(O201&lt;=0.15,"Very Cold",IF(O201&lt;=0.3,"Cold",IF(O201&lt;=0.45,"Pleasant","Hot")))</f>
        <v>Cold</v>
      </c>
      <c r="Q201">
        <v>0.32</v>
      </c>
      <c r="R201" t="str">
        <f>IF(Q201&lt;=0.25,"Low ",IF(Q201&lt;=0.5,"Moderate ",IF(Q201&lt;=0.75,"High ","Very High ")))</f>
        <v xml:space="preserve">Moderate </v>
      </c>
      <c r="S201">
        <v>0.4627</v>
      </c>
      <c r="T201" t="str">
        <f>IF(S201&lt;=0.15,"Calm",IF(S201&lt;=0.3,"Light Wind",IF(S201&lt;=0.45,"Moderate Wind","Strong Wind")))</f>
        <v>Strong Wind</v>
      </c>
      <c r="U201">
        <v>8</v>
      </c>
      <c r="V201">
        <v>64</v>
      </c>
      <c r="W201">
        <v>72</v>
      </c>
      <c r="X201" t="str">
        <f>IF(W201&lt;=75,"Low Demand",IF(W201&lt;=150,"Medium Demand",IF(W201&lt;=225,"High Demand","Very High Demand")))</f>
        <v>Low Demand</v>
      </c>
    </row>
    <row r="202" spans="1:24" x14ac:dyDescent="0.25">
      <c r="A202">
        <v>201</v>
      </c>
      <c r="B202" s="2">
        <v>40552</v>
      </c>
      <c r="C202">
        <v>1</v>
      </c>
      <c r="D202">
        <v>0</v>
      </c>
      <c r="E202">
        <v>1</v>
      </c>
      <c r="F202">
        <v>15</v>
      </c>
      <c r="G202" t="str">
        <f>IF(F202&lt;6,"Night",IF(F202&lt;12,"Morning",IF(F202&lt;18,"Afternoon","Evening")))</f>
        <v>Afternoon</v>
      </c>
      <c r="H202">
        <v>0</v>
      </c>
      <c r="I202">
        <v>0</v>
      </c>
      <c r="J202" t="str">
        <f>CHOOSE(I202+1,"Monday","Tuesday","Wednesday","Thursday","Friday","Saturday","Sunday")</f>
        <v>Monday</v>
      </c>
      <c r="K202">
        <v>1</v>
      </c>
      <c r="L202" t="str">
        <f>CHOOSE(K202+1,"error","Clear","Misty","Rainy","Severe heater")</f>
        <v>Clear</v>
      </c>
      <c r="M202">
        <v>0.22</v>
      </c>
      <c r="N202" t="str">
        <f>IF(M202&lt;=0.2,"Low",IF(M202&lt;=0.4,"Mid","High"))</f>
        <v>Mid</v>
      </c>
      <c r="O202">
        <v>0.19700000000000001</v>
      </c>
      <c r="P202" t="str">
        <f>IF(O202&lt;=0.15,"Very Cold",IF(O202&lt;=0.3,"Cold",IF(O202&lt;=0.45,"Pleasant","Hot")))</f>
        <v>Cold</v>
      </c>
      <c r="Q202">
        <v>0.35</v>
      </c>
      <c r="R202" t="str">
        <f>IF(Q202&lt;=0.25,"Low ",IF(Q202&lt;=0.5,"Moderate ",IF(Q202&lt;=0.75,"High ","Very High ")))</f>
        <v xml:space="preserve">Moderate </v>
      </c>
      <c r="S202">
        <v>0.35820000000000002</v>
      </c>
      <c r="T202" t="str">
        <f>IF(S202&lt;=0.15,"Calm",IF(S202&lt;=0.3,"Light Wind",IF(S202&lt;=0.45,"Moderate Wind","Strong Wind")))</f>
        <v>Moderate Wind</v>
      </c>
      <c r="U202">
        <v>5</v>
      </c>
      <c r="V202">
        <v>77</v>
      </c>
      <c r="W202">
        <v>82</v>
      </c>
      <c r="X202" t="str">
        <f>IF(W202&lt;=75,"Low Demand",IF(W202&lt;=150,"Medium Demand",IF(W202&lt;=225,"High Demand","Very High Demand")))</f>
        <v>Medium Demand</v>
      </c>
    </row>
    <row r="203" spans="1:24" x14ac:dyDescent="0.25">
      <c r="A203">
        <v>202</v>
      </c>
      <c r="B203" s="2">
        <v>40552</v>
      </c>
      <c r="C203">
        <v>1</v>
      </c>
      <c r="D203">
        <v>0</v>
      </c>
      <c r="E203">
        <v>1</v>
      </c>
      <c r="F203">
        <v>16</v>
      </c>
      <c r="G203" t="str">
        <f>IF(F203&lt;6,"Night",IF(F203&lt;12,"Morning",IF(F203&lt;18,"Afternoon","Evening")))</f>
        <v>Afternoon</v>
      </c>
      <c r="H203">
        <v>0</v>
      </c>
      <c r="I203">
        <v>0</v>
      </c>
      <c r="J203" t="str">
        <f>CHOOSE(I203+1,"Monday","Tuesday","Wednesday","Thursday","Friday","Saturday","Sunday")</f>
        <v>Monday</v>
      </c>
      <c r="K203">
        <v>1</v>
      </c>
      <c r="L203" t="str">
        <f>CHOOSE(K203+1,"error","Clear","Misty","Rainy","Severe heater")</f>
        <v>Clear</v>
      </c>
      <c r="M203">
        <v>0.2</v>
      </c>
      <c r="N203" t="str">
        <f>IF(M203&lt;=0.2,"Low",IF(M203&lt;=0.4,"Mid","High"))</f>
        <v>Low</v>
      </c>
      <c r="O203">
        <v>0.16669999999999999</v>
      </c>
      <c r="P203" t="str">
        <f>IF(O203&lt;=0.15,"Very Cold",IF(O203&lt;=0.3,"Cold",IF(O203&lt;=0.45,"Pleasant","Hot")))</f>
        <v>Cold</v>
      </c>
      <c r="Q203">
        <v>0.34</v>
      </c>
      <c r="R203" t="str">
        <f>IF(Q203&lt;=0.25,"Low ",IF(Q203&lt;=0.5,"Moderate ",IF(Q203&lt;=0.75,"High ","Very High ")))</f>
        <v xml:space="preserve">Moderate </v>
      </c>
      <c r="S203">
        <v>0.44779999999999998</v>
      </c>
      <c r="T203" t="str">
        <f>IF(S203&lt;=0.15,"Calm",IF(S203&lt;=0.3,"Light Wind",IF(S203&lt;=0.45,"Moderate Wind","Strong Wind")))</f>
        <v>Moderate Wind</v>
      </c>
      <c r="U203">
        <v>13</v>
      </c>
      <c r="V203">
        <v>79</v>
      </c>
      <c r="W203">
        <v>92</v>
      </c>
      <c r="X203" t="str">
        <f>IF(W203&lt;=75,"Low Demand",IF(W203&lt;=150,"Medium Demand",IF(W203&lt;=225,"High Demand","Very High Demand")))</f>
        <v>Medium Demand</v>
      </c>
    </row>
    <row r="204" spans="1:24" x14ac:dyDescent="0.25">
      <c r="A204">
        <v>203</v>
      </c>
      <c r="B204" s="2">
        <v>40552</v>
      </c>
      <c r="C204">
        <v>1</v>
      </c>
      <c r="D204">
        <v>0</v>
      </c>
      <c r="E204">
        <v>1</v>
      </c>
      <c r="F204">
        <v>17</v>
      </c>
      <c r="G204" t="str">
        <f>IF(F204&lt;6,"Night",IF(F204&lt;12,"Morning",IF(F204&lt;18,"Afternoon","Evening")))</f>
        <v>Afternoon</v>
      </c>
      <c r="H204">
        <v>0</v>
      </c>
      <c r="I204">
        <v>0</v>
      </c>
      <c r="J204" t="str">
        <f>CHOOSE(I204+1,"Monday","Tuesday","Wednesday","Thursday","Friday","Saturday","Sunday")</f>
        <v>Monday</v>
      </c>
      <c r="K204">
        <v>1</v>
      </c>
      <c r="L204" t="str">
        <f>CHOOSE(K204+1,"error","Clear","Misty","Rainy","Severe heater")</f>
        <v>Clear</v>
      </c>
      <c r="M204">
        <v>0.18</v>
      </c>
      <c r="N204" t="str">
        <f>IF(M204&lt;=0.2,"Low",IF(M204&lt;=0.4,"Mid","High"))</f>
        <v>Low</v>
      </c>
      <c r="O204">
        <v>0.1515</v>
      </c>
      <c r="P204" t="str">
        <f>IF(O204&lt;=0.15,"Very Cold",IF(O204&lt;=0.3,"Cold",IF(O204&lt;=0.45,"Pleasant","Hot")))</f>
        <v>Cold</v>
      </c>
      <c r="Q204">
        <v>0.37</v>
      </c>
      <c r="R204" t="str">
        <f>IF(Q204&lt;=0.25,"Low ",IF(Q204&lt;=0.5,"Moderate ",IF(Q204&lt;=0.75,"High ","Very High ")))</f>
        <v xml:space="preserve">Moderate </v>
      </c>
      <c r="S204">
        <v>0.3881</v>
      </c>
      <c r="T204" t="str">
        <f>IF(S204&lt;=0.15,"Calm",IF(S204&lt;=0.3,"Light Wind",IF(S204&lt;=0.45,"Moderate Wind","Strong Wind")))</f>
        <v>Moderate Wind</v>
      </c>
      <c r="U204">
        <v>3</v>
      </c>
      <c r="V204">
        <v>59</v>
      </c>
      <c r="W204">
        <v>62</v>
      </c>
      <c r="X204" t="str">
        <f>IF(W204&lt;=75,"Low Demand",IF(W204&lt;=150,"Medium Demand",IF(W204&lt;=225,"High Demand","Very High Demand")))</f>
        <v>Low Demand</v>
      </c>
    </row>
    <row r="205" spans="1:24" x14ac:dyDescent="0.25">
      <c r="A205">
        <v>204</v>
      </c>
      <c r="B205" s="2">
        <v>40552</v>
      </c>
      <c r="C205">
        <v>1</v>
      </c>
      <c r="D205">
        <v>0</v>
      </c>
      <c r="E205">
        <v>1</v>
      </c>
      <c r="F205">
        <v>18</v>
      </c>
      <c r="G205" t="str">
        <f>IF(F205&lt;6,"Night",IF(F205&lt;12,"Morning",IF(F205&lt;18,"Afternoon","Evening")))</f>
        <v>Evening</v>
      </c>
      <c r="H205">
        <v>0</v>
      </c>
      <c r="I205">
        <v>0</v>
      </c>
      <c r="J205" t="str">
        <f>CHOOSE(I205+1,"Monday","Tuesday","Wednesday","Thursday","Friday","Saturday","Sunday")</f>
        <v>Monday</v>
      </c>
      <c r="K205">
        <v>1</v>
      </c>
      <c r="L205" t="str">
        <f>CHOOSE(K205+1,"error","Clear","Misty","Rainy","Severe heater")</f>
        <v>Clear</v>
      </c>
      <c r="M205">
        <v>0.16</v>
      </c>
      <c r="N205" t="str">
        <f>IF(M205&lt;=0.2,"Low",IF(M205&lt;=0.4,"Mid","High"))</f>
        <v>Low</v>
      </c>
      <c r="O205">
        <v>0.13639999999999999</v>
      </c>
      <c r="P205" t="str">
        <f>IF(O205&lt;=0.15,"Very Cold",IF(O205&lt;=0.3,"Cold",IF(O205&lt;=0.45,"Pleasant","Hot")))</f>
        <v>Very Cold</v>
      </c>
      <c r="Q205">
        <v>0.4</v>
      </c>
      <c r="R205" t="str">
        <f>IF(Q205&lt;=0.25,"Low ",IF(Q205&lt;=0.5,"Moderate ",IF(Q205&lt;=0.75,"High ","Very High ")))</f>
        <v xml:space="preserve">Moderate </v>
      </c>
      <c r="S205">
        <v>0.32840000000000003</v>
      </c>
      <c r="T205" t="str">
        <f>IF(S205&lt;=0.15,"Calm",IF(S205&lt;=0.3,"Light Wind",IF(S205&lt;=0.45,"Moderate Wind","Strong Wind")))</f>
        <v>Moderate Wind</v>
      </c>
      <c r="U205">
        <v>4</v>
      </c>
      <c r="V205">
        <v>44</v>
      </c>
      <c r="W205">
        <v>48</v>
      </c>
      <c r="X205" t="str">
        <f>IF(W205&lt;=75,"Low Demand",IF(W205&lt;=150,"Medium Demand",IF(W205&lt;=225,"High Demand","Very High Demand")))</f>
        <v>Low Demand</v>
      </c>
    </row>
    <row r="206" spans="1:24" x14ac:dyDescent="0.25">
      <c r="A206">
        <v>205</v>
      </c>
      <c r="B206" s="2">
        <v>40552</v>
      </c>
      <c r="C206">
        <v>1</v>
      </c>
      <c r="D206">
        <v>0</v>
      </c>
      <c r="E206">
        <v>1</v>
      </c>
      <c r="F206">
        <v>19</v>
      </c>
      <c r="G206" t="str">
        <f>IF(F206&lt;6,"Night",IF(F206&lt;12,"Morning",IF(F206&lt;18,"Afternoon","Evening")))</f>
        <v>Evening</v>
      </c>
      <c r="H206">
        <v>0</v>
      </c>
      <c r="I206">
        <v>0</v>
      </c>
      <c r="J206" t="str">
        <f>CHOOSE(I206+1,"Monday","Tuesday","Wednesday","Thursday","Friday","Saturday","Sunday")</f>
        <v>Monday</v>
      </c>
      <c r="K206">
        <v>1</v>
      </c>
      <c r="L206" t="str">
        <f>CHOOSE(K206+1,"error","Clear","Misty","Rainy","Severe heater")</f>
        <v>Clear</v>
      </c>
      <c r="M206">
        <v>0.16</v>
      </c>
      <c r="N206" t="str">
        <f>IF(M206&lt;=0.2,"Low",IF(M206&lt;=0.4,"Mid","High"))</f>
        <v>Low</v>
      </c>
      <c r="O206">
        <v>0.13639999999999999</v>
      </c>
      <c r="P206" t="str">
        <f>IF(O206&lt;=0.15,"Very Cold",IF(O206&lt;=0.3,"Cold",IF(O206&lt;=0.45,"Pleasant","Hot")))</f>
        <v>Very Cold</v>
      </c>
      <c r="Q206">
        <v>0.43</v>
      </c>
      <c r="R206" t="str">
        <f>IF(Q206&lt;=0.25,"Low ",IF(Q206&lt;=0.5,"Moderate ",IF(Q206&lt;=0.75,"High ","Very High ")))</f>
        <v xml:space="preserve">Moderate </v>
      </c>
      <c r="S206">
        <v>0.32840000000000003</v>
      </c>
      <c r="T206" t="str">
        <f>IF(S206&lt;=0.15,"Calm",IF(S206&lt;=0.3,"Light Wind",IF(S206&lt;=0.45,"Moderate Wind","Strong Wind")))</f>
        <v>Moderate Wind</v>
      </c>
      <c r="U206">
        <v>1</v>
      </c>
      <c r="V206">
        <v>40</v>
      </c>
      <c r="W206">
        <v>41</v>
      </c>
      <c r="X206" t="str">
        <f>IF(W206&lt;=75,"Low Demand",IF(W206&lt;=150,"Medium Demand",IF(W206&lt;=225,"High Demand","Very High Demand")))</f>
        <v>Low Demand</v>
      </c>
    </row>
    <row r="207" spans="1:24" x14ac:dyDescent="0.25">
      <c r="A207">
        <v>206</v>
      </c>
      <c r="B207" s="2">
        <v>40552</v>
      </c>
      <c r="C207">
        <v>1</v>
      </c>
      <c r="D207">
        <v>0</v>
      </c>
      <c r="E207">
        <v>1</v>
      </c>
      <c r="F207">
        <v>20</v>
      </c>
      <c r="G207" t="str">
        <f>IF(F207&lt;6,"Night",IF(F207&lt;12,"Morning",IF(F207&lt;18,"Afternoon","Evening")))</f>
        <v>Evening</v>
      </c>
      <c r="H207">
        <v>0</v>
      </c>
      <c r="I207">
        <v>0</v>
      </c>
      <c r="J207" t="str">
        <f>CHOOSE(I207+1,"Monday","Tuesday","Wednesday","Thursday","Friday","Saturday","Sunday")</f>
        <v>Monday</v>
      </c>
      <c r="K207">
        <v>1</v>
      </c>
      <c r="L207" t="str">
        <f>CHOOSE(K207+1,"error","Clear","Misty","Rainy","Severe heater")</f>
        <v>Clear</v>
      </c>
      <c r="M207">
        <v>0.14000000000000001</v>
      </c>
      <c r="N207" t="str">
        <f>IF(M207&lt;=0.2,"Low",IF(M207&lt;=0.4,"Mid","High"))</f>
        <v>Low</v>
      </c>
      <c r="O207">
        <v>0.1212</v>
      </c>
      <c r="P207" t="str">
        <f>IF(O207&lt;=0.15,"Very Cold",IF(O207&lt;=0.3,"Cold",IF(O207&lt;=0.45,"Pleasant","Hot")))</f>
        <v>Very Cold</v>
      </c>
      <c r="Q207">
        <v>0.46</v>
      </c>
      <c r="R207" t="str">
        <f>IF(Q207&lt;=0.25,"Low ",IF(Q207&lt;=0.5,"Moderate ",IF(Q207&lt;=0.75,"High ","Very High ")))</f>
        <v xml:space="preserve">Moderate </v>
      </c>
      <c r="S207">
        <v>0.25369999999999998</v>
      </c>
      <c r="T207" t="str">
        <f>IF(S207&lt;=0.15,"Calm",IF(S207&lt;=0.3,"Light Wind",IF(S207&lt;=0.45,"Moderate Wind","Strong Wind")))</f>
        <v>Light Wind</v>
      </c>
      <c r="U207">
        <v>0</v>
      </c>
      <c r="V207">
        <v>38</v>
      </c>
      <c r="W207">
        <v>38</v>
      </c>
      <c r="X207" t="str">
        <f>IF(W207&lt;=75,"Low Demand",IF(W207&lt;=150,"Medium Demand",IF(W207&lt;=225,"High Demand","Very High Demand")))</f>
        <v>Low Demand</v>
      </c>
    </row>
    <row r="208" spans="1:24" x14ac:dyDescent="0.25">
      <c r="A208">
        <v>207</v>
      </c>
      <c r="B208" s="2">
        <v>40552</v>
      </c>
      <c r="C208">
        <v>1</v>
      </c>
      <c r="D208">
        <v>0</v>
      </c>
      <c r="E208">
        <v>1</v>
      </c>
      <c r="F208">
        <v>21</v>
      </c>
      <c r="G208" t="str">
        <f>IF(F208&lt;6,"Night",IF(F208&lt;12,"Morning",IF(F208&lt;18,"Afternoon","Evening")))</f>
        <v>Evening</v>
      </c>
      <c r="H208">
        <v>0</v>
      </c>
      <c r="I208">
        <v>0</v>
      </c>
      <c r="J208" t="str">
        <f>CHOOSE(I208+1,"Monday","Tuesday","Wednesday","Thursday","Friday","Saturday","Sunday")</f>
        <v>Monday</v>
      </c>
      <c r="K208">
        <v>1</v>
      </c>
      <c r="L208" t="str">
        <f>CHOOSE(K208+1,"error","Clear","Misty","Rainy","Severe heater")</f>
        <v>Clear</v>
      </c>
      <c r="M208">
        <v>0.14000000000000001</v>
      </c>
      <c r="N208" t="str">
        <f>IF(M208&lt;=0.2,"Low",IF(M208&lt;=0.4,"Mid","High"))</f>
        <v>Low</v>
      </c>
      <c r="O208">
        <v>0.1061</v>
      </c>
      <c r="P208" t="str">
        <f>IF(O208&lt;=0.15,"Very Cold",IF(O208&lt;=0.3,"Cold",IF(O208&lt;=0.45,"Pleasant","Hot")))</f>
        <v>Very Cold</v>
      </c>
      <c r="Q208">
        <v>0.46</v>
      </c>
      <c r="R208" t="str">
        <f>IF(Q208&lt;=0.25,"Low ",IF(Q208&lt;=0.5,"Moderate ",IF(Q208&lt;=0.75,"High ","Very High ")))</f>
        <v xml:space="preserve">Moderate </v>
      </c>
      <c r="S208">
        <v>0.41789999999999999</v>
      </c>
      <c r="T208" t="str">
        <f>IF(S208&lt;=0.15,"Calm",IF(S208&lt;=0.3,"Light Wind",IF(S208&lt;=0.45,"Moderate Wind","Strong Wind")))</f>
        <v>Moderate Wind</v>
      </c>
      <c r="U208">
        <v>1</v>
      </c>
      <c r="V208">
        <v>19</v>
      </c>
      <c r="W208">
        <v>20</v>
      </c>
      <c r="X208" t="str">
        <f>IF(W208&lt;=75,"Low Demand",IF(W208&lt;=150,"Medium Demand",IF(W208&lt;=225,"High Demand","Very High Demand")))</f>
        <v>Low Demand</v>
      </c>
    </row>
    <row r="209" spans="1:24" x14ac:dyDescent="0.25">
      <c r="A209">
        <v>208</v>
      </c>
      <c r="B209" s="2">
        <v>40552</v>
      </c>
      <c r="C209">
        <v>1</v>
      </c>
      <c r="D209">
        <v>0</v>
      </c>
      <c r="E209">
        <v>1</v>
      </c>
      <c r="F209">
        <v>22</v>
      </c>
      <c r="G209" t="str">
        <f>IF(F209&lt;6,"Night",IF(F209&lt;12,"Morning",IF(F209&lt;18,"Afternoon","Evening")))</f>
        <v>Evening</v>
      </c>
      <c r="H209">
        <v>0</v>
      </c>
      <c r="I209">
        <v>0</v>
      </c>
      <c r="J209" t="str">
        <f>CHOOSE(I209+1,"Monday","Tuesday","Wednesday","Thursday","Friday","Saturday","Sunday")</f>
        <v>Monday</v>
      </c>
      <c r="K209">
        <v>1</v>
      </c>
      <c r="L209" t="str">
        <f>CHOOSE(K209+1,"error","Clear","Misty","Rainy","Severe heater")</f>
        <v>Clear</v>
      </c>
      <c r="M209">
        <v>0.14000000000000001</v>
      </c>
      <c r="N209" t="str">
        <f>IF(M209&lt;=0.2,"Low",IF(M209&lt;=0.4,"Mid","High"))</f>
        <v>Low</v>
      </c>
      <c r="O209">
        <v>0.1212</v>
      </c>
      <c r="P209" t="str">
        <f>IF(O209&lt;=0.15,"Very Cold",IF(O209&lt;=0.3,"Cold",IF(O209&lt;=0.45,"Pleasant","Hot")))</f>
        <v>Very Cold</v>
      </c>
      <c r="Q209">
        <v>0.46</v>
      </c>
      <c r="R209" t="str">
        <f>IF(Q209&lt;=0.25,"Low ",IF(Q209&lt;=0.5,"Moderate ",IF(Q209&lt;=0.75,"High ","Very High ")))</f>
        <v xml:space="preserve">Moderate </v>
      </c>
      <c r="S209">
        <v>0.29849999999999999</v>
      </c>
      <c r="T209" t="str">
        <f>IF(S209&lt;=0.15,"Calm",IF(S209&lt;=0.3,"Light Wind",IF(S209&lt;=0.45,"Moderate Wind","Strong Wind")))</f>
        <v>Light Wind</v>
      </c>
      <c r="U209">
        <v>5</v>
      </c>
      <c r="V209">
        <v>10</v>
      </c>
      <c r="W209">
        <v>15</v>
      </c>
      <c r="X209" t="str">
        <f>IF(W209&lt;=75,"Low Demand",IF(W209&lt;=150,"Medium Demand",IF(W209&lt;=225,"High Demand","Very High Demand")))</f>
        <v>Low Demand</v>
      </c>
    </row>
    <row r="210" spans="1:24" x14ac:dyDescent="0.25">
      <c r="A210">
        <v>209</v>
      </c>
      <c r="B210" s="2">
        <v>40552</v>
      </c>
      <c r="C210">
        <v>1</v>
      </c>
      <c r="D210">
        <v>0</v>
      </c>
      <c r="E210">
        <v>1</v>
      </c>
      <c r="F210">
        <v>23</v>
      </c>
      <c r="G210" t="str">
        <f>IF(F210&lt;6,"Night",IF(F210&lt;12,"Morning",IF(F210&lt;18,"Afternoon","Evening")))</f>
        <v>Evening</v>
      </c>
      <c r="H210">
        <v>0</v>
      </c>
      <c r="I210">
        <v>0</v>
      </c>
      <c r="J210" t="str">
        <f>CHOOSE(I210+1,"Monday","Tuesday","Wednesday","Thursday","Friday","Saturday","Sunday")</f>
        <v>Monday</v>
      </c>
      <c r="K210">
        <v>1</v>
      </c>
      <c r="L210" t="str">
        <f>CHOOSE(K210+1,"error","Clear","Misty","Rainy","Severe heater")</f>
        <v>Clear</v>
      </c>
      <c r="M210">
        <v>0.12</v>
      </c>
      <c r="N210" t="str">
        <f>IF(M210&lt;=0.2,"Low",IF(M210&lt;=0.4,"Mid","High"))</f>
        <v>Low</v>
      </c>
      <c r="O210">
        <v>0.13639999999999999</v>
      </c>
      <c r="P210" t="str">
        <f>IF(O210&lt;=0.15,"Very Cold",IF(O210&lt;=0.3,"Cold",IF(O210&lt;=0.45,"Pleasant","Hot")))</f>
        <v>Very Cold</v>
      </c>
      <c r="Q210">
        <v>0.5</v>
      </c>
      <c r="R210" t="str">
        <f>IF(Q210&lt;=0.25,"Low ",IF(Q210&lt;=0.5,"Moderate ",IF(Q210&lt;=0.75,"High ","Very High ")))</f>
        <v xml:space="preserve">Moderate </v>
      </c>
      <c r="S210">
        <v>0.19400000000000001</v>
      </c>
      <c r="T210" t="str">
        <f>IF(S210&lt;=0.15,"Calm",IF(S210&lt;=0.3,"Light Wind",IF(S210&lt;=0.45,"Moderate Wind","Strong Wind")))</f>
        <v>Light Wind</v>
      </c>
      <c r="U210">
        <v>0</v>
      </c>
      <c r="V210">
        <v>6</v>
      </c>
      <c r="W210">
        <v>6</v>
      </c>
      <c r="X210" t="str">
        <f>IF(W210&lt;=75,"Low Demand",IF(W210&lt;=150,"Medium Demand",IF(W210&lt;=225,"High Demand","Very High Demand")))</f>
        <v>Low Demand</v>
      </c>
    </row>
    <row r="211" spans="1:24" x14ac:dyDescent="0.25">
      <c r="A211">
        <v>210</v>
      </c>
      <c r="B211" s="2">
        <v>40553</v>
      </c>
      <c r="C211">
        <v>1</v>
      </c>
      <c r="D211">
        <v>0</v>
      </c>
      <c r="E211">
        <v>1</v>
      </c>
      <c r="F211">
        <v>0</v>
      </c>
      <c r="G211" t="str">
        <f>IF(F211&lt;6,"Night",IF(F211&lt;12,"Morning",IF(F211&lt;18,"Afternoon","Evening")))</f>
        <v>Night</v>
      </c>
      <c r="H211">
        <v>0</v>
      </c>
      <c r="I211">
        <v>1</v>
      </c>
      <c r="J211" t="str">
        <f>CHOOSE(I211+1,"Monday","Tuesday","Wednesday","Thursday","Friday","Saturday","Sunday")</f>
        <v>Tuesday</v>
      </c>
      <c r="K211">
        <v>1</v>
      </c>
      <c r="L211" t="str">
        <f>CHOOSE(K211+1,"error","Clear","Misty","Rainy","Severe heater")</f>
        <v>Clear</v>
      </c>
      <c r="M211">
        <v>0.12</v>
      </c>
      <c r="N211" t="str">
        <f>IF(M211&lt;=0.2,"Low",IF(M211&lt;=0.4,"Mid","High"))</f>
        <v>Low</v>
      </c>
      <c r="O211">
        <v>0.1212</v>
      </c>
      <c r="P211" t="str">
        <f>IF(O211&lt;=0.15,"Very Cold",IF(O211&lt;=0.3,"Cold",IF(O211&lt;=0.45,"Pleasant","Hot")))</f>
        <v>Very Cold</v>
      </c>
      <c r="Q211">
        <v>0.5</v>
      </c>
      <c r="R211" t="str">
        <f>IF(Q211&lt;=0.25,"Low ",IF(Q211&lt;=0.5,"Moderate ",IF(Q211&lt;=0.75,"High ","Very High ")))</f>
        <v xml:space="preserve">Moderate </v>
      </c>
      <c r="S211">
        <v>0.28360000000000002</v>
      </c>
      <c r="T211" t="str">
        <f>IF(S211&lt;=0.15,"Calm",IF(S211&lt;=0.3,"Light Wind",IF(S211&lt;=0.45,"Moderate Wind","Strong Wind")))</f>
        <v>Light Wind</v>
      </c>
      <c r="U211">
        <v>2</v>
      </c>
      <c r="V211">
        <v>3</v>
      </c>
      <c r="W211">
        <v>5</v>
      </c>
      <c r="X211" t="str">
        <f>IF(W211&lt;=75,"Low Demand",IF(W211&lt;=150,"Medium Demand",IF(W211&lt;=225,"High Demand","Very High Demand")))</f>
        <v>Low Demand</v>
      </c>
    </row>
    <row r="212" spans="1:24" x14ac:dyDescent="0.25">
      <c r="A212">
        <v>211</v>
      </c>
      <c r="B212" s="2">
        <v>40553</v>
      </c>
      <c r="C212">
        <v>1</v>
      </c>
      <c r="D212">
        <v>0</v>
      </c>
      <c r="E212">
        <v>1</v>
      </c>
      <c r="F212">
        <v>1</v>
      </c>
      <c r="G212" t="str">
        <f>IF(F212&lt;6,"Night",IF(F212&lt;12,"Morning",IF(F212&lt;18,"Afternoon","Evening")))</f>
        <v>Night</v>
      </c>
      <c r="H212">
        <v>0</v>
      </c>
      <c r="I212">
        <v>1</v>
      </c>
      <c r="J212" t="str">
        <f>CHOOSE(I212+1,"Monday","Tuesday","Wednesday","Thursday","Friday","Saturday","Sunday")</f>
        <v>Tuesday</v>
      </c>
      <c r="K212">
        <v>1</v>
      </c>
      <c r="L212" t="str">
        <f>CHOOSE(K212+1,"error","Clear","Misty","Rainy","Severe heater")</f>
        <v>Clear</v>
      </c>
      <c r="M212">
        <v>0.12</v>
      </c>
      <c r="N212" t="str">
        <f>IF(M212&lt;=0.2,"Low",IF(M212&lt;=0.4,"Mid","High"))</f>
        <v>Low</v>
      </c>
      <c r="O212">
        <v>0.1212</v>
      </c>
      <c r="P212" t="str">
        <f>IF(O212&lt;=0.15,"Very Cold",IF(O212&lt;=0.3,"Cold",IF(O212&lt;=0.45,"Pleasant","Hot")))</f>
        <v>Very Cold</v>
      </c>
      <c r="Q212">
        <v>0.5</v>
      </c>
      <c r="R212" t="str">
        <f>IF(Q212&lt;=0.25,"Low ",IF(Q212&lt;=0.5,"Moderate ",IF(Q212&lt;=0.75,"High ","Very High ")))</f>
        <v xml:space="preserve">Moderate </v>
      </c>
      <c r="S212">
        <v>0.28360000000000002</v>
      </c>
      <c r="T212" t="str">
        <f>IF(S212&lt;=0.15,"Calm",IF(S212&lt;=0.3,"Light Wind",IF(S212&lt;=0.45,"Moderate Wind","Strong Wind")))</f>
        <v>Light Wind</v>
      </c>
      <c r="U212">
        <v>1</v>
      </c>
      <c r="V212">
        <v>0</v>
      </c>
      <c r="W212">
        <v>1</v>
      </c>
      <c r="X212" t="str">
        <f>IF(W212&lt;=75,"Low Demand",IF(W212&lt;=150,"Medium Demand",IF(W212&lt;=225,"High Demand","Very High Demand")))</f>
        <v>Low Demand</v>
      </c>
    </row>
    <row r="213" spans="1:24" x14ac:dyDescent="0.25">
      <c r="A213">
        <v>212</v>
      </c>
      <c r="B213" s="2">
        <v>40553</v>
      </c>
      <c r="C213">
        <v>1</v>
      </c>
      <c r="D213">
        <v>0</v>
      </c>
      <c r="E213">
        <v>1</v>
      </c>
      <c r="F213">
        <v>2</v>
      </c>
      <c r="G213" t="str">
        <f>IF(F213&lt;6,"Night",IF(F213&lt;12,"Morning",IF(F213&lt;18,"Afternoon","Evening")))</f>
        <v>Night</v>
      </c>
      <c r="H213">
        <v>0</v>
      </c>
      <c r="I213">
        <v>1</v>
      </c>
      <c r="J213" t="str">
        <f>CHOOSE(I213+1,"Monday","Tuesday","Wednesday","Thursday","Friday","Saturday","Sunday")</f>
        <v>Tuesday</v>
      </c>
      <c r="K213">
        <v>1</v>
      </c>
      <c r="L213" t="str">
        <f>CHOOSE(K213+1,"error","Clear","Misty","Rainy","Severe heater")</f>
        <v>Clear</v>
      </c>
      <c r="M213">
        <v>0.12</v>
      </c>
      <c r="N213" t="str">
        <f>IF(M213&lt;=0.2,"Low",IF(M213&lt;=0.4,"Mid","High"))</f>
        <v>Low</v>
      </c>
      <c r="O213">
        <v>0.1212</v>
      </c>
      <c r="P213" t="str">
        <f>IF(O213&lt;=0.15,"Very Cold",IF(O213&lt;=0.3,"Cold",IF(O213&lt;=0.45,"Pleasant","Hot")))</f>
        <v>Very Cold</v>
      </c>
      <c r="Q213">
        <v>0.5</v>
      </c>
      <c r="R213" t="str">
        <f>IF(Q213&lt;=0.25,"Low ",IF(Q213&lt;=0.5,"Moderate ",IF(Q213&lt;=0.75,"High ","Very High ")))</f>
        <v xml:space="preserve">Moderate </v>
      </c>
      <c r="S213">
        <v>0.22389999999999999</v>
      </c>
      <c r="T213" t="str">
        <f>IF(S213&lt;=0.15,"Calm",IF(S213&lt;=0.3,"Light Wind",IF(S213&lt;=0.45,"Moderate Wind","Strong Wind")))</f>
        <v>Light Wind</v>
      </c>
      <c r="U213">
        <v>0</v>
      </c>
      <c r="V213">
        <v>3</v>
      </c>
      <c r="W213">
        <v>3</v>
      </c>
      <c r="X213" t="str">
        <f>IF(W213&lt;=75,"Low Demand",IF(W213&lt;=150,"Medium Demand",IF(W213&lt;=225,"High Demand","Very High Demand")))</f>
        <v>Low Demand</v>
      </c>
    </row>
    <row r="214" spans="1:24" x14ac:dyDescent="0.25">
      <c r="A214">
        <v>213</v>
      </c>
      <c r="B214" s="2">
        <v>40553</v>
      </c>
      <c r="C214">
        <v>1</v>
      </c>
      <c r="D214">
        <v>0</v>
      </c>
      <c r="E214">
        <v>1</v>
      </c>
      <c r="F214">
        <v>3</v>
      </c>
      <c r="G214" t="str">
        <f>IF(F214&lt;6,"Night",IF(F214&lt;12,"Morning",IF(F214&lt;18,"Afternoon","Evening")))</f>
        <v>Night</v>
      </c>
      <c r="H214">
        <v>0</v>
      </c>
      <c r="I214">
        <v>1</v>
      </c>
      <c r="J214" t="str">
        <f>CHOOSE(I214+1,"Monday","Tuesday","Wednesday","Thursday","Friday","Saturday","Sunday")</f>
        <v>Tuesday</v>
      </c>
      <c r="K214">
        <v>1</v>
      </c>
      <c r="L214" t="str">
        <f>CHOOSE(K214+1,"error","Clear","Misty","Rainy","Severe heater")</f>
        <v>Clear</v>
      </c>
      <c r="M214">
        <v>0.12</v>
      </c>
      <c r="N214" t="str">
        <f>IF(M214&lt;=0.2,"Low",IF(M214&lt;=0.4,"Mid","High"))</f>
        <v>Low</v>
      </c>
      <c r="O214">
        <v>0.1212</v>
      </c>
      <c r="P214" t="str">
        <f>IF(O214&lt;=0.15,"Very Cold",IF(O214&lt;=0.3,"Cold",IF(O214&lt;=0.45,"Pleasant","Hot")))</f>
        <v>Very Cold</v>
      </c>
      <c r="Q214">
        <v>0.5</v>
      </c>
      <c r="R214" t="str">
        <f>IF(Q214&lt;=0.25,"Low ",IF(Q214&lt;=0.5,"Moderate ",IF(Q214&lt;=0.75,"High ","Very High ")))</f>
        <v xml:space="preserve">Moderate </v>
      </c>
      <c r="S214">
        <v>0.22389999999999999</v>
      </c>
      <c r="T214" t="str">
        <f>IF(S214&lt;=0.15,"Calm",IF(S214&lt;=0.3,"Light Wind",IF(S214&lt;=0.45,"Moderate Wind","Strong Wind")))</f>
        <v>Light Wind</v>
      </c>
      <c r="U214">
        <v>0</v>
      </c>
      <c r="V214">
        <v>1</v>
      </c>
      <c r="W214">
        <v>1</v>
      </c>
      <c r="X214" t="str">
        <f>IF(W214&lt;=75,"Low Demand",IF(W214&lt;=150,"Medium Demand",IF(W214&lt;=225,"High Demand","Very High Demand")))</f>
        <v>Low Demand</v>
      </c>
    </row>
    <row r="215" spans="1:24" x14ac:dyDescent="0.25">
      <c r="A215">
        <v>214</v>
      </c>
      <c r="B215" s="2">
        <v>40553</v>
      </c>
      <c r="C215">
        <v>1</v>
      </c>
      <c r="D215">
        <v>0</v>
      </c>
      <c r="E215">
        <v>1</v>
      </c>
      <c r="F215">
        <v>4</v>
      </c>
      <c r="G215" t="str">
        <f>IF(F215&lt;6,"Night",IF(F215&lt;12,"Morning",IF(F215&lt;18,"Afternoon","Evening")))</f>
        <v>Night</v>
      </c>
      <c r="H215">
        <v>0</v>
      </c>
      <c r="I215">
        <v>1</v>
      </c>
      <c r="J215" t="str">
        <f>CHOOSE(I215+1,"Monday","Tuesday","Wednesday","Thursday","Friday","Saturday","Sunday")</f>
        <v>Tuesday</v>
      </c>
      <c r="K215">
        <v>1</v>
      </c>
      <c r="L215" t="str">
        <f>CHOOSE(K215+1,"error","Clear","Misty","Rainy","Severe heater")</f>
        <v>Clear</v>
      </c>
      <c r="M215">
        <v>0.1</v>
      </c>
      <c r="N215" t="str">
        <f>IF(M215&lt;=0.2,"Low",IF(M215&lt;=0.4,"Mid","High"))</f>
        <v>Low</v>
      </c>
      <c r="O215">
        <v>0.1212</v>
      </c>
      <c r="P215" t="str">
        <f>IF(O215&lt;=0.15,"Very Cold",IF(O215&lt;=0.3,"Cold",IF(O215&lt;=0.45,"Pleasant","Hot")))</f>
        <v>Very Cold</v>
      </c>
      <c r="Q215">
        <v>0.54</v>
      </c>
      <c r="R215" t="str">
        <f>IF(Q215&lt;=0.25,"Low ",IF(Q215&lt;=0.5,"Moderate ",IF(Q215&lt;=0.75,"High ","Very High ")))</f>
        <v xml:space="preserve">High </v>
      </c>
      <c r="S215">
        <v>0.1343</v>
      </c>
      <c r="T215" t="str">
        <f>IF(S215&lt;=0.15,"Calm",IF(S215&lt;=0.3,"Light Wind",IF(S215&lt;=0.45,"Moderate Wind","Strong Wind")))</f>
        <v>Calm</v>
      </c>
      <c r="U215">
        <v>1</v>
      </c>
      <c r="V215">
        <v>2</v>
      </c>
      <c r="W215">
        <v>3</v>
      </c>
      <c r="X215" t="str">
        <f>IF(W215&lt;=75,"Low Demand",IF(W215&lt;=150,"Medium Demand",IF(W215&lt;=225,"High Demand","Very High Demand")))</f>
        <v>Low Demand</v>
      </c>
    </row>
    <row r="216" spans="1:24" x14ac:dyDescent="0.25">
      <c r="A216">
        <v>215</v>
      </c>
      <c r="B216" s="2">
        <v>40553</v>
      </c>
      <c r="C216">
        <v>1</v>
      </c>
      <c r="D216">
        <v>0</v>
      </c>
      <c r="E216">
        <v>1</v>
      </c>
      <c r="F216">
        <v>5</v>
      </c>
      <c r="G216" t="str">
        <f>IF(F216&lt;6,"Night",IF(F216&lt;12,"Morning",IF(F216&lt;18,"Afternoon","Evening")))</f>
        <v>Night</v>
      </c>
      <c r="H216">
        <v>0</v>
      </c>
      <c r="I216">
        <v>1</v>
      </c>
      <c r="J216" t="str">
        <f>CHOOSE(I216+1,"Monday","Tuesday","Wednesday","Thursday","Friday","Saturday","Sunday")</f>
        <v>Tuesday</v>
      </c>
      <c r="K216">
        <v>1</v>
      </c>
      <c r="L216" t="str">
        <f>CHOOSE(K216+1,"error","Clear","Misty","Rainy","Severe heater")</f>
        <v>Clear</v>
      </c>
      <c r="M216">
        <v>0.1</v>
      </c>
      <c r="N216" t="str">
        <f>IF(M216&lt;=0.2,"Low",IF(M216&lt;=0.4,"Mid","High"))</f>
        <v>Low</v>
      </c>
      <c r="O216">
        <v>0.1061</v>
      </c>
      <c r="P216" t="str">
        <f>IF(O216&lt;=0.15,"Very Cold",IF(O216&lt;=0.3,"Cold",IF(O216&lt;=0.45,"Pleasant","Hot")))</f>
        <v>Very Cold</v>
      </c>
      <c r="Q216">
        <v>0.54</v>
      </c>
      <c r="R216" t="str">
        <f>IF(Q216&lt;=0.25,"Low ",IF(Q216&lt;=0.5,"Moderate ",IF(Q216&lt;=0.75,"High ","Very High ")))</f>
        <v xml:space="preserve">High </v>
      </c>
      <c r="S216">
        <v>0.25369999999999998</v>
      </c>
      <c r="T216" t="str">
        <f>IF(S216&lt;=0.15,"Calm",IF(S216&lt;=0.3,"Light Wind",IF(S216&lt;=0.45,"Moderate Wind","Strong Wind")))</f>
        <v>Light Wind</v>
      </c>
      <c r="U216">
        <v>0</v>
      </c>
      <c r="V216">
        <v>3</v>
      </c>
      <c r="W216">
        <v>3</v>
      </c>
      <c r="X216" t="str">
        <f>IF(W216&lt;=75,"Low Demand",IF(W216&lt;=150,"Medium Demand",IF(W216&lt;=225,"High Demand","Very High Demand")))</f>
        <v>Low Demand</v>
      </c>
    </row>
    <row r="217" spans="1:24" x14ac:dyDescent="0.25">
      <c r="A217">
        <v>216</v>
      </c>
      <c r="B217" s="2">
        <v>40553</v>
      </c>
      <c r="C217">
        <v>1</v>
      </c>
      <c r="D217">
        <v>0</v>
      </c>
      <c r="E217">
        <v>1</v>
      </c>
      <c r="F217">
        <v>6</v>
      </c>
      <c r="G217" t="str">
        <f>IF(F217&lt;6,"Night",IF(F217&lt;12,"Morning",IF(F217&lt;18,"Afternoon","Evening")))</f>
        <v>Morning</v>
      </c>
      <c r="H217">
        <v>0</v>
      </c>
      <c r="I217">
        <v>1</v>
      </c>
      <c r="J217" t="str">
        <f>CHOOSE(I217+1,"Monday","Tuesday","Wednesday","Thursday","Friday","Saturday","Sunday")</f>
        <v>Tuesday</v>
      </c>
      <c r="K217">
        <v>1</v>
      </c>
      <c r="L217" t="str">
        <f>CHOOSE(K217+1,"error","Clear","Misty","Rainy","Severe heater")</f>
        <v>Clear</v>
      </c>
      <c r="M217">
        <v>0.12</v>
      </c>
      <c r="N217" t="str">
        <f>IF(M217&lt;=0.2,"Low",IF(M217&lt;=0.4,"Mid","High"))</f>
        <v>Low</v>
      </c>
      <c r="O217">
        <v>0.1212</v>
      </c>
      <c r="P217" t="str">
        <f>IF(O217&lt;=0.15,"Very Cold",IF(O217&lt;=0.3,"Cold",IF(O217&lt;=0.45,"Pleasant","Hot")))</f>
        <v>Very Cold</v>
      </c>
      <c r="Q217">
        <v>0.5</v>
      </c>
      <c r="R217" t="str">
        <f>IF(Q217&lt;=0.25,"Low ",IF(Q217&lt;=0.5,"Moderate ",IF(Q217&lt;=0.75,"High ","Very High ")))</f>
        <v xml:space="preserve">Moderate </v>
      </c>
      <c r="S217">
        <v>0.28360000000000002</v>
      </c>
      <c r="T217" t="str">
        <f>IF(S217&lt;=0.15,"Calm",IF(S217&lt;=0.3,"Light Wind",IF(S217&lt;=0.45,"Moderate Wind","Strong Wind")))</f>
        <v>Light Wind</v>
      </c>
      <c r="U217">
        <v>0</v>
      </c>
      <c r="V217">
        <v>31</v>
      </c>
      <c r="W217">
        <v>31</v>
      </c>
      <c r="X217" t="str">
        <f>IF(W217&lt;=75,"Low Demand",IF(W217&lt;=150,"Medium Demand",IF(W217&lt;=225,"High Demand","Very High Demand")))</f>
        <v>Low Demand</v>
      </c>
    </row>
    <row r="218" spans="1:24" x14ac:dyDescent="0.25">
      <c r="A218">
        <v>217</v>
      </c>
      <c r="B218" s="2">
        <v>40553</v>
      </c>
      <c r="C218">
        <v>1</v>
      </c>
      <c r="D218">
        <v>0</v>
      </c>
      <c r="E218">
        <v>1</v>
      </c>
      <c r="F218">
        <v>7</v>
      </c>
      <c r="G218" t="str">
        <f>IF(F218&lt;6,"Night",IF(F218&lt;12,"Morning",IF(F218&lt;18,"Afternoon","Evening")))</f>
        <v>Morning</v>
      </c>
      <c r="H218">
        <v>0</v>
      </c>
      <c r="I218">
        <v>1</v>
      </c>
      <c r="J218" t="str">
        <f>CHOOSE(I218+1,"Monday","Tuesday","Wednesday","Thursday","Friday","Saturday","Sunday")</f>
        <v>Tuesday</v>
      </c>
      <c r="K218">
        <v>1</v>
      </c>
      <c r="L218" t="str">
        <f>CHOOSE(K218+1,"error","Clear","Misty","Rainy","Severe heater")</f>
        <v>Clear</v>
      </c>
      <c r="M218">
        <v>0.12</v>
      </c>
      <c r="N218" t="str">
        <f>IF(M218&lt;=0.2,"Low",IF(M218&lt;=0.4,"Mid","High"))</f>
        <v>Low</v>
      </c>
      <c r="O218">
        <v>0.1212</v>
      </c>
      <c r="P218" t="str">
        <f>IF(O218&lt;=0.15,"Very Cold",IF(O218&lt;=0.3,"Cold",IF(O218&lt;=0.45,"Pleasant","Hot")))</f>
        <v>Very Cold</v>
      </c>
      <c r="Q218">
        <v>0.5</v>
      </c>
      <c r="R218" t="str">
        <f>IF(Q218&lt;=0.25,"Low ",IF(Q218&lt;=0.5,"Moderate ",IF(Q218&lt;=0.75,"High ","Very High ")))</f>
        <v xml:space="preserve">Moderate </v>
      </c>
      <c r="S218">
        <v>0.22389999999999999</v>
      </c>
      <c r="T218" t="str">
        <f>IF(S218&lt;=0.15,"Calm",IF(S218&lt;=0.3,"Light Wind",IF(S218&lt;=0.45,"Moderate Wind","Strong Wind")))</f>
        <v>Light Wind</v>
      </c>
      <c r="U218">
        <v>2</v>
      </c>
      <c r="V218">
        <v>75</v>
      </c>
      <c r="W218">
        <v>77</v>
      </c>
      <c r="X218" t="str">
        <f>IF(W218&lt;=75,"Low Demand",IF(W218&lt;=150,"Medium Demand",IF(W218&lt;=225,"High Demand","Very High Demand")))</f>
        <v>Medium Demand</v>
      </c>
    </row>
    <row r="219" spans="1:24" x14ac:dyDescent="0.25">
      <c r="A219">
        <v>218</v>
      </c>
      <c r="B219" s="2">
        <v>40553</v>
      </c>
      <c r="C219">
        <v>1</v>
      </c>
      <c r="D219">
        <v>0</v>
      </c>
      <c r="E219">
        <v>1</v>
      </c>
      <c r="F219">
        <v>8</v>
      </c>
      <c r="G219" t="str">
        <f>IF(F219&lt;6,"Night",IF(F219&lt;12,"Morning",IF(F219&lt;18,"Afternoon","Evening")))</f>
        <v>Morning</v>
      </c>
      <c r="H219">
        <v>0</v>
      </c>
      <c r="I219">
        <v>1</v>
      </c>
      <c r="J219" t="str">
        <f>CHOOSE(I219+1,"Monday","Tuesday","Wednesday","Thursday","Friday","Saturday","Sunday")</f>
        <v>Tuesday</v>
      </c>
      <c r="K219">
        <v>2</v>
      </c>
      <c r="L219" t="str">
        <f>CHOOSE(K219+1,"error","Clear","Misty","Rainy","Severe heater")</f>
        <v>Misty</v>
      </c>
      <c r="M219">
        <v>0.12</v>
      </c>
      <c r="N219" t="str">
        <f>IF(M219&lt;=0.2,"Low",IF(M219&lt;=0.4,"Mid","High"))</f>
        <v>Low</v>
      </c>
      <c r="O219">
        <v>0.1212</v>
      </c>
      <c r="P219" t="str">
        <f>IF(O219&lt;=0.15,"Very Cold",IF(O219&lt;=0.3,"Cold",IF(O219&lt;=0.45,"Pleasant","Hot")))</f>
        <v>Very Cold</v>
      </c>
      <c r="Q219">
        <v>0.5</v>
      </c>
      <c r="R219" t="str">
        <f>IF(Q219&lt;=0.25,"Low ",IF(Q219&lt;=0.5,"Moderate ",IF(Q219&lt;=0.75,"High ","Very High ")))</f>
        <v xml:space="preserve">Moderate </v>
      </c>
      <c r="S219">
        <v>0.28360000000000002</v>
      </c>
      <c r="T219" t="str">
        <f>IF(S219&lt;=0.15,"Calm",IF(S219&lt;=0.3,"Light Wind",IF(S219&lt;=0.45,"Moderate Wind","Strong Wind")))</f>
        <v>Light Wind</v>
      </c>
      <c r="U219">
        <v>4</v>
      </c>
      <c r="V219">
        <v>184</v>
      </c>
      <c r="W219">
        <v>188</v>
      </c>
      <c r="X219" t="str">
        <f>IF(W219&lt;=75,"Low Demand",IF(W219&lt;=150,"Medium Demand",IF(W219&lt;=225,"High Demand","Very High Demand")))</f>
        <v>High Demand</v>
      </c>
    </row>
    <row r="220" spans="1:24" x14ac:dyDescent="0.25">
      <c r="A220">
        <v>219</v>
      </c>
      <c r="B220" s="2">
        <v>40553</v>
      </c>
      <c r="C220">
        <v>1</v>
      </c>
      <c r="D220">
        <v>0</v>
      </c>
      <c r="E220">
        <v>1</v>
      </c>
      <c r="F220">
        <v>9</v>
      </c>
      <c r="G220" t="str">
        <f>IF(F220&lt;6,"Night",IF(F220&lt;12,"Morning",IF(F220&lt;18,"Afternoon","Evening")))</f>
        <v>Morning</v>
      </c>
      <c r="H220">
        <v>0</v>
      </c>
      <c r="I220">
        <v>1</v>
      </c>
      <c r="J220" t="str">
        <f>CHOOSE(I220+1,"Monday","Tuesday","Wednesday","Thursday","Friday","Saturday","Sunday")</f>
        <v>Tuesday</v>
      </c>
      <c r="K220">
        <v>2</v>
      </c>
      <c r="L220" t="str">
        <f>CHOOSE(K220+1,"error","Clear","Misty","Rainy","Severe heater")</f>
        <v>Misty</v>
      </c>
      <c r="M220">
        <v>0.14000000000000001</v>
      </c>
      <c r="N220" t="str">
        <f>IF(M220&lt;=0.2,"Low",IF(M220&lt;=0.4,"Mid","High"))</f>
        <v>Low</v>
      </c>
      <c r="O220">
        <v>0.1212</v>
      </c>
      <c r="P220" t="str">
        <f>IF(O220&lt;=0.15,"Very Cold",IF(O220&lt;=0.3,"Cold",IF(O220&lt;=0.45,"Pleasant","Hot")))</f>
        <v>Very Cold</v>
      </c>
      <c r="Q220">
        <v>0.5</v>
      </c>
      <c r="R220" t="str">
        <f>IF(Q220&lt;=0.25,"Low ",IF(Q220&lt;=0.5,"Moderate ",IF(Q220&lt;=0.75,"High ","Very High ")))</f>
        <v xml:space="preserve">Moderate </v>
      </c>
      <c r="S220">
        <v>0.25369999999999998</v>
      </c>
      <c r="T220" t="str">
        <f>IF(S220&lt;=0.15,"Calm",IF(S220&lt;=0.3,"Light Wind",IF(S220&lt;=0.45,"Moderate Wind","Strong Wind")))</f>
        <v>Light Wind</v>
      </c>
      <c r="U220">
        <v>2</v>
      </c>
      <c r="V220">
        <v>92</v>
      </c>
      <c r="W220">
        <v>94</v>
      </c>
      <c r="X220" t="str">
        <f>IF(W220&lt;=75,"Low Demand",IF(W220&lt;=150,"Medium Demand",IF(W220&lt;=225,"High Demand","Very High Demand")))</f>
        <v>Medium Demand</v>
      </c>
    </row>
    <row r="221" spans="1:24" x14ac:dyDescent="0.25">
      <c r="A221">
        <v>220</v>
      </c>
      <c r="B221" s="2">
        <v>40553</v>
      </c>
      <c r="C221">
        <v>1</v>
      </c>
      <c r="D221">
        <v>0</v>
      </c>
      <c r="E221">
        <v>1</v>
      </c>
      <c r="F221">
        <v>10</v>
      </c>
      <c r="G221" t="str">
        <f>IF(F221&lt;6,"Night",IF(F221&lt;12,"Morning",IF(F221&lt;18,"Afternoon","Evening")))</f>
        <v>Morning</v>
      </c>
      <c r="H221">
        <v>0</v>
      </c>
      <c r="I221">
        <v>1</v>
      </c>
      <c r="J221" t="str">
        <f>CHOOSE(I221+1,"Monday","Tuesday","Wednesday","Thursday","Friday","Saturday","Sunday")</f>
        <v>Tuesday</v>
      </c>
      <c r="K221">
        <v>2</v>
      </c>
      <c r="L221" t="str">
        <f>CHOOSE(K221+1,"error","Clear","Misty","Rainy","Severe heater")</f>
        <v>Misty</v>
      </c>
      <c r="M221">
        <v>0.14000000000000001</v>
      </c>
      <c r="N221" t="str">
        <f>IF(M221&lt;=0.2,"Low",IF(M221&lt;=0.4,"Mid","High"))</f>
        <v>Low</v>
      </c>
      <c r="O221">
        <v>0.1212</v>
      </c>
      <c r="P221" t="str">
        <f>IF(O221&lt;=0.15,"Very Cold",IF(O221&lt;=0.3,"Cold",IF(O221&lt;=0.45,"Pleasant","Hot")))</f>
        <v>Very Cold</v>
      </c>
      <c r="Q221">
        <v>0.5</v>
      </c>
      <c r="R221" t="str">
        <f>IF(Q221&lt;=0.25,"Low ",IF(Q221&lt;=0.5,"Moderate ",IF(Q221&lt;=0.75,"High ","Very High ")))</f>
        <v xml:space="preserve">Moderate </v>
      </c>
      <c r="S221">
        <v>0.29849999999999999</v>
      </c>
      <c r="T221" t="str">
        <f>IF(S221&lt;=0.15,"Calm",IF(S221&lt;=0.3,"Light Wind",IF(S221&lt;=0.45,"Moderate Wind","Strong Wind")))</f>
        <v>Light Wind</v>
      </c>
      <c r="U221">
        <v>0</v>
      </c>
      <c r="V221">
        <v>31</v>
      </c>
      <c r="W221">
        <v>31</v>
      </c>
      <c r="X221" t="str">
        <f>IF(W221&lt;=75,"Low Demand",IF(W221&lt;=150,"Medium Demand",IF(W221&lt;=225,"High Demand","Very High Demand")))</f>
        <v>Low Demand</v>
      </c>
    </row>
    <row r="222" spans="1:24" x14ac:dyDescent="0.25">
      <c r="A222">
        <v>221</v>
      </c>
      <c r="B222" s="2">
        <v>40553</v>
      </c>
      <c r="C222">
        <v>1</v>
      </c>
      <c r="D222">
        <v>0</v>
      </c>
      <c r="E222">
        <v>1</v>
      </c>
      <c r="F222">
        <v>11</v>
      </c>
      <c r="G222" t="str">
        <f>IF(F222&lt;6,"Night",IF(F222&lt;12,"Morning",IF(F222&lt;18,"Afternoon","Evening")))</f>
        <v>Morning</v>
      </c>
      <c r="H222">
        <v>0</v>
      </c>
      <c r="I222">
        <v>1</v>
      </c>
      <c r="J222" t="str">
        <f>CHOOSE(I222+1,"Monday","Tuesday","Wednesday","Thursday","Friday","Saturday","Sunday")</f>
        <v>Tuesday</v>
      </c>
      <c r="K222">
        <v>2</v>
      </c>
      <c r="L222" t="str">
        <f>CHOOSE(K222+1,"error","Clear","Misty","Rainy","Severe heater")</f>
        <v>Misty</v>
      </c>
      <c r="M222">
        <v>0.16</v>
      </c>
      <c r="N222" t="str">
        <f>IF(M222&lt;=0.2,"Low",IF(M222&lt;=0.4,"Mid","High"))</f>
        <v>Low</v>
      </c>
      <c r="O222">
        <v>0.13639999999999999</v>
      </c>
      <c r="P222" t="str">
        <f>IF(O222&lt;=0.15,"Very Cold",IF(O222&lt;=0.3,"Cold",IF(O222&lt;=0.45,"Pleasant","Hot")))</f>
        <v>Very Cold</v>
      </c>
      <c r="Q222">
        <v>0.47</v>
      </c>
      <c r="R222" t="str">
        <f>IF(Q222&lt;=0.25,"Low ",IF(Q222&lt;=0.5,"Moderate ",IF(Q222&lt;=0.75,"High ","Very High ")))</f>
        <v xml:space="preserve">Moderate </v>
      </c>
      <c r="S222">
        <v>0.28360000000000002</v>
      </c>
      <c r="T222" t="str">
        <f>IF(S222&lt;=0.15,"Calm",IF(S222&lt;=0.3,"Light Wind",IF(S222&lt;=0.45,"Moderate Wind","Strong Wind")))</f>
        <v>Light Wind</v>
      </c>
      <c r="U222">
        <v>2</v>
      </c>
      <c r="V222">
        <v>28</v>
      </c>
      <c r="W222">
        <v>30</v>
      </c>
      <c r="X222" t="str">
        <f>IF(W222&lt;=75,"Low Demand",IF(W222&lt;=150,"Medium Demand",IF(W222&lt;=225,"High Demand","Very High Demand")))</f>
        <v>Low Demand</v>
      </c>
    </row>
    <row r="223" spans="1:24" x14ac:dyDescent="0.25">
      <c r="A223">
        <v>222</v>
      </c>
      <c r="B223" s="2">
        <v>40553</v>
      </c>
      <c r="C223">
        <v>1</v>
      </c>
      <c r="D223">
        <v>0</v>
      </c>
      <c r="E223">
        <v>1</v>
      </c>
      <c r="F223">
        <v>12</v>
      </c>
      <c r="G223" t="str">
        <f>IF(F223&lt;6,"Night",IF(F223&lt;12,"Morning",IF(F223&lt;18,"Afternoon","Evening")))</f>
        <v>Afternoon</v>
      </c>
      <c r="H223">
        <v>0</v>
      </c>
      <c r="I223">
        <v>1</v>
      </c>
      <c r="J223" t="str">
        <f>CHOOSE(I223+1,"Monday","Tuesday","Wednesday","Thursday","Friday","Saturday","Sunday")</f>
        <v>Tuesday</v>
      </c>
      <c r="K223">
        <v>2</v>
      </c>
      <c r="L223" t="str">
        <f>CHOOSE(K223+1,"error","Clear","Misty","Rainy","Severe heater")</f>
        <v>Misty</v>
      </c>
      <c r="M223">
        <v>0.2</v>
      </c>
      <c r="N223" t="str">
        <f>IF(M223&lt;=0.2,"Low",IF(M223&lt;=0.4,"Mid","High"))</f>
        <v>Low</v>
      </c>
      <c r="O223">
        <v>0.18179999999999999</v>
      </c>
      <c r="P223" t="str">
        <f>IF(O223&lt;=0.15,"Very Cold",IF(O223&lt;=0.3,"Cold",IF(O223&lt;=0.45,"Pleasant","Hot")))</f>
        <v>Cold</v>
      </c>
      <c r="Q223">
        <v>0.4</v>
      </c>
      <c r="R223" t="str">
        <f>IF(Q223&lt;=0.25,"Low ",IF(Q223&lt;=0.5,"Moderate ",IF(Q223&lt;=0.75,"High ","Very High ")))</f>
        <v xml:space="preserve">Moderate </v>
      </c>
      <c r="S223">
        <v>0.28360000000000002</v>
      </c>
      <c r="T223" t="str">
        <f>IF(S223&lt;=0.15,"Calm",IF(S223&lt;=0.3,"Light Wind",IF(S223&lt;=0.45,"Moderate Wind","Strong Wind")))</f>
        <v>Light Wind</v>
      </c>
      <c r="U223">
        <v>5</v>
      </c>
      <c r="V223">
        <v>47</v>
      </c>
      <c r="W223">
        <v>52</v>
      </c>
      <c r="X223" t="str">
        <f>IF(W223&lt;=75,"Low Demand",IF(W223&lt;=150,"Medium Demand",IF(W223&lt;=225,"High Demand","Very High Demand")))</f>
        <v>Low Demand</v>
      </c>
    </row>
    <row r="224" spans="1:24" x14ac:dyDescent="0.25">
      <c r="A224">
        <v>223</v>
      </c>
      <c r="B224" s="2">
        <v>40553</v>
      </c>
      <c r="C224">
        <v>1</v>
      </c>
      <c r="D224">
        <v>0</v>
      </c>
      <c r="E224">
        <v>1</v>
      </c>
      <c r="F224">
        <v>13</v>
      </c>
      <c r="G224" t="str">
        <f>IF(F224&lt;6,"Night",IF(F224&lt;12,"Morning",IF(F224&lt;18,"Afternoon","Evening")))</f>
        <v>Afternoon</v>
      </c>
      <c r="H224">
        <v>0</v>
      </c>
      <c r="I224">
        <v>1</v>
      </c>
      <c r="J224" t="str">
        <f>CHOOSE(I224+1,"Monday","Tuesday","Wednesday","Thursday","Friday","Saturday","Sunday")</f>
        <v>Tuesday</v>
      </c>
      <c r="K224">
        <v>2</v>
      </c>
      <c r="L224" t="str">
        <f>CHOOSE(K224+1,"error","Clear","Misty","Rainy","Severe heater")</f>
        <v>Misty</v>
      </c>
      <c r="M224">
        <v>0.2</v>
      </c>
      <c r="N224" t="str">
        <f>IF(M224&lt;=0.2,"Low",IF(M224&lt;=0.4,"Mid","High"))</f>
        <v>Low</v>
      </c>
      <c r="O224">
        <v>0.18179999999999999</v>
      </c>
      <c r="P224" t="str">
        <f>IF(O224&lt;=0.15,"Very Cold",IF(O224&lt;=0.3,"Cold",IF(O224&lt;=0.45,"Pleasant","Hot")))</f>
        <v>Cold</v>
      </c>
      <c r="Q224">
        <v>0.4</v>
      </c>
      <c r="R224" t="str">
        <f>IF(Q224&lt;=0.25,"Low ",IF(Q224&lt;=0.5,"Moderate ",IF(Q224&lt;=0.75,"High ","Very High ")))</f>
        <v xml:space="preserve">Moderate </v>
      </c>
      <c r="S224">
        <v>0.28360000000000002</v>
      </c>
      <c r="T224" t="str">
        <f>IF(S224&lt;=0.15,"Calm",IF(S224&lt;=0.3,"Light Wind",IF(S224&lt;=0.45,"Moderate Wind","Strong Wind")))</f>
        <v>Light Wind</v>
      </c>
      <c r="U224">
        <v>4</v>
      </c>
      <c r="V224">
        <v>50</v>
      </c>
      <c r="W224">
        <v>54</v>
      </c>
      <c r="X224" t="str">
        <f>IF(W224&lt;=75,"Low Demand",IF(W224&lt;=150,"Medium Demand",IF(W224&lt;=225,"High Demand","Very High Demand")))</f>
        <v>Low Demand</v>
      </c>
    </row>
    <row r="225" spans="1:24" x14ac:dyDescent="0.25">
      <c r="A225">
        <v>224</v>
      </c>
      <c r="B225" s="2">
        <v>40553</v>
      </c>
      <c r="C225">
        <v>1</v>
      </c>
      <c r="D225">
        <v>0</v>
      </c>
      <c r="E225">
        <v>1</v>
      </c>
      <c r="F225">
        <v>14</v>
      </c>
      <c r="G225" t="str">
        <f>IF(F225&lt;6,"Night",IF(F225&lt;12,"Morning",IF(F225&lt;18,"Afternoon","Evening")))</f>
        <v>Afternoon</v>
      </c>
      <c r="H225">
        <v>0</v>
      </c>
      <c r="I225">
        <v>1</v>
      </c>
      <c r="J225" t="str">
        <f>CHOOSE(I225+1,"Monday","Tuesday","Wednesday","Thursday","Friday","Saturday","Sunday")</f>
        <v>Tuesday</v>
      </c>
      <c r="K225">
        <v>2</v>
      </c>
      <c r="L225" t="str">
        <f>CHOOSE(K225+1,"error","Clear","Misty","Rainy","Severe heater")</f>
        <v>Misty</v>
      </c>
      <c r="M225">
        <v>0.2</v>
      </c>
      <c r="N225" t="str">
        <f>IF(M225&lt;=0.2,"Low",IF(M225&lt;=0.4,"Mid","High"))</f>
        <v>Low</v>
      </c>
      <c r="O225">
        <v>0.19700000000000001</v>
      </c>
      <c r="P225" t="str">
        <f>IF(O225&lt;=0.15,"Very Cold",IF(O225&lt;=0.3,"Cold",IF(O225&lt;=0.45,"Pleasant","Hot")))</f>
        <v>Cold</v>
      </c>
      <c r="Q225">
        <v>0.4</v>
      </c>
      <c r="R225" t="str">
        <f>IF(Q225&lt;=0.25,"Low ",IF(Q225&lt;=0.5,"Moderate ",IF(Q225&lt;=0.75,"High ","Very High ")))</f>
        <v xml:space="preserve">Moderate </v>
      </c>
      <c r="S225">
        <v>0.22389999999999999</v>
      </c>
      <c r="T225" t="str">
        <f>IF(S225&lt;=0.15,"Calm",IF(S225&lt;=0.3,"Light Wind",IF(S225&lt;=0.45,"Moderate Wind","Strong Wind")))</f>
        <v>Light Wind</v>
      </c>
      <c r="U225">
        <v>0</v>
      </c>
      <c r="V225">
        <v>47</v>
      </c>
      <c r="W225">
        <v>47</v>
      </c>
      <c r="X225" t="str">
        <f>IF(W225&lt;=75,"Low Demand",IF(W225&lt;=150,"Medium Demand",IF(W225&lt;=225,"High Demand","Very High Demand")))</f>
        <v>Low Demand</v>
      </c>
    </row>
    <row r="226" spans="1:24" x14ac:dyDescent="0.25">
      <c r="A226">
        <v>225</v>
      </c>
      <c r="B226" s="2">
        <v>40553</v>
      </c>
      <c r="C226">
        <v>1</v>
      </c>
      <c r="D226">
        <v>0</v>
      </c>
      <c r="E226">
        <v>1</v>
      </c>
      <c r="F226">
        <v>15</v>
      </c>
      <c r="G226" t="str">
        <f>IF(F226&lt;6,"Night",IF(F226&lt;12,"Morning",IF(F226&lt;18,"Afternoon","Evening")))</f>
        <v>Afternoon</v>
      </c>
      <c r="H226">
        <v>0</v>
      </c>
      <c r="I226">
        <v>1</v>
      </c>
      <c r="J226" t="str">
        <f>CHOOSE(I226+1,"Monday","Tuesday","Wednesday","Thursday","Friday","Saturday","Sunday")</f>
        <v>Tuesday</v>
      </c>
      <c r="K226">
        <v>2</v>
      </c>
      <c r="L226" t="str">
        <f>CHOOSE(K226+1,"error","Clear","Misty","Rainy","Severe heater")</f>
        <v>Misty</v>
      </c>
      <c r="M226">
        <v>0.2</v>
      </c>
      <c r="N226" t="str">
        <f>IF(M226&lt;=0.2,"Low",IF(M226&lt;=0.4,"Mid","High"))</f>
        <v>Low</v>
      </c>
      <c r="O226">
        <v>0.19700000000000001</v>
      </c>
      <c r="P226" t="str">
        <f>IF(O226&lt;=0.15,"Very Cold",IF(O226&lt;=0.3,"Cold",IF(O226&lt;=0.45,"Pleasant","Hot")))</f>
        <v>Cold</v>
      </c>
      <c r="Q226">
        <v>0.4</v>
      </c>
      <c r="R226" t="str">
        <f>IF(Q226&lt;=0.25,"Low ",IF(Q226&lt;=0.5,"Moderate ",IF(Q226&lt;=0.75,"High ","Very High ")))</f>
        <v xml:space="preserve">Moderate </v>
      </c>
      <c r="S226">
        <v>0.22389999999999999</v>
      </c>
      <c r="T226" t="str">
        <f>IF(S226&lt;=0.15,"Calm",IF(S226&lt;=0.3,"Light Wind",IF(S226&lt;=0.45,"Moderate Wind","Strong Wind")))</f>
        <v>Light Wind</v>
      </c>
      <c r="U226">
        <v>2</v>
      </c>
      <c r="V226">
        <v>43</v>
      </c>
      <c r="W226">
        <v>45</v>
      </c>
      <c r="X226" t="str">
        <f>IF(W226&lt;=75,"Low Demand",IF(W226&lt;=150,"Medium Demand",IF(W226&lt;=225,"High Demand","Very High Demand")))</f>
        <v>Low Demand</v>
      </c>
    </row>
    <row r="227" spans="1:24" x14ac:dyDescent="0.25">
      <c r="A227">
        <v>226</v>
      </c>
      <c r="B227" s="2">
        <v>40553</v>
      </c>
      <c r="C227">
        <v>1</v>
      </c>
      <c r="D227">
        <v>0</v>
      </c>
      <c r="E227">
        <v>1</v>
      </c>
      <c r="F227">
        <v>16</v>
      </c>
      <c r="G227" t="str">
        <f>IF(F227&lt;6,"Night",IF(F227&lt;12,"Morning",IF(F227&lt;18,"Afternoon","Evening")))</f>
        <v>Afternoon</v>
      </c>
      <c r="H227">
        <v>0</v>
      </c>
      <c r="I227">
        <v>1</v>
      </c>
      <c r="J227" t="str">
        <f>CHOOSE(I227+1,"Monday","Tuesday","Wednesday","Thursday","Friday","Saturday","Sunday")</f>
        <v>Tuesday</v>
      </c>
      <c r="K227">
        <v>1</v>
      </c>
      <c r="L227" t="str">
        <f>CHOOSE(K227+1,"error","Clear","Misty","Rainy","Severe heater")</f>
        <v>Clear</v>
      </c>
      <c r="M227">
        <v>0.2</v>
      </c>
      <c r="N227" t="str">
        <f>IF(M227&lt;=0.2,"Low",IF(M227&lt;=0.4,"Mid","High"))</f>
        <v>Low</v>
      </c>
      <c r="O227">
        <v>0.21210000000000001</v>
      </c>
      <c r="P227" t="str">
        <f>IF(O227&lt;=0.15,"Very Cold",IF(O227&lt;=0.3,"Cold",IF(O227&lt;=0.45,"Pleasant","Hot")))</f>
        <v>Cold</v>
      </c>
      <c r="Q227">
        <v>0.4</v>
      </c>
      <c r="R227" t="str">
        <f>IF(Q227&lt;=0.25,"Low ",IF(Q227&lt;=0.5,"Moderate ",IF(Q227&lt;=0.75,"High ","Very High ")))</f>
        <v xml:space="preserve">Moderate </v>
      </c>
      <c r="S227">
        <v>0.1343</v>
      </c>
      <c r="T227" t="str">
        <f>IF(S227&lt;=0.15,"Calm",IF(S227&lt;=0.3,"Light Wind",IF(S227&lt;=0.45,"Moderate Wind","Strong Wind")))</f>
        <v>Calm</v>
      </c>
      <c r="U227">
        <v>4</v>
      </c>
      <c r="V227">
        <v>70</v>
      </c>
      <c r="W227">
        <v>74</v>
      </c>
      <c r="X227" t="str">
        <f>IF(W227&lt;=75,"Low Demand",IF(W227&lt;=150,"Medium Demand",IF(W227&lt;=225,"High Demand","Very High Demand")))</f>
        <v>Low Demand</v>
      </c>
    </row>
    <row r="228" spans="1:24" x14ac:dyDescent="0.25">
      <c r="A228">
        <v>227</v>
      </c>
      <c r="B228" s="2">
        <v>40553</v>
      </c>
      <c r="C228">
        <v>1</v>
      </c>
      <c r="D228">
        <v>0</v>
      </c>
      <c r="E228">
        <v>1</v>
      </c>
      <c r="F228">
        <v>17</v>
      </c>
      <c r="G228" t="str">
        <f>IF(F228&lt;6,"Night",IF(F228&lt;12,"Morning",IF(F228&lt;18,"Afternoon","Evening")))</f>
        <v>Afternoon</v>
      </c>
      <c r="H228">
        <v>0</v>
      </c>
      <c r="I228">
        <v>1</v>
      </c>
      <c r="J228" t="str">
        <f>CHOOSE(I228+1,"Monday","Tuesday","Wednesday","Thursday","Friday","Saturday","Sunday")</f>
        <v>Tuesday</v>
      </c>
      <c r="K228">
        <v>1</v>
      </c>
      <c r="L228" t="str">
        <f>CHOOSE(K228+1,"error","Clear","Misty","Rainy","Severe heater")</f>
        <v>Clear</v>
      </c>
      <c r="M228">
        <v>0.2</v>
      </c>
      <c r="N228" t="str">
        <f>IF(M228&lt;=0.2,"Low",IF(M228&lt;=0.4,"Mid","High"))</f>
        <v>Low</v>
      </c>
      <c r="O228">
        <v>0.2273</v>
      </c>
      <c r="P228" t="str">
        <f>IF(O228&lt;=0.15,"Very Cold",IF(O228&lt;=0.3,"Cold",IF(O228&lt;=0.45,"Pleasant","Hot")))</f>
        <v>Cold</v>
      </c>
      <c r="Q228">
        <v>0.4</v>
      </c>
      <c r="R228" t="str">
        <f>IF(Q228&lt;=0.25,"Low ",IF(Q228&lt;=0.5,"Moderate ",IF(Q228&lt;=0.75,"High ","Very High ")))</f>
        <v xml:space="preserve">Moderate </v>
      </c>
      <c r="S228">
        <v>0.1045</v>
      </c>
      <c r="T228" t="str">
        <f>IF(S228&lt;=0.15,"Calm",IF(S228&lt;=0.3,"Light Wind",IF(S228&lt;=0.45,"Moderate Wind","Strong Wind")))</f>
        <v>Calm</v>
      </c>
      <c r="U228">
        <v>4</v>
      </c>
      <c r="V228">
        <v>174</v>
      </c>
      <c r="W228">
        <v>178</v>
      </c>
      <c r="X228" t="str">
        <f>IF(W228&lt;=75,"Low Demand",IF(W228&lt;=150,"Medium Demand",IF(W228&lt;=225,"High Demand","Very High Demand")))</f>
        <v>High Demand</v>
      </c>
    </row>
    <row r="229" spans="1:24" x14ac:dyDescent="0.25">
      <c r="A229">
        <v>228</v>
      </c>
      <c r="B229" s="2">
        <v>40553</v>
      </c>
      <c r="C229">
        <v>1</v>
      </c>
      <c r="D229">
        <v>0</v>
      </c>
      <c r="E229">
        <v>1</v>
      </c>
      <c r="F229">
        <v>18</v>
      </c>
      <c r="G229" t="str">
        <f>IF(F229&lt;6,"Night",IF(F229&lt;12,"Morning",IF(F229&lt;18,"Afternoon","Evening")))</f>
        <v>Evening</v>
      </c>
      <c r="H229">
        <v>0</v>
      </c>
      <c r="I229">
        <v>1</v>
      </c>
      <c r="J229" t="str">
        <f>CHOOSE(I229+1,"Monday","Tuesday","Wednesday","Thursday","Friday","Saturday","Sunday")</f>
        <v>Tuesday</v>
      </c>
      <c r="K229">
        <v>1</v>
      </c>
      <c r="L229" t="str">
        <f>CHOOSE(K229+1,"error","Clear","Misty","Rainy","Severe heater")</f>
        <v>Clear</v>
      </c>
      <c r="M229">
        <v>0.2</v>
      </c>
      <c r="N229" t="str">
        <f>IF(M229&lt;=0.2,"Low",IF(M229&lt;=0.4,"Mid","High"))</f>
        <v>Low</v>
      </c>
      <c r="O229">
        <v>0.19700000000000001</v>
      </c>
      <c r="P229" t="str">
        <f>IF(O229&lt;=0.15,"Very Cold",IF(O229&lt;=0.3,"Cold",IF(O229&lt;=0.45,"Pleasant","Hot")))</f>
        <v>Cold</v>
      </c>
      <c r="Q229">
        <v>0.4</v>
      </c>
      <c r="R229" t="str">
        <f>IF(Q229&lt;=0.25,"Low ",IF(Q229&lt;=0.5,"Moderate ",IF(Q229&lt;=0.75,"High ","Very High ")))</f>
        <v xml:space="preserve">Moderate </v>
      </c>
      <c r="S229">
        <v>0.22389999999999999</v>
      </c>
      <c r="T229" t="str">
        <f>IF(S229&lt;=0.15,"Calm",IF(S229&lt;=0.3,"Light Wind",IF(S229&lt;=0.45,"Moderate Wind","Strong Wind")))</f>
        <v>Light Wind</v>
      </c>
      <c r="U229">
        <v>1</v>
      </c>
      <c r="V229">
        <v>154</v>
      </c>
      <c r="W229">
        <v>155</v>
      </c>
      <c r="X229" t="str">
        <f>IF(W229&lt;=75,"Low Demand",IF(W229&lt;=150,"Medium Demand",IF(W229&lt;=225,"High Demand","Very High Demand")))</f>
        <v>High Demand</v>
      </c>
    </row>
    <row r="230" spans="1:24" x14ac:dyDescent="0.25">
      <c r="A230">
        <v>229</v>
      </c>
      <c r="B230" s="2">
        <v>40553</v>
      </c>
      <c r="C230">
        <v>1</v>
      </c>
      <c r="D230">
        <v>0</v>
      </c>
      <c r="E230">
        <v>1</v>
      </c>
      <c r="F230">
        <v>19</v>
      </c>
      <c r="G230" t="str">
        <f>IF(F230&lt;6,"Night",IF(F230&lt;12,"Morning",IF(F230&lt;18,"Afternoon","Evening")))</f>
        <v>Evening</v>
      </c>
      <c r="H230">
        <v>0</v>
      </c>
      <c r="I230">
        <v>1</v>
      </c>
      <c r="J230" t="str">
        <f>CHOOSE(I230+1,"Monday","Tuesday","Wednesday","Thursday","Friday","Saturday","Sunday")</f>
        <v>Tuesday</v>
      </c>
      <c r="K230">
        <v>1</v>
      </c>
      <c r="L230" t="str">
        <f>CHOOSE(K230+1,"error","Clear","Misty","Rainy","Severe heater")</f>
        <v>Clear</v>
      </c>
      <c r="M230">
        <v>0.16</v>
      </c>
      <c r="N230" t="str">
        <f>IF(M230&lt;=0.2,"Low",IF(M230&lt;=0.4,"Mid","High"))</f>
        <v>Low</v>
      </c>
      <c r="O230">
        <v>0.16669999999999999</v>
      </c>
      <c r="P230" t="str">
        <f>IF(O230&lt;=0.15,"Very Cold",IF(O230&lt;=0.3,"Cold",IF(O230&lt;=0.45,"Pleasant","Hot")))</f>
        <v>Cold</v>
      </c>
      <c r="Q230">
        <v>0.47</v>
      </c>
      <c r="R230" t="str">
        <f>IF(Q230&lt;=0.25,"Low ",IF(Q230&lt;=0.5,"Moderate ",IF(Q230&lt;=0.75,"High ","Very High ")))</f>
        <v xml:space="preserve">Moderate </v>
      </c>
      <c r="S230">
        <v>0.16420000000000001</v>
      </c>
      <c r="T230" t="str">
        <f>IF(S230&lt;=0.15,"Calm",IF(S230&lt;=0.3,"Light Wind",IF(S230&lt;=0.45,"Moderate Wind","Strong Wind")))</f>
        <v>Light Wind</v>
      </c>
      <c r="U230">
        <v>3</v>
      </c>
      <c r="V230">
        <v>92</v>
      </c>
      <c r="W230">
        <v>95</v>
      </c>
      <c r="X230" t="str">
        <f>IF(W230&lt;=75,"Low Demand",IF(W230&lt;=150,"Medium Demand",IF(W230&lt;=225,"High Demand","Very High Demand")))</f>
        <v>Medium Demand</v>
      </c>
    </row>
    <row r="231" spans="1:24" x14ac:dyDescent="0.25">
      <c r="A231">
        <v>230</v>
      </c>
      <c r="B231" s="2">
        <v>40553</v>
      </c>
      <c r="C231">
        <v>1</v>
      </c>
      <c r="D231">
        <v>0</v>
      </c>
      <c r="E231">
        <v>1</v>
      </c>
      <c r="F231">
        <v>20</v>
      </c>
      <c r="G231" t="str">
        <f>IF(F231&lt;6,"Night",IF(F231&lt;12,"Morning",IF(F231&lt;18,"Afternoon","Evening")))</f>
        <v>Evening</v>
      </c>
      <c r="H231">
        <v>0</v>
      </c>
      <c r="I231">
        <v>1</v>
      </c>
      <c r="J231" t="str">
        <f>CHOOSE(I231+1,"Monday","Tuesday","Wednesday","Thursday","Friday","Saturday","Sunday")</f>
        <v>Tuesday</v>
      </c>
      <c r="K231">
        <v>1</v>
      </c>
      <c r="L231" t="str">
        <f>CHOOSE(K231+1,"error","Clear","Misty","Rainy","Severe heater")</f>
        <v>Clear</v>
      </c>
      <c r="M231">
        <v>0.16</v>
      </c>
      <c r="N231" t="str">
        <f>IF(M231&lt;=0.2,"Low",IF(M231&lt;=0.4,"Mid","High"))</f>
        <v>Low</v>
      </c>
      <c r="O231">
        <v>0.16669999999999999</v>
      </c>
      <c r="P231" t="str">
        <f>IF(O231&lt;=0.15,"Very Cold",IF(O231&lt;=0.3,"Cold",IF(O231&lt;=0.45,"Pleasant","Hot")))</f>
        <v>Cold</v>
      </c>
      <c r="Q231">
        <v>0.5</v>
      </c>
      <c r="R231" t="str">
        <f>IF(Q231&lt;=0.25,"Low ",IF(Q231&lt;=0.5,"Moderate ",IF(Q231&lt;=0.75,"High ","Very High ")))</f>
        <v xml:space="preserve">Moderate </v>
      </c>
      <c r="S231">
        <v>0.16420000000000001</v>
      </c>
      <c r="T231" t="str">
        <f>IF(S231&lt;=0.15,"Calm",IF(S231&lt;=0.3,"Light Wind",IF(S231&lt;=0.45,"Moderate Wind","Strong Wind")))</f>
        <v>Light Wind</v>
      </c>
      <c r="U231">
        <v>1</v>
      </c>
      <c r="V231">
        <v>73</v>
      </c>
      <c r="W231">
        <v>74</v>
      </c>
      <c r="X231" t="str">
        <f>IF(W231&lt;=75,"Low Demand",IF(W231&lt;=150,"Medium Demand",IF(W231&lt;=225,"High Demand","Very High Demand")))</f>
        <v>Low Demand</v>
      </c>
    </row>
    <row r="232" spans="1:24" x14ac:dyDescent="0.25">
      <c r="A232">
        <v>231</v>
      </c>
      <c r="B232" s="2">
        <v>40553</v>
      </c>
      <c r="C232">
        <v>1</v>
      </c>
      <c r="D232">
        <v>0</v>
      </c>
      <c r="E232">
        <v>1</v>
      </c>
      <c r="F232">
        <v>21</v>
      </c>
      <c r="G232" t="str">
        <f>IF(F232&lt;6,"Night",IF(F232&lt;12,"Morning",IF(F232&lt;18,"Afternoon","Evening")))</f>
        <v>Evening</v>
      </c>
      <c r="H232">
        <v>0</v>
      </c>
      <c r="I232">
        <v>1</v>
      </c>
      <c r="J232" t="str">
        <f>CHOOSE(I232+1,"Monday","Tuesday","Wednesday","Thursday","Friday","Saturday","Sunday")</f>
        <v>Tuesday</v>
      </c>
      <c r="K232">
        <v>1</v>
      </c>
      <c r="L232" t="str">
        <f>CHOOSE(K232+1,"error","Clear","Misty","Rainy","Severe heater")</f>
        <v>Clear</v>
      </c>
      <c r="M232">
        <v>0.14000000000000001</v>
      </c>
      <c r="N232" t="str">
        <f>IF(M232&lt;=0.2,"Low",IF(M232&lt;=0.4,"Mid","High"))</f>
        <v>Low</v>
      </c>
      <c r="O232">
        <v>0.13639999999999999</v>
      </c>
      <c r="P232" t="str">
        <f>IF(O232&lt;=0.15,"Very Cold",IF(O232&lt;=0.3,"Cold",IF(O232&lt;=0.45,"Pleasant","Hot")))</f>
        <v>Very Cold</v>
      </c>
      <c r="Q232">
        <v>0.59</v>
      </c>
      <c r="R232" t="str">
        <f>IF(Q232&lt;=0.25,"Low ",IF(Q232&lt;=0.5,"Moderate ",IF(Q232&lt;=0.75,"High ","Very High ")))</f>
        <v xml:space="preserve">High </v>
      </c>
      <c r="S232">
        <v>0.19400000000000001</v>
      </c>
      <c r="T232" t="str">
        <f>IF(S232&lt;=0.15,"Calm",IF(S232&lt;=0.3,"Light Wind",IF(S232&lt;=0.45,"Moderate Wind","Strong Wind")))</f>
        <v>Light Wind</v>
      </c>
      <c r="U232">
        <v>1</v>
      </c>
      <c r="V232">
        <v>37</v>
      </c>
      <c r="W232">
        <v>38</v>
      </c>
      <c r="X232" t="str">
        <f>IF(W232&lt;=75,"Low Demand",IF(W232&lt;=150,"Medium Demand",IF(W232&lt;=225,"High Demand","Very High Demand")))</f>
        <v>Low Demand</v>
      </c>
    </row>
    <row r="233" spans="1:24" x14ac:dyDescent="0.25">
      <c r="A233">
        <v>232</v>
      </c>
      <c r="B233" s="2">
        <v>40553</v>
      </c>
      <c r="C233">
        <v>1</v>
      </c>
      <c r="D233">
        <v>0</v>
      </c>
      <c r="E233">
        <v>1</v>
      </c>
      <c r="F233">
        <v>22</v>
      </c>
      <c r="G233" t="str">
        <f>IF(F233&lt;6,"Night",IF(F233&lt;12,"Morning",IF(F233&lt;18,"Afternoon","Evening")))</f>
        <v>Evening</v>
      </c>
      <c r="H233">
        <v>0</v>
      </c>
      <c r="I233">
        <v>1</v>
      </c>
      <c r="J233" t="str">
        <f>CHOOSE(I233+1,"Monday","Tuesday","Wednesday","Thursday","Friday","Saturday","Sunday")</f>
        <v>Tuesday</v>
      </c>
      <c r="K233">
        <v>1</v>
      </c>
      <c r="L233" t="str">
        <f>CHOOSE(K233+1,"error","Clear","Misty","Rainy","Severe heater")</f>
        <v>Clear</v>
      </c>
      <c r="M233">
        <v>0.14000000000000001</v>
      </c>
      <c r="N233" t="str">
        <f>IF(M233&lt;=0.2,"Low",IF(M233&lt;=0.4,"Mid","High"))</f>
        <v>Low</v>
      </c>
      <c r="O233">
        <v>0.1515</v>
      </c>
      <c r="P233" t="str">
        <f>IF(O233&lt;=0.15,"Very Cold",IF(O233&lt;=0.3,"Cold",IF(O233&lt;=0.45,"Pleasant","Hot")))</f>
        <v>Cold</v>
      </c>
      <c r="Q233">
        <v>0.59</v>
      </c>
      <c r="R233" t="str">
        <f>IF(Q233&lt;=0.25,"Low ",IF(Q233&lt;=0.5,"Moderate ",IF(Q233&lt;=0.75,"High ","Very High ")))</f>
        <v xml:space="preserve">High </v>
      </c>
      <c r="S233">
        <v>0.16420000000000001</v>
      </c>
      <c r="T233" t="str">
        <f>IF(S233&lt;=0.15,"Calm",IF(S233&lt;=0.3,"Light Wind",IF(S233&lt;=0.45,"Moderate Wind","Strong Wind")))</f>
        <v>Light Wind</v>
      </c>
      <c r="U233">
        <v>2</v>
      </c>
      <c r="V233">
        <v>22</v>
      </c>
      <c r="W233">
        <v>24</v>
      </c>
      <c r="X233" t="str">
        <f>IF(W233&lt;=75,"Low Demand",IF(W233&lt;=150,"Medium Demand",IF(W233&lt;=225,"High Demand","Very High Demand")))</f>
        <v>Low Demand</v>
      </c>
    </row>
    <row r="234" spans="1:24" x14ac:dyDescent="0.25">
      <c r="A234">
        <v>233</v>
      </c>
      <c r="B234" s="2">
        <v>40553</v>
      </c>
      <c r="C234">
        <v>1</v>
      </c>
      <c r="D234">
        <v>0</v>
      </c>
      <c r="E234">
        <v>1</v>
      </c>
      <c r="F234">
        <v>23</v>
      </c>
      <c r="G234" t="str">
        <f>IF(F234&lt;6,"Night",IF(F234&lt;12,"Morning",IF(F234&lt;18,"Afternoon","Evening")))</f>
        <v>Evening</v>
      </c>
      <c r="H234">
        <v>0</v>
      </c>
      <c r="I234">
        <v>1</v>
      </c>
      <c r="J234" t="str">
        <f>CHOOSE(I234+1,"Monday","Tuesday","Wednesday","Thursday","Friday","Saturday","Sunday")</f>
        <v>Tuesday</v>
      </c>
      <c r="K234">
        <v>1</v>
      </c>
      <c r="L234" t="str">
        <f>CHOOSE(K234+1,"error","Clear","Misty","Rainy","Severe heater")</f>
        <v>Clear</v>
      </c>
      <c r="M234">
        <v>0.14000000000000001</v>
      </c>
      <c r="N234" t="str">
        <f>IF(M234&lt;=0.2,"Low",IF(M234&lt;=0.4,"Mid","High"))</f>
        <v>Low</v>
      </c>
      <c r="O234">
        <v>0.1515</v>
      </c>
      <c r="P234" t="str">
        <f>IF(O234&lt;=0.15,"Very Cold",IF(O234&lt;=0.3,"Cold",IF(O234&lt;=0.45,"Pleasant","Hot")))</f>
        <v>Cold</v>
      </c>
      <c r="Q234">
        <v>0.59</v>
      </c>
      <c r="R234" t="str">
        <f>IF(Q234&lt;=0.25,"Low ",IF(Q234&lt;=0.5,"Moderate ",IF(Q234&lt;=0.75,"High ","Very High ")))</f>
        <v xml:space="preserve">High </v>
      </c>
      <c r="S234">
        <v>0.16420000000000001</v>
      </c>
      <c r="T234" t="str">
        <f>IF(S234&lt;=0.15,"Calm",IF(S234&lt;=0.3,"Light Wind",IF(S234&lt;=0.45,"Moderate Wind","Strong Wind")))</f>
        <v>Light Wind</v>
      </c>
      <c r="U234">
        <v>0</v>
      </c>
      <c r="V234">
        <v>18</v>
      </c>
      <c r="W234">
        <v>18</v>
      </c>
      <c r="X234" t="str">
        <f>IF(W234&lt;=75,"Low Demand",IF(W234&lt;=150,"Medium Demand",IF(W234&lt;=225,"High Demand","Very High Demand")))</f>
        <v>Low Demand</v>
      </c>
    </row>
    <row r="235" spans="1:24" x14ac:dyDescent="0.25">
      <c r="A235">
        <v>234</v>
      </c>
      <c r="B235" s="2">
        <v>40554</v>
      </c>
      <c r="C235">
        <v>1</v>
      </c>
      <c r="D235">
        <v>0</v>
      </c>
      <c r="E235">
        <v>1</v>
      </c>
      <c r="F235">
        <v>0</v>
      </c>
      <c r="G235" t="str">
        <f>IF(F235&lt;6,"Night",IF(F235&lt;12,"Morning",IF(F235&lt;18,"Afternoon","Evening")))</f>
        <v>Night</v>
      </c>
      <c r="H235">
        <v>0</v>
      </c>
      <c r="I235">
        <v>2</v>
      </c>
      <c r="J235" t="str">
        <f>CHOOSE(I235+1,"Monday","Tuesday","Wednesday","Thursday","Friday","Saturday","Sunday")</f>
        <v>Wednesday</v>
      </c>
      <c r="K235">
        <v>1</v>
      </c>
      <c r="L235" t="str">
        <f>CHOOSE(K235+1,"error","Clear","Misty","Rainy","Severe heater")</f>
        <v>Clear</v>
      </c>
      <c r="M235">
        <v>0.14000000000000001</v>
      </c>
      <c r="N235" t="str">
        <f>IF(M235&lt;=0.2,"Low",IF(M235&lt;=0.4,"Mid","High"))</f>
        <v>Low</v>
      </c>
      <c r="O235">
        <v>0.16669999999999999</v>
      </c>
      <c r="P235" t="str">
        <f>IF(O235&lt;=0.15,"Very Cold",IF(O235&lt;=0.3,"Cold",IF(O235&lt;=0.45,"Pleasant","Hot")))</f>
        <v>Cold</v>
      </c>
      <c r="Q235">
        <v>0.59</v>
      </c>
      <c r="R235" t="str">
        <f>IF(Q235&lt;=0.25,"Low ",IF(Q235&lt;=0.5,"Moderate ",IF(Q235&lt;=0.75,"High ","Very High ")))</f>
        <v xml:space="preserve">High </v>
      </c>
      <c r="S235">
        <v>0.1045</v>
      </c>
      <c r="T235" t="str">
        <f>IF(S235&lt;=0.15,"Calm",IF(S235&lt;=0.3,"Light Wind",IF(S235&lt;=0.45,"Moderate Wind","Strong Wind")))</f>
        <v>Calm</v>
      </c>
      <c r="U235">
        <v>2</v>
      </c>
      <c r="V235">
        <v>10</v>
      </c>
      <c r="W235">
        <v>12</v>
      </c>
      <c r="X235" t="str">
        <f>IF(W235&lt;=75,"Low Demand",IF(W235&lt;=150,"Medium Demand",IF(W235&lt;=225,"High Demand","Very High Demand")))</f>
        <v>Low Demand</v>
      </c>
    </row>
    <row r="236" spans="1:24" x14ac:dyDescent="0.25">
      <c r="A236">
        <v>235</v>
      </c>
      <c r="B236" s="2">
        <v>40554</v>
      </c>
      <c r="C236">
        <v>1</v>
      </c>
      <c r="D236">
        <v>0</v>
      </c>
      <c r="E236">
        <v>1</v>
      </c>
      <c r="F236">
        <v>1</v>
      </c>
      <c r="G236" t="str">
        <f>IF(F236&lt;6,"Night",IF(F236&lt;12,"Morning",IF(F236&lt;18,"Afternoon","Evening")))</f>
        <v>Night</v>
      </c>
      <c r="H236">
        <v>0</v>
      </c>
      <c r="I236">
        <v>2</v>
      </c>
      <c r="J236" t="str">
        <f>CHOOSE(I236+1,"Monday","Tuesday","Wednesday","Thursday","Friday","Saturday","Sunday")</f>
        <v>Wednesday</v>
      </c>
      <c r="K236">
        <v>1</v>
      </c>
      <c r="L236" t="str">
        <f>CHOOSE(K236+1,"error","Clear","Misty","Rainy","Severe heater")</f>
        <v>Clear</v>
      </c>
      <c r="M236">
        <v>0.14000000000000001</v>
      </c>
      <c r="N236" t="str">
        <f>IF(M236&lt;=0.2,"Low",IF(M236&lt;=0.4,"Mid","High"))</f>
        <v>Low</v>
      </c>
      <c r="O236">
        <v>0.1515</v>
      </c>
      <c r="P236" t="str">
        <f>IF(O236&lt;=0.15,"Very Cold",IF(O236&lt;=0.3,"Cold",IF(O236&lt;=0.45,"Pleasant","Hot")))</f>
        <v>Cold</v>
      </c>
      <c r="Q236">
        <v>0.59</v>
      </c>
      <c r="R236" t="str">
        <f>IF(Q236&lt;=0.25,"Low ",IF(Q236&lt;=0.5,"Moderate ",IF(Q236&lt;=0.75,"High ","Very High ")))</f>
        <v xml:space="preserve">High </v>
      </c>
      <c r="S236">
        <v>0.16420000000000001</v>
      </c>
      <c r="T236" t="str">
        <f>IF(S236&lt;=0.15,"Calm",IF(S236&lt;=0.3,"Light Wind",IF(S236&lt;=0.45,"Moderate Wind","Strong Wind")))</f>
        <v>Light Wind</v>
      </c>
      <c r="U236">
        <v>0</v>
      </c>
      <c r="V236">
        <v>3</v>
      </c>
      <c r="W236">
        <v>3</v>
      </c>
      <c r="X236" t="str">
        <f>IF(W236&lt;=75,"Low Demand",IF(W236&lt;=150,"Medium Demand",IF(W236&lt;=225,"High Demand","Very High Demand")))</f>
        <v>Low Demand</v>
      </c>
    </row>
    <row r="237" spans="1:24" x14ac:dyDescent="0.25">
      <c r="A237">
        <v>236</v>
      </c>
      <c r="B237" s="2">
        <v>40554</v>
      </c>
      <c r="C237">
        <v>1</v>
      </c>
      <c r="D237">
        <v>0</v>
      </c>
      <c r="E237">
        <v>1</v>
      </c>
      <c r="F237">
        <v>2</v>
      </c>
      <c r="G237" t="str">
        <f>IF(F237&lt;6,"Night",IF(F237&lt;12,"Morning",IF(F237&lt;18,"Afternoon","Evening")))</f>
        <v>Night</v>
      </c>
      <c r="H237">
        <v>0</v>
      </c>
      <c r="I237">
        <v>2</v>
      </c>
      <c r="J237" t="str">
        <f>CHOOSE(I237+1,"Monday","Tuesday","Wednesday","Thursday","Friday","Saturday","Sunday")</f>
        <v>Wednesday</v>
      </c>
      <c r="K237">
        <v>2</v>
      </c>
      <c r="L237" t="str">
        <f>CHOOSE(K237+1,"error","Clear","Misty","Rainy","Severe heater")</f>
        <v>Misty</v>
      </c>
      <c r="M237">
        <v>0.16</v>
      </c>
      <c r="N237" t="str">
        <f>IF(M237&lt;=0.2,"Low",IF(M237&lt;=0.4,"Mid","High"))</f>
        <v>Low</v>
      </c>
      <c r="O237">
        <v>0.1515</v>
      </c>
      <c r="P237" t="str">
        <f>IF(O237&lt;=0.15,"Very Cold",IF(O237&lt;=0.3,"Cold",IF(O237&lt;=0.45,"Pleasant","Hot")))</f>
        <v>Cold</v>
      </c>
      <c r="Q237">
        <v>0.55000000000000004</v>
      </c>
      <c r="R237" t="str">
        <f>IF(Q237&lt;=0.25,"Low ",IF(Q237&lt;=0.5,"Moderate ",IF(Q237&lt;=0.75,"High ","Very High ")))</f>
        <v xml:space="preserve">High </v>
      </c>
      <c r="S237">
        <v>0.19400000000000001</v>
      </c>
      <c r="T237" t="str">
        <f>IF(S237&lt;=0.15,"Calm",IF(S237&lt;=0.3,"Light Wind",IF(S237&lt;=0.45,"Moderate Wind","Strong Wind")))</f>
        <v>Light Wind</v>
      </c>
      <c r="U237">
        <v>0</v>
      </c>
      <c r="V237">
        <v>3</v>
      </c>
      <c r="W237">
        <v>3</v>
      </c>
      <c r="X237" t="str">
        <f>IF(W237&lt;=75,"Low Demand",IF(W237&lt;=150,"Medium Demand",IF(W237&lt;=225,"High Demand","Very High Demand")))</f>
        <v>Low Demand</v>
      </c>
    </row>
    <row r="238" spans="1:24" x14ac:dyDescent="0.25">
      <c r="A238">
        <v>237</v>
      </c>
      <c r="B238" s="2">
        <v>40554</v>
      </c>
      <c r="C238">
        <v>1</v>
      </c>
      <c r="D238">
        <v>0</v>
      </c>
      <c r="E238">
        <v>1</v>
      </c>
      <c r="F238">
        <v>5</v>
      </c>
      <c r="G238" t="str">
        <f>IF(F238&lt;6,"Night",IF(F238&lt;12,"Morning",IF(F238&lt;18,"Afternoon","Evening")))</f>
        <v>Night</v>
      </c>
      <c r="H238">
        <v>0</v>
      </c>
      <c r="I238">
        <v>2</v>
      </c>
      <c r="J238" t="str">
        <f>CHOOSE(I238+1,"Monday","Tuesday","Wednesday","Thursday","Friday","Saturday","Sunday")</f>
        <v>Wednesday</v>
      </c>
      <c r="K238">
        <v>2</v>
      </c>
      <c r="L238" t="str">
        <f>CHOOSE(K238+1,"error","Clear","Misty","Rainy","Severe heater")</f>
        <v>Misty</v>
      </c>
      <c r="M238">
        <v>0.16</v>
      </c>
      <c r="N238" t="str">
        <f>IF(M238&lt;=0.2,"Low",IF(M238&lt;=0.4,"Mid","High"))</f>
        <v>Low</v>
      </c>
      <c r="O238">
        <v>0.18179999999999999</v>
      </c>
      <c r="P238" t="str">
        <f>IF(O238&lt;=0.15,"Very Cold",IF(O238&lt;=0.3,"Cold",IF(O238&lt;=0.45,"Pleasant","Hot")))</f>
        <v>Cold</v>
      </c>
      <c r="Q238">
        <v>0.55000000000000004</v>
      </c>
      <c r="R238" t="str">
        <f>IF(Q238&lt;=0.25,"Low ",IF(Q238&lt;=0.5,"Moderate ",IF(Q238&lt;=0.75,"High ","Very High ")))</f>
        <v xml:space="preserve">High </v>
      </c>
      <c r="S238">
        <v>0.1343</v>
      </c>
      <c r="T238" t="str">
        <f>IF(S238&lt;=0.15,"Calm",IF(S238&lt;=0.3,"Light Wind",IF(S238&lt;=0.45,"Moderate Wind","Strong Wind")))</f>
        <v>Calm</v>
      </c>
      <c r="U238">
        <v>0</v>
      </c>
      <c r="V238">
        <v>6</v>
      </c>
      <c r="W238">
        <v>6</v>
      </c>
      <c r="X238" t="str">
        <f>IF(W238&lt;=75,"Low Demand",IF(W238&lt;=150,"Medium Demand",IF(W238&lt;=225,"High Demand","Very High Demand")))</f>
        <v>Low Demand</v>
      </c>
    </row>
    <row r="239" spans="1:24" x14ac:dyDescent="0.25">
      <c r="A239">
        <v>238</v>
      </c>
      <c r="B239" s="2">
        <v>40554</v>
      </c>
      <c r="C239">
        <v>1</v>
      </c>
      <c r="D239">
        <v>0</v>
      </c>
      <c r="E239">
        <v>1</v>
      </c>
      <c r="F239">
        <v>6</v>
      </c>
      <c r="G239" t="str">
        <f>IF(F239&lt;6,"Night",IF(F239&lt;12,"Morning",IF(F239&lt;18,"Afternoon","Evening")))</f>
        <v>Morning</v>
      </c>
      <c r="H239">
        <v>0</v>
      </c>
      <c r="I239">
        <v>2</v>
      </c>
      <c r="J239" t="str">
        <f>CHOOSE(I239+1,"Monday","Tuesday","Wednesday","Thursday","Friday","Saturday","Sunday")</f>
        <v>Wednesday</v>
      </c>
      <c r="K239">
        <v>2</v>
      </c>
      <c r="L239" t="str">
        <f>CHOOSE(K239+1,"error","Clear","Misty","Rainy","Severe heater")</f>
        <v>Misty</v>
      </c>
      <c r="M239">
        <v>0.16</v>
      </c>
      <c r="N239" t="str">
        <f>IF(M239&lt;=0.2,"Low",IF(M239&lt;=0.4,"Mid","High"))</f>
        <v>Low</v>
      </c>
      <c r="O239">
        <v>0.18179999999999999</v>
      </c>
      <c r="P239" t="str">
        <f>IF(O239&lt;=0.15,"Very Cold",IF(O239&lt;=0.3,"Cold",IF(O239&lt;=0.45,"Pleasant","Hot")))</f>
        <v>Cold</v>
      </c>
      <c r="Q239">
        <v>0.55000000000000004</v>
      </c>
      <c r="R239" t="str">
        <f>IF(Q239&lt;=0.25,"Low ",IF(Q239&lt;=0.5,"Moderate ",IF(Q239&lt;=0.75,"High ","Very High ")))</f>
        <v xml:space="preserve">High </v>
      </c>
      <c r="S239">
        <v>0.1343</v>
      </c>
      <c r="T239" t="str">
        <f>IF(S239&lt;=0.15,"Calm",IF(S239&lt;=0.3,"Light Wind",IF(S239&lt;=0.45,"Moderate Wind","Strong Wind")))</f>
        <v>Calm</v>
      </c>
      <c r="U239">
        <v>0</v>
      </c>
      <c r="V239">
        <v>27</v>
      </c>
      <c r="W239">
        <v>27</v>
      </c>
      <c r="X239" t="str">
        <f>IF(W239&lt;=75,"Low Demand",IF(W239&lt;=150,"Medium Demand",IF(W239&lt;=225,"High Demand","Very High Demand")))</f>
        <v>Low Demand</v>
      </c>
    </row>
    <row r="240" spans="1:24" x14ac:dyDescent="0.25">
      <c r="A240">
        <v>239</v>
      </c>
      <c r="B240" s="2">
        <v>40554</v>
      </c>
      <c r="C240">
        <v>1</v>
      </c>
      <c r="D240">
        <v>0</v>
      </c>
      <c r="E240">
        <v>1</v>
      </c>
      <c r="F240">
        <v>7</v>
      </c>
      <c r="G240" t="str">
        <f>IF(F240&lt;6,"Night",IF(F240&lt;12,"Morning",IF(F240&lt;18,"Afternoon","Evening")))</f>
        <v>Morning</v>
      </c>
      <c r="H240">
        <v>0</v>
      </c>
      <c r="I240">
        <v>2</v>
      </c>
      <c r="J240" t="str">
        <f>CHOOSE(I240+1,"Monday","Tuesday","Wednesday","Thursday","Friday","Saturday","Sunday")</f>
        <v>Wednesday</v>
      </c>
      <c r="K240">
        <v>2</v>
      </c>
      <c r="L240" t="str">
        <f>CHOOSE(K240+1,"error","Clear","Misty","Rainy","Severe heater")</f>
        <v>Misty</v>
      </c>
      <c r="M240">
        <v>0.16</v>
      </c>
      <c r="N240" t="str">
        <f>IF(M240&lt;=0.2,"Low",IF(M240&lt;=0.4,"Mid","High"))</f>
        <v>Low</v>
      </c>
      <c r="O240">
        <v>0.2273</v>
      </c>
      <c r="P240" t="str">
        <f>IF(O240&lt;=0.15,"Very Cold",IF(O240&lt;=0.3,"Cold",IF(O240&lt;=0.45,"Pleasant","Hot")))</f>
        <v>Cold</v>
      </c>
      <c r="Q240">
        <v>0.55000000000000004</v>
      </c>
      <c r="R240" t="str">
        <f>IF(Q240&lt;=0.25,"Low ",IF(Q240&lt;=0.5,"Moderate ",IF(Q240&lt;=0.75,"High ","Very High ")))</f>
        <v xml:space="preserve">High </v>
      </c>
      <c r="S240">
        <v>0</v>
      </c>
      <c r="T240" t="str">
        <f>IF(S240&lt;=0.15,"Calm",IF(S240&lt;=0.3,"Light Wind",IF(S240&lt;=0.45,"Moderate Wind","Strong Wind")))</f>
        <v>Calm</v>
      </c>
      <c r="U240">
        <v>2</v>
      </c>
      <c r="V240">
        <v>97</v>
      </c>
      <c r="W240">
        <v>99</v>
      </c>
      <c r="X240" t="str">
        <f>IF(W240&lt;=75,"Low Demand",IF(W240&lt;=150,"Medium Demand",IF(W240&lt;=225,"High Demand","Very High Demand")))</f>
        <v>Medium Demand</v>
      </c>
    </row>
    <row r="241" spans="1:24" x14ac:dyDescent="0.25">
      <c r="A241">
        <v>240</v>
      </c>
      <c r="B241" s="2">
        <v>40554</v>
      </c>
      <c r="C241">
        <v>1</v>
      </c>
      <c r="D241">
        <v>0</v>
      </c>
      <c r="E241">
        <v>1</v>
      </c>
      <c r="F241">
        <v>8</v>
      </c>
      <c r="G241" t="str">
        <f>IF(F241&lt;6,"Night",IF(F241&lt;12,"Morning",IF(F241&lt;18,"Afternoon","Evening")))</f>
        <v>Morning</v>
      </c>
      <c r="H241">
        <v>0</v>
      </c>
      <c r="I241">
        <v>2</v>
      </c>
      <c r="J241" t="str">
        <f>CHOOSE(I241+1,"Monday","Tuesday","Wednesday","Thursday","Friday","Saturday","Sunday")</f>
        <v>Wednesday</v>
      </c>
      <c r="K241">
        <v>2</v>
      </c>
      <c r="L241" t="str">
        <f>CHOOSE(K241+1,"error","Clear","Misty","Rainy","Severe heater")</f>
        <v>Misty</v>
      </c>
      <c r="M241">
        <v>0.18</v>
      </c>
      <c r="N241" t="str">
        <f>IF(M241&lt;=0.2,"Low",IF(M241&lt;=0.4,"Mid","High"))</f>
        <v>Low</v>
      </c>
      <c r="O241">
        <v>0.21210000000000001</v>
      </c>
      <c r="P241" t="str">
        <f>IF(O241&lt;=0.15,"Very Cold",IF(O241&lt;=0.3,"Cold",IF(O241&lt;=0.45,"Pleasant","Hot")))</f>
        <v>Cold</v>
      </c>
      <c r="Q241">
        <v>0.51</v>
      </c>
      <c r="R241" t="str">
        <f>IF(Q241&lt;=0.25,"Low ",IF(Q241&lt;=0.5,"Moderate ",IF(Q241&lt;=0.75,"High ","Very High ")))</f>
        <v xml:space="preserve">High </v>
      </c>
      <c r="S241">
        <v>8.9599999999999999E-2</v>
      </c>
      <c r="T241" t="str">
        <f>IF(S241&lt;=0.15,"Calm",IF(S241&lt;=0.3,"Light Wind",IF(S241&lt;=0.45,"Moderate Wind","Strong Wind")))</f>
        <v>Calm</v>
      </c>
      <c r="U241">
        <v>3</v>
      </c>
      <c r="V241">
        <v>214</v>
      </c>
      <c r="W241">
        <v>217</v>
      </c>
      <c r="X241" t="str">
        <f>IF(W241&lt;=75,"Low Demand",IF(W241&lt;=150,"Medium Demand",IF(W241&lt;=225,"High Demand","Very High Demand")))</f>
        <v>High Demand</v>
      </c>
    </row>
    <row r="242" spans="1:24" x14ac:dyDescent="0.25">
      <c r="A242">
        <v>241</v>
      </c>
      <c r="B242" s="2">
        <v>40554</v>
      </c>
      <c r="C242">
        <v>1</v>
      </c>
      <c r="D242">
        <v>0</v>
      </c>
      <c r="E242">
        <v>1</v>
      </c>
      <c r="F242">
        <v>9</v>
      </c>
      <c r="G242" t="str">
        <f>IF(F242&lt;6,"Night",IF(F242&lt;12,"Morning",IF(F242&lt;18,"Afternoon","Evening")))</f>
        <v>Morning</v>
      </c>
      <c r="H242">
        <v>0</v>
      </c>
      <c r="I242">
        <v>2</v>
      </c>
      <c r="J242" t="str">
        <f>CHOOSE(I242+1,"Monday","Tuesday","Wednesday","Thursday","Friday","Saturday","Sunday")</f>
        <v>Wednesday</v>
      </c>
      <c r="K242">
        <v>2</v>
      </c>
      <c r="L242" t="str">
        <f>CHOOSE(K242+1,"error","Clear","Misty","Rainy","Severe heater")</f>
        <v>Misty</v>
      </c>
      <c r="M242">
        <v>0.18</v>
      </c>
      <c r="N242" t="str">
        <f>IF(M242&lt;=0.2,"Low",IF(M242&lt;=0.4,"Mid","High"))</f>
        <v>Low</v>
      </c>
      <c r="O242">
        <v>0.19700000000000001</v>
      </c>
      <c r="P242" t="str">
        <f>IF(O242&lt;=0.15,"Very Cold",IF(O242&lt;=0.3,"Cold",IF(O242&lt;=0.45,"Pleasant","Hot")))</f>
        <v>Cold</v>
      </c>
      <c r="Q242">
        <v>0.51</v>
      </c>
      <c r="R242" t="str">
        <f>IF(Q242&lt;=0.25,"Low ",IF(Q242&lt;=0.5,"Moderate ",IF(Q242&lt;=0.75,"High ","Very High ")))</f>
        <v xml:space="preserve">High </v>
      </c>
      <c r="S242">
        <v>0.16420000000000001</v>
      </c>
      <c r="T242" t="str">
        <f>IF(S242&lt;=0.15,"Calm",IF(S242&lt;=0.3,"Light Wind",IF(S242&lt;=0.45,"Moderate Wind","Strong Wind")))</f>
        <v>Light Wind</v>
      </c>
      <c r="U242">
        <v>3</v>
      </c>
      <c r="V242">
        <v>127</v>
      </c>
      <c r="W242">
        <v>130</v>
      </c>
      <c r="X242" t="str">
        <f>IF(W242&lt;=75,"Low Demand",IF(W242&lt;=150,"Medium Demand",IF(W242&lt;=225,"High Demand","Very High Demand")))</f>
        <v>Medium Demand</v>
      </c>
    </row>
    <row r="243" spans="1:24" x14ac:dyDescent="0.25">
      <c r="A243">
        <v>242</v>
      </c>
      <c r="B243" s="2">
        <v>40554</v>
      </c>
      <c r="C243">
        <v>1</v>
      </c>
      <c r="D243">
        <v>0</v>
      </c>
      <c r="E243">
        <v>1</v>
      </c>
      <c r="F243">
        <v>10</v>
      </c>
      <c r="G243" t="str">
        <f>IF(F243&lt;6,"Night",IF(F243&lt;12,"Morning",IF(F243&lt;18,"Afternoon","Evening")))</f>
        <v>Morning</v>
      </c>
      <c r="H243">
        <v>0</v>
      </c>
      <c r="I243">
        <v>2</v>
      </c>
      <c r="J243" t="str">
        <f>CHOOSE(I243+1,"Monday","Tuesday","Wednesday","Thursday","Friday","Saturday","Sunday")</f>
        <v>Wednesday</v>
      </c>
      <c r="K243">
        <v>2</v>
      </c>
      <c r="L243" t="str">
        <f>CHOOSE(K243+1,"error","Clear","Misty","Rainy","Severe heater")</f>
        <v>Misty</v>
      </c>
      <c r="M243">
        <v>0.2</v>
      </c>
      <c r="N243" t="str">
        <f>IF(M243&lt;=0.2,"Low",IF(M243&lt;=0.4,"Mid","High"))</f>
        <v>Low</v>
      </c>
      <c r="O243">
        <v>0.21210000000000001</v>
      </c>
      <c r="P243" t="str">
        <f>IF(O243&lt;=0.15,"Very Cold",IF(O243&lt;=0.3,"Cold",IF(O243&lt;=0.45,"Pleasant","Hot")))</f>
        <v>Cold</v>
      </c>
      <c r="Q243">
        <v>0.51</v>
      </c>
      <c r="R243" t="str">
        <f>IF(Q243&lt;=0.25,"Low ",IF(Q243&lt;=0.5,"Moderate ",IF(Q243&lt;=0.75,"High ","Very High ")))</f>
        <v xml:space="preserve">High </v>
      </c>
      <c r="S243">
        <v>0.16420000000000001</v>
      </c>
      <c r="T243" t="str">
        <f>IF(S243&lt;=0.15,"Calm",IF(S243&lt;=0.3,"Light Wind",IF(S243&lt;=0.45,"Moderate Wind","Strong Wind")))</f>
        <v>Light Wind</v>
      </c>
      <c r="U243">
        <v>3</v>
      </c>
      <c r="V243">
        <v>51</v>
      </c>
      <c r="W243">
        <v>54</v>
      </c>
      <c r="X243" t="str">
        <f>IF(W243&lt;=75,"Low Demand",IF(W243&lt;=150,"Medium Demand",IF(W243&lt;=225,"High Demand","Very High Demand")))</f>
        <v>Low Demand</v>
      </c>
    </row>
    <row r="244" spans="1:24" x14ac:dyDescent="0.25">
      <c r="A244">
        <v>243</v>
      </c>
      <c r="B244" s="2">
        <v>40554</v>
      </c>
      <c r="C244">
        <v>1</v>
      </c>
      <c r="D244">
        <v>0</v>
      </c>
      <c r="E244">
        <v>1</v>
      </c>
      <c r="F244">
        <v>11</v>
      </c>
      <c r="G244" t="str">
        <f>IF(F244&lt;6,"Night",IF(F244&lt;12,"Morning",IF(F244&lt;18,"Afternoon","Evening")))</f>
        <v>Morning</v>
      </c>
      <c r="H244">
        <v>0</v>
      </c>
      <c r="I244">
        <v>2</v>
      </c>
      <c r="J244" t="str">
        <f>CHOOSE(I244+1,"Monday","Tuesday","Wednesday","Thursday","Friday","Saturday","Sunday")</f>
        <v>Wednesday</v>
      </c>
      <c r="K244">
        <v>2</v>
      </c>
      <c r="L244" t="str">
        <f>CHOOSE(K244+1,"error","Clear","Misty","Rainy","Severe heater")</f>
        <v>Misty</v>
      </c>
      <c r="M244">
        <v>0.2</v>
      </c>
      <c r="N244" t="str">
        <f>IF(M244&lt;=0.2,"Low",IF(M244&lt;=0.4,"Mid","High"))</f>
        <v>Low</v>
      </c>
      <c r="O244">
        <v>0.21210000000000001</v>
      </c>
      <c r="P244" t="str">
        <f>IF(O244&lt;=0.15,"Very Cold",IF(O244&lt;=0.3,"Cold",IF(O244&lt;=0.45,"Pleasant","Hot")))</f>
        <v>Cold</v>
      </c>
      <c r="Q244">
        <v>0.47</v>
      </c>
      <c r="R244" t="str">
        <f>IF(Q244&lt;=0.25,"Low ",IF(Q244&lt;=0.5,"Moderate ",IF(Q244&lt;=0.75,"High ","Very High ")))</f>
        <v xml:space="preserve">Moderate </v>
      </c>
      <c r="S244">
        <v>0.1343</v>
      </c>
      <c r="T244" t="str">
        <f>IF(S244&lt;=0.15,"Calm",IF(S244&lt;=0.3,"Light Wind",IF(S244&lt;=0.45,"Moderate Wind","Strong Wind")))</f>
        <v>Calm</v>
      </c>
      <c r="U244">
        <v>4</v>
      </c>
      <c r="V244">
        <v>31</v>
      </c>
      <c r="W244">
        <v>35</v>
      </c>
      <c r="X244" t="str">
        <f>IF(W244&lt;=75,"Low Demand",IF(W244&lt;=150,"Medium Demand",IF(W244&lt;=225,"High Demand","Very High Demand")))</f>
        <v>Low Demand</v>
      </c>
    </row>
    <row r="245" spans="1:24" x14ac:dyDescent="0.25">
      <c r="A245">
        <v>244</v>
      </c>
      <c r="B245" s="2">
        <v>40554</v>
      </c>
      <c r="C245">
        <v>1</v>
      </c>
      <c r="D245">
        <v>0</v>
      </c>
      <c r="E245">
        <v>1</v>
      </c>
      <c r="F245">
        <v>12</v>
      </c>
      <c r="G245" t="str">
        <f>IF(F245&lt;6,"Night",IF(F245&lt;12,"Morning",IF(F245&lt;18,"Afternoon","Evening")))</f>
        <v>Afternoon</v>
      </c>
      <c r="H245">
        <v>0</v>
      </c>
      <c r="I245">
        <v>2</v>
      </c>
      <c r="J245" t="str">
        <f>CHOOSE(I245+1,"Monday","Tuesday","Wednesday","Thursday","Friday","Saturday","Sunday")</f>
        <v>Wednesday</v>
      </c>
      <c r="K245">
        <v>2</v>
      </c>
      <c r="L245" t="str">
        <f>CHOOSE(K245+1,"error","Clear","Misty","Rainy","Severe heater")</f>
        <v>Misty</v>
      </c>
      <c r="M245">
        <v>0.2</v>
      </c>
      <c r="N245" t="str">
        <f>IF(M245&lt;=0.2,"Low",IF(M245&lt;=0.4,"Mid","High"))</f>
        <v>Low</v>
      </c>
      <c r="O245">
        <v>0.2273</v>
      </c>
      <c r="P245" t="str">
        <f>IF(O245&lt;=0.15,"Very Cold",IF(O245&lt;=0.3,"Cold",IF(O245&lt;=0.45,"Pleasant","Hot")))</f>
        <v>Cold</v>
      </c>
      <c r="Q245">
        <v>0.51</v>
      </c>
      <c r="R245" t="str">
        <f>IF(Q245&lt;=0.25,"Low ",IF(Q245&lt;=0.5,"Moderate ",IF(Q245&lt;=0.75,"High ","Very High ")))</f>
        <v xml:space="preserve">High </v>
      </c>
      <c r="S245">
        <v>0.1045</v>
      </c>
      <c r="T245" t="str">
        <f>IF(S245&lt;=0.15,"Calm",IF(S245&lt;=0.3,"Light Wind",IF(S245&lt;=0.45,"Moderate Wind","Strong Wind")))</f>
        <v>Calm</v>
      </c>
      <c r="U245">
        <v>2</v>
      </c>
      <c r="V245">
        <v>55</v>
      </c>
      <c r="W245">
        <v>57</v>
      </c>
      <c r="X245" t="str">
        <f>IF(W245&lt;=75,"Low Demand",IF(W245&lt;=150,"Medium Demand",IF(W245&lt;=225,"High Demand","Very High Demand")))</f>
        <v>Low Demand</v>
      </c>
    </row>
    <row r="246" spans="1:24" x14ac:dyDescent="0.25">
      <c r="A246">
        <v>245</v>
      </c>
      <c r="B246" s="2">
        <v>40554</v>
      </c>
      <c r="C246">
        <v>1</v>
      </c>
      <c r="D246">
        <v>0</v>
      </c>
      <c r="E246">
        <v>1</v>
      </c>
      <c r="F246">
        <v>13</v>
      </c>
      <c r="G246" t="str">
        <f>IF(F246&lt;6,"Night",IF(F246&lt;12,"Morning",IF(F246&lt;18,"Afternoon","Evening")))</f>
        <v>Afternoon</v>
      </c>
      <c r="H246">
        <v>0</v>
      </c>
      <c r="I246">
        <v>2</v>
      </c>
      <c r="J246" t="str">
        <f>CHOOSE(I246+1,"Monday","Tuesday","Wednesday","Thursday","Friday","Saturday","Sunday")</f>
        <v>Wednesday</v>
      </c>
      <c r="K246">
        <v>2</v>
      </c>
      <c r="L246" t="str">
        <f>CHOOSE(K246+1,"error","Clear","Misty","Rainy","Severe heater")</f>
        <v>Misty</v>
      </c>
      <c r="M246">
        <v>0.2</v>
      </c>
      <c r="N246" t="str">
        <f>IF(M246&lt;=0.2,"Low",IF(M246&lt;=0.4,"Mid","High"))</f>
        <v>Low</v>
      </c>
      <c r="O246">
        <v>0.2273</v>
      </c>
      <c r="P246" t="str">
        <f>IF(O246&lt;=0.15,"Very Cold",IF(O246&lt;=0.3,"Cold",IF(O246&lt;=0.45,"Pleasant","Hot")))</f>
        <v>Cold</v>
      </c>
      <c r="Q246">
        <v>0.59</v>
      </c>
      <c r="R246" t="str">
        <f>IF(Q246&lt;=0.25,"Low ",IF(Q246&lt;=0.5,"Moderate ",IF(Q246&lt;=0.75,"High ","Very High ")))</f>
        <v xml:space="preserve">High </v>
      </c>
      <c r="S246">
        <v>8.9599999999999999E-2</v>
      </c>
      <c r="T246" t="str">
        <f>IF(S246&lt;=0.15,"Calm",IF(S246&lt;=0.3,"Light Wind",IF(S246&lt;=0.45,"Moderate Wind","Strong Wind")))</f>
        <v>Calm</v>
      </c>
      <c r="U246">
        <v>6</v>
      </c>
      <c r="V246">
        <v>46</v>
      </c>
      <c r="W246">
        <v>52</v>
      </c>
      <c r="X246" t="str">
        <f>IF(W246&lt;=75,"Low Demand",IF(W246&lt;=150,"Medium Demand",IF(W246&lt;=225,"High Demand","Very High Demand")))</f>
        <v>Low Demand</v>
      </c>
    </row>
    <row r="247" spans="1:24" x14ac:dyDescent="0.25">
      <c r="A247">
        <v>246</v>
      </c>
      <c r="B247" s="2">
        <v>40554</v>
      </c>
      <c r="C247">
        <v>1</v>
      </c>
      <c r="D247">
        <v>0</v>
      </c>
      <c r="E247">
        <v>1</v>
      </c>
      <c r="F247">
        <v>14</v>
      </c>
      <c r="G247" t="str">
        <f>IF(F247&lt;6,"Night",IF(F247&lt;12,"Morning",IF(F247&lt;18,"Afternoon","Evening")))</f>
        <v>Afternoon</v>
      </c>
      <c r="H247">
        <v>0</v>
      </c>
      <c r="I247">
        <v>2</v>
      </c>
      <c r="J247" t="str">
        <f>CHOOSE(I247+1,"Monday","Tuesday","Wednesday","Thursday","Friday","Saturday","Sunday")</f>
        <v>Wednesday</v>
      </c>
      <c r="K247">
        <v>2</v>
      </c>
      <c r="L247" t="str">
        <f>CHOOSE(K247+1,"error","Clear","Misty","Rainy","Severe heater")</f>
        <v>Misty</v>
      </c>
      <c r="M247">
        <v>0.2</v>
      </c>
      <c r="N247" t="str">
        <f>IF(M247&lt;=0.2,"Low",IF(M247&lt;=0.4,"Mid","High"))</f>
        <v>Low</v>
      </c>
      <c r="O247">
        <v>0.2273</v>
      </c>
      <c r="P247" t="str">
        <f>IF(O247&lt;=0.15,"Very Cold",IF(O247&lt;=0.3,"Cold",IF(O247&lt;=0.45,"Pleasant","Hot")))</f>
        <v>Cold</v>
      </c>
      <c r="Q247">
        <v>0.59</v>
      </c>
      <c r="R247" t="str">
        <f>IF(Q247&lt;=0.25,"Low ",IF(Q247&lt;=0.5,"Moderate ",IF(Q247&lt;=0.75,"High ","Very High ")))</f>
        <v xml:space="preserve">High </v>
      </c>
      <c r="S247">
        <v>8.9599999999999999E-2</v>
      </c>
      <c r="T247" t="str">
        <f>IF(S247&lt;=0.15,"Calm",IF(S247&lt;=0.3,"Light Wind",IF(S247&lt;=0.45,"Moderate Wind","Strong Wind")))</f>
        <v>Calm</v>
      </c>
      <c r="U247">
        <v>3</v>
      </c>
      <c r="V247">
        <v>60</v>
      </c>
      <c r="W247">
        <v>63</v>
      </c>
      <c r="X247" t="str">
        <f>IF(W247&lt;=75,"Low Demand",IF(W247&lt;=150,"Medium Demand",IF(W247&lt;=225,"High Demand","Very High Demand")))</f>
        <v>Low Demand</v>
      </c>
    </row>
    <row r="248" spans="1:24" x14ac:dyDescent="0.25">
      <c r="A248">
        <v>247</v>
      </c>
      <c r="B248" s="2">
        <v>40554</v>
      </c>
      <c r="C248">
        <v>1</v>
      </c>
      <c r="D248">
        <v>0</v>
      </c>
      <c r="E248">
        <v>1</v>
      </c>
      <c r="F248">
        <v>15</v>
      </c>
      <c r="G248" t="str">
        <f>IF(F248&lt;6,"Night",IF(F248&lt;12,"Morning",IF(F248&lt;18,"Afternoon","Evening")))</f>
        <v>Afternoon</v>
      </c>
      <c r="H248">
        <v>0</v>
      </c>
      <c r="I248">
        <v>2</v>
      </c>
      <c r="J248" t="str">
        <f>CHOOSE(I248+1,"Monday","Tuesday","Wednesday","Thursday","Friday","Saturday","Sunday")</f>
        <v>Wednesday</v>
      </c>
      <c r="K248">
        <v>2</v>
      </c>
      <c r="L248" t="str">
        <f>CHOOSE(K248+1,"error","Clear","Misty","Rainy","Severe heater")</f>
        <v>Misty</v>
      </c>
      <c r="M248">
        <v>0.16</v>
      </c>
      <c r="N248" t="str">
        <f>IF(M248&lt;=0.2,"Low",IF(M248&lt;=0.4,"Mid","High"))</f>
        <v>Low</v>
      </c>
      <c r="O248">
        <v>0.19700000000000001</v>
      </c>
      <c r="P248" t="str">
        <f>IF(O248&lt;=0.15,"Very Cold",IF(O248&lt;=0.3,"Cold",IF(O248&lt;=0.45,"Pleasant","Hot")))</f>
        <v>Cold</v>
      </c>
      <c r="Q248">
        <v>0.8</v>
      </c>
      <c r="R248" t="str">
        <f>IF(Q248&lt;=0.25,"Low ",IF(Q248&lt;=0.5,"Moderate ",IF(Q248&lt;=0.75,"High ","Very High ")))</f>
        <v xml:space="preserve">Very High </v>
      </c>
      <c r="S248">
        <v>8.9599999999999999E-2</v>
      </c>
      <c r="T248" t="str">
        <f>IF(S248&lt;=0.15,"Calm",IF(S248&lt;=0.3,"Light Wind",IF(S248&lt;=0.45,"Moderate Wind","Strong Wind")))</f>
        <v>Calm</v>
      </c>
      <c r="U248">
        <v>2</v>
      </c>
      <c r="V248">
        <v>45</v>
      </c>
      <c r="W248">
        <v>47</v>
      </c>
      <c r="X248" t="str">
        <f>IF(W248&lt;=75,"Low Demand",IF(W248&lt;=150,"Medium Demand",IF(W248&lt;=225,"High Demand","Very High Demand")))</f>
        <v>Low Demand</v>
      </c>
    </row>
    <row r="249" spans="1:24" x14ac:dyDescent="0.25">
      <c r="A249">
        <v>248</v>
      </c>
      <c r="B249" s="2">
        <v>40554</v>
      </c>
      <c r="C249">
        <v>1</v>
      </c>
      <c r="D249">
        <v>0</v>
      </c>
      <c r="E249">
        <v>1</v>
      </c>
      <c r="F249">
        <v>16</v>
      </c>
      <c r="G249" t="str">
        <f>IF(F249&lt;6,"Night",IF(F249&lt;12,"Morning",IF(F249&lt;18,"Afternoon","Evening")))</f>
        <v>Afternoon</v>
      </c>
      <c r="H249">
        <v>0</v>
      </c>
      <c r="I249">
        <v>2</v>
      </c>
      <c r="J249" t="str">
        <f>CHOOSE(I249+1,"Monday","Tuesday","Wednesday","Thursday","Friday","Saturday","Sunday")</f>
        <v>Wednesday</v>
      </c>
      <c r="K249">
        <v>2</v>
      </c>
      <c r="L249" t="str">
        <f>CHOOSE(K249+1,"error","Clear","Misty","Rainy","Severe heater")</f>
        <v>Misty</v>
      </c>
      <c r="M249">
        <v>0.16</v>
      </c>
      <c r="N249" t="str">
        <f>IF(M249&lt;=0.2,"Low",IF(M249&lt;=0.4,"Mid","High"))</f>
        <v>Low</v>
      </c>
      <c r="O249">
        <v>0.1515</v>
      </c>
      <c r="P249" t="str">
        <f>IF(O249&lt;=0.15,"Very Cold",IF(O249&lt;=0.3,"Cold",IF(O249&lt;=0.45,"Pleasant","Hot")))</f>
        <v>Cold</v>
      </c>
      <c r="Q249">
        <v>0.86</v>
      </c>
      <c r="R249" t="str">
        <f>IF(Q249&lt;=0.25,"Low ",IF(Q249&lt;=0.5,"Moderate ",IF(Q249&lt;=0.75,"High ","Very High ")))</f>
        <v xml:space="preserve">Very High </v>
      </c>
      <c r="S249">
        <v>0.22389999999999999</v>
      </c>
      <c r="T249" t="str">
        <f>IF(S249&lt;=0.15,"Calm",IF(S249&lt;=0.3,"Light Wind",IF(S249&lt;=0.45,"Moderate Wind","Strong Wind")))</f>
        <v>Light Wind</v>
      </c>
      <c r="U249">
        <v>4</v>
      </c>
      <c r="V249">
        <v>72</v>
      </c>
      <c r="W249">
        <v>76</v>
      </c>
      <c r="X249" t="str">
        <f>IF(W249&lt;=75,"Low Demand",IF(W249&lt;=150,"Medium Demand",IF(W249&lt;=225,"High Demand","Very High Demand")))</f>
        <v>Medium Demand</v>
      </c>
    </row>
    <row r="250" spans="1:24" x14ac:dyDescent="0.25">
      <c r="A250">
        <v>249</v>
      </c>
      <c r="B250" s="2">
        <v>40554</v>
      </c>
      <c r="C250">
        <v>1</v>
      </c>
      <c r="D250">
        <v>0</v>
      </c>
      <c r="E250">
        <v>1</v>
      </c>
      <c r="F250">
        <v>17</v>
      </c>
      <c r="G250" t="str">
        <f>IF(F250&lt;6,"Night",IF(F250&lt;12,"Morning",IF(F250&lt;18,"Afternoon","Evening")))</f>
        <v>Afternoon</v>
      </c>
      <c r="H250">
        <v>0</v>
      </c>
      <c r="I250">
        <v>2</v>
      </c>
      <c r="J250" t="str">
        <f>CHOOSE(I250+1,"Monday","Tuesday","Wednesday","Thursday","Friday","Saturday","Sunday")</f>
        <v>Wednesday</v>
      </c>
      <c r="K250">
        <v>2</v>
      </c>
      <c r="L250" t="str">
        <f>CHOOSE(K250+1,"error","Clear","Misty","Rainy","Severe heater")</f>
        <v>Misty</v>
      </c>
      <c r="M250">
        <v>0.16</v>
      </c>
      <c r="N250" t="str">
        <f>IF(M250&lt;=0.2,"Low",IF(M250&lt;=0.4,"Mid","High"))</f>
        <v>Low</v>
      </c>
      <c r="O250">
        <v>0.1515</v>
      </c>
      <c r="P250" t="str">
        <f>IF(O250&lt;=0.15,"Very Cold",IF(O250&lt;=0.3,"Cold",IF(O250&lt;=0.45,"Pleasant","Hot")))</f>
        <v>Cold</v>
      </c>
      <c r="Q250">
        <v>0.86</v>
      </c>
      <c r="R250" t="str">
        <f>IF(Q250&lt;=0.25,"Low ",IF(Q250&lt;=0.5,"Moderate ",IF(Q250&lt;=0.75,"High ","Very High ")))</f>
        <v xml:space="preserve">Very High </v>
      </c>
      <c r="S250">
        <v>0.22389999999999999</v>
      </c>
      <c r="T250" t="str">
        <f>IF(S250&lt;=0.15,"Calm",IF(S250&lt;=0.3,"Light Wind",IF(S250&lt;=0.45,"Moderate Wind","Strong Wind")))</f>
        <v>Light Wind</v>
      </c>
      <c r="U250">
        <v>6</v>
      </c>
      <c r="V250">
        <v>130</v>
      </c>
      <c r="W250">
        <v>136</v>
      </c>
      <c r="X250" t="str">
        <f>IF(W250&lt;=75,"Low Demand",IF(W250&lt;=150,"Medium Demand",IF(W250&lt;=225,"High Demand","Very High Demand")))</f>
        <v>Medium Demand</v>
      </c>
    </row>
    <row r="251" spans="1:24" x14ac:dyDescent="0.25">
      <c r="A251">
        <v>250</v>
      </c>
      <c r="B251" s="2">
        <v>40554</v>
      </c>
      <c r="C251">
        <v>1</v>
      </c>
      <c r="D251">
        <v>0</v>
      </c>
      <c r="E251">
        <v>1</v>
      </c>
      <c r="F251">
        <v>18</v>
      </c>
      <c r="G251" t="str">
        <f>IF(F251&lt;6,"Night",IF(F251&lt;12,"Morning",IF(F251&lt;18,"Afternoon","Evening")))</f>
        <v>Evening</v>
      </c>
      <c r="H251">
        <v>0</v>
      </c>
      <c r="I251">
        <v>2</v>
      </c>
      <c r="J251" t="str">
        <f>CHOOSE(I251+1,"Monday","Tuesday","Wednesday","Thursday","Friday","Saturday","Sunday")</f>
        <v>Wednesday</v>
      </c>
      <c r="K251">
        <v>3</v>
      </c>
      <c r="L251" t="str">
        <f>CHOOSE(K251+1,"error","Clear","Misty","Rainy","Severe heater")</f>
        <v>Rainy</v>
      </c>
      <c r="M251">
        <v>0.16</v>
      </c>
      <c r="N251" t="str">
        <f>IF(M251&lt;=0.2,"Low",IF(M251&lt;=0.4,"Mid","High"))</f>
        <v>Low</v>
      </c>
      <c r="O251">
        <v>0.18179999999999999</v>
      </c>
      <c r="P251" t="str">
        <f>IF(O251&lt;=0.15,"Very Cold",IF(O251&lt;=0.3,"Cold",IF(O251&lt;=0.45,"Pleasant","Hot")))</f>
        <v>Cold</v>
      </c>
      <c r="Q251">
        <v>0.93</v>
      </c>
      <c r="R251" t="str">
        <f>IF(Q251&lt;=0.25,"Low ",IF(Q251&lt;=0.5,"Moderate ",IF(Q251&lt;=0.75,"High ","Very High ")))</f>
        <v xml:space="preserve">Very High </v>
      </c>
      <c r="S251">
        <v>0.1045</v>
      </c>
      <c r="T251" t="str">
        <f>IF(S251&lt;=0.15,"Calm",IF(S251&lt;=0.3,"Light Wind",IF(S251&lt;=0.45,"Moderate Wind","Strong Wind")))</f>
        <v>Calm</v>
      </c>
      <c r="U251">
        <v>1</v>
      </c>
      <c r="V251">
        <v>94</v>
      </c>
      <c r="W251">
        <v>95</v>
      </c>
      <c r="X251" t="str">
        <f>IF(W251&lt;=75,"Low Demand",IF(W251&lt;=150,"Medium Demand",IF(W251&lt;=225,"High Demand","Very High Demand")))</f>
        <v>Medium Demand</v>
      </c>
    </row>
    <row r="252" spans="1:24" x14ac:dyDescent="0.25">
      <c r="A252">
        <v>251</v>
      </c>
      <c r="B252" s="2">
        <v>40554</v>
      </c>
      <c r="C252">
        <v>1</v>
      </c>
      <c r="D252">
        <v>0</v>
      </c>
      <c r="E252">
        <v>1</v>
      </c>
      <c r="F252">
        <v>19</v>
      </c>
      <c r="G252" t="str">
        <f>IF(F252&lt;6,"Night",IF(F252&lt;12,"Morning",IF(F252&lt;18,"Afternoon","Evening")))</f>
        <v>Evening</v>
      </c>
      <c r="H252">
        <v>0</v>
      </c>
      <c r="I252">
        <v>2</v>
      </c>
      <c r="J252" t="str">
        <f>CHOOSE(I252+1,"Monday","Tuesday","Wednesday","Thursday","Friday","Saturday","Sunday")</f>
        <v>Wednesday</v>
      </c>
      <c r="K252">
        <v>3</v>
      </c>
      <c r="L252" t="str">
        <f>CHOOSE(K252+1,"error","Clear","Misty","Rainy","Severe heater")</f>
        <v>Rainy</v>
      </c>
      <c r="M252">
        <v>0.16</v>
      </c>
      <c r="N252" t="str">
        <f>IF(M252&lt;=0.2,"Low",IF(M252&lt;=0.4,"Mid","High"))</f>
        <v>Low</v>
      </c>
      <c r="O252">
        <v>0.2273</v>
      </c>
      <c r="P252" t="str">
        <f>IF(O252&lt;=0.15,"Very Cold",IF(O252&lt;=0.3,"Cold",IF(O252&lt;=0.45,"Pleasant","Hot")))</f>
        <v>Cold</v>
      </c>
      <c r="Q252">
        <v>0.93</v>
      </c>
      <c r="R252" t="str">
        <f>IF(Q252&lt;=0.25,"Low ",IF(Q252&lt;=0.5,"Moderate ",IF(Q252&lt;=0.75,"High ","Very High ")))</f>
        <v xml:space="preserve">Very High </v>
      </c>
      <c r="S252">
        <v>0</v>
      </c>
      <c r="T252" t="str">
        <f>IF(S252&lt;=0.15,"Calm",IF(S252&lt;=0.3,"Light Wind",IF(S252&lt;=0.45,"Moderate Wind","Strong Wind")))</f>
        <v>Calm</v>
      </c>
      <c r="U252">
        <v>0</v>
      </c>
      <c r="V252">
        <v>51</v>
      </c>
      <c r="W252">
        <v>51</v>
      </c>
      <c r="X252" t="str">
        <f>IF(W252&lt;=75,"Low Demand",IF(W252&lt;=150,"Medium Demand",IF(W252&lt;=225,"High Demand","Very High Demand")))</f>
        <v>Low Demand</v>
      </c>
    </row>
    <row r="253" spans="1:24" x14ac:dyDescent="0.25">
      <c r="A253">
        <v>252</v>
      </c>
      <c r="B253" s="2">
        <v>40554</v>
      </c>
      <c r="C253">
        <v>1</v>
      </c>
      <c r="D253">
        <v>0</v>
      </c>
      <c r="E253">
        <v>1</v>
      </c>
      <c r="F253">
        <v>20</v>
      </c>
      <c r="G253" t="str">
        <f>IF(F253&lt;6,"Night",IF(F253&lt;12,"Morning",IF(F253&lt;18,"Afternoon","Evening")))</f>
        <v>Evening</v>
      </c>
      <c r="H253">
        <v>0</v>
      </c>
      <c r="I253">
        <v>2</v>
      </c>
      <c r="J253" t="str">
        <f>CHOOSE(I253+1,"Monday","Tuesday","Wednesday","Thursday","Friday","Saturday","Sunday")</f>
        <v>Wednesday</v>
      </c>
      <c r="K253">
        <v>3</v>
      </c>
      <c r="L253" t="str">
        <f>CHOOSE(K253+1,"error","Clear","Misty","Rainy","Severe heater")</f>
        <v>Rainy</v>
      </c>
      <c r="M253">
        <v>0.16</v>
      </c>
      <c r="N253" t="str">
        <f>IF(M253&lt;=0.2,"Low",IF(M253&lt;=0.4,"Mid","High"))</f>
        <v>Low</v>
      </c>
      <c r="O253">
        <v>0.1515</v>
      </c>
      <c r="P253" t="str">
        <f>IF(O253&lt;=0.15,"Very Cold",IF(O253&lt;=0.3,"Cold",IF(O253&lt;=0.45,"Pleasant","Hot")))</f>
        <v>Cold</v>
      </c>
      <c r="Q253">
        <v>0.93</v>
      </c>
      <c r="R253" t="str">
        <f>IF(Q253&lt;=0.25,"Low ",IF(Q253&lt;=0.5,"Moderate ",IF(Q253&lt;=0.75,"High ","Very High ")))</f>
        <v xml:space="preserve">Very High </v>
      </c>
      <c r="S253">
        <v>0.19400000000000001</v>
      </c>
      <c r="T253" t="str">
        <f>IF(S253&lt;=0.15,"Calm",IF(S253&lt;=0.3,"Light Wind",IF(S253&lt;=0.45,"Moderate Wind","Strong Wind")))</f>
        <v>Light Wind</v>
      </c>
      <c r="U253">
        <v>0</v>
      </c>
      <c r="V253">
        <v>32</v>
      </c>
      <c r="W253">
        <v>32</v>
      </c>
      <c r="X253" t="str">
        <f>IF(W253&lt;=75,"Low Demand",IF(W253&lt;=150,"Medium Demand",IF(W253&lt;=225,"High Demand","Very High Demand")))</f>
        <v>Low Demand</v>
      </c>
    </row>
    <row r="254" spans="1:24" x14ac:dyDescent="0.25">
      <c r="A254">
        <v>253</v>
      </c>
      <c r="B254" s="2">
        <v>40554</v>
      </c>
      <c r="C254">
        <v>1</v>
      </c>
      <c r="D254">
        <v>0</v>
      </c>
      <c r="E254">
        <v>1</v>
      </c>
      <c r="F254">
        <v>21</v>
      </c>
      <c r="G254" t="str">
        <f>IF(F254&lt;6,"Night",IF(F254&lt;12,"Morning",IF(F254&lt;18,"Afternoon","Evening")))</f>
        <v>Evening</v>
      </c>
      <c r="H254">
        <v>0</v>
      </c>
      <c r="I254">
        <v>2</v>
      </c>
      <c r="J254" t="str">
        <f>CHOOSE(I254+1,"Monday","Tuesday","Wednesday","Thursday","Friday","Saturday","Sunday")</f>
        <v>Wednesday</v>
      </c>
      <c r="K254">
        <v>3</v>
      </c>
      <c r="L254" t="str">
        <f>CHOOSE(K254+1,"error","Clear","Misty","Rainy","Severe heater")</f>
        <v>Rainy</v>
      </c>
      <c r="M254">
        <v>0.16</v>
      </c>
      <c r="N254" t="str">
        <f>IF(M254&lt;=0.2,"Low",IF(M254&lt;=0.4,"Mid","High"))</f>
        <v>Low</v>
      </c>
      <c r="O254">
        <v>0.19700000000000001</v>
      </c>
      <c r="P254" t="str">
        <f>IF(O254&lt;=0.15,"Very Cold",IF(O254&lt;=0.3,"Cold",IF(O254&lt;=0.45,"Pleasant","Hot")))</f>
        <v>Cold</v>
      </c>
      <c r="Q254">
        <v>0.86</v>
      </c>
      <c r="R254" t="str">
        <f>IF(Q254&lt;=0.25,"Low ",IF(Q254&lt;=0.5,"Moderate ",IF(Q254&lt;=0.75,"High ","Very High ")))</f>
        <v xml:space="preserve">Very High </v>
      </c>
      <c r="S254">
        <v>8.9599999999999999E-2</v>
      </c>
      <c r="T254" t="str">
        <f>IF(S254&lt;=0.15,"Calm",IF(S254&lt;=0.3,"Light Wind",IF(S254&lt;=0.45,"Moderate Wind","Strong Wind")))</f>
        <v>Calm</v>
      </c>
      <c r="U254">
        <v>0</v>
      </c>
      <c r="V254">
        <v>20</v>
      </c>
      <c r="W254">
        <v>20</v>
      </c>
      <c r="X254" t="str">
        <f>IF(W254&lt;=75,"Low Demand",IF(W254&lt;=150,"Medium Demand",IF(W254&lt;=225,"High Demand","Very High Demand")))</f>
        <v>Low Demand</v>
      </c>
    </row>
    <row r="255" spans="1:24" x14ac:dyDescent="0.25">
      <c r="A255">
        <v>254</v>
      </c>
      <c r="B255" s="2">
        <v>40554</v>
      </c>
      <c r="C255">
        <v>1</v>
      </c>
      <c r="D255">
        <v>0</v>
      </c>
      <c r="E255">
        <v>1</v>
      </c>
      <c r="F255">
        <v>22</v>
      </c>
      <c r="G255" t="str">
        <f>IF(F255&lt;6,"Night",IF(F255&lt;12,"Morning",IF(F255&lt;18,"Afternoon","Evening")))</f>
        <v>Evening</v>
      </c>
      <c r="H255">
        <v>0</v>
      </c>
      <c r="I255">
        <v>2</v>
      </c>
      <c r="J255" t="str">
        <f>CHOOSE(I255+1,"Monday","Tuesday","Wednesday","Thursday","Friday","Saturday","Sunday")</f>
        <v>Wednesday</v>
      </c>
      <c r="K255">
        <v>3</v>
      </c>
      <c r="L255" t="str">
        <f>CHOOSE(K255+1,"error","Clear","Misty","Rainy","Severe heater")</f>
        <v>Rainy</v>
      </c>
      <c r="M255">
        <v>0.16</v>
      </c>
      <c r="N255" t="str">
        <f>IF(M255&lt;=0.2,"Low",IF(M255&lt;=0.4,"Mid","High"))</f>
        <v>Low</v>
      </c>
      <c r="O255">
        <v>0.18179999999999999</v>
      </c>
      <c r="P255" t="str">
        <f>IF(O255&lt;=0.15,"Very Cold",IF(O255&lt;=0.3,"Cold",IF(O255&lt;=0.45,"Pleasant","Hot")))</f>
        <v>Cold</v>
      </c>
      <c r="Q255">
        <v>0.93</v>
      </c>
      <c r="R255" t="str">
        <f>IF(Q255&lt;=0.25,"Low ",IF(Q255&lt;=0.5,"Moderate ",IF(Q255&lt;=0.75,"High ","Very High ")))</f>
        <v xml:space="preserve">Very High </v>
      </c>
      <c r="S255">
        <v>0.1045</v>
      </c>
      <c r="T255" t="str">
        <f>IF(S255&lt;=0.15,"Calm",IF(S255&lt;=0.3,"Light Wind",IF(S255&lt;=0.45,"Moderate Wind","Strong Wind")))</f>
        <v>Calm</v>
      </c>
      <c r="U255">
        <v>1</v>
      </c>
      <c r="V255">
        <v>28</v>
      </c>
      <c r="W255">
        <v>29</v>
      </c>
      <c r="X255" t="str">
        <f>IF(W255&lt;=75,"Low Demand",IF(W255&lt;=150,"Medium Demand",IF(W255&lt;=225,"High Demand","Very High Demand")))</f>
        <v>Low Demand</v>
      </c>
    </row>
    <row r="256" spans="1:24" x14ac:dyDescent="0.25">
      <c r="A256">
        <v>255</v>
      </c>
      <c r="B256" s="2">
        <v>40554</v>
      </c>
      <c r="C256">
        <v>1</v>
      </c>
      <c r="D256">
        <v>0</v>
      </c>
      <c r="E256">
        <v>1</v>
      </c>
      <c r="F256">
        <v>23</v>
      </c>
      <c r="G256" t="str">
        <f>IF(F256&lt;6,"Night",IF(F256&lt;12,"Morning",IF(F256&lt;18,"Afternoon","Evening")))</f>
        <v>Evening</v>
      </c>
      <c r="H256">
        <v>0</v>
      </c>
      <c r="I256">
        <v>2</v>
      </c>
      <c r="J256" t="str">
        <f>CHOOSE(I256+1,"Monday","Tuesday","Wednesday","Thursday","Friday","Saturday","Sunday")</f>
        <v>Wednesday</v>
      </c>
      <c r="K256">
        <v>3</v>
      </c>
      <c r="L256" t="str">
        <f>CHOOSE(K256+1,"error","Clear","Misty","Rainy","Severe heater")</f>
        <v>Rainy</v>
      </c>
      <c r="M256">
        <v>0.16</v>
      </c>
      <c r="N256" t="str">
        <f>IF(M256&lt;=0.2,"Low",IF(M256&lt;=0.4,"Mid","High"))</f>
        <v>Low</v>
      </c>
      <c r="O256">
        <v>0.19700000000000001</v>
      </c>
      <c r="P256" t="str">
        <f>IF(O256&lt;=0.15,"Very Cold",IF(O256&lt;=0.3,"Cold",IF(O256&lt;=0.45,"Pleasant","Hot")))</f>
        <v>Cold</v>
      </c>
      <c r="Q256">
        <v>0.93</v>
      </c>
      <c r="R256" t="str">
        <f>IF(Q256&lt;=0.25,"Low ",IF(Q256&lt;=0.5,"Moderate ",IF(Q256&lt;=0.75,"High ","Very High ")))</f>
        <v xml:space="preserve">Very High </v>
      </c>
      <c r="S256">
        <v>8.9599999999999999E-2</v>
      </c>
      <c r="T256" t="str">
        <f>IF(S256&lt;=0.15,"Calm",IF(S256&lt;=0.3,"Light Wind",IF(S256&lt;=0.45,"Moderate Wind","Strong Wind")))</f>
        <v>Calm</v>
      </c>
      <c r="U256">
        <v>1</v>
      </c>
      <c r="V256">
        <v>18</v>
      </c>
      <c r="W256">
        <v>19</v>
      </c>
      <c r="X256" t="str">
        <f>IF(W256&lt;=75,"Low Demand",IF(W256&lt;=150,"Medium Demand",IF(W256&lt;=225,"High Demand","Very High Demand")))</f>
        <v>Low Demand</v>
      </c>
    </row>
    <row r="257" spans="1:24" x14ac:dyDescent="0.25">
      <c r="A257">
        <v>256</v>
      </c>
      <c r="B257" s="2">
        <v>40555</v>
      </c>
      <c r="C257">
        <v>1</v>
      </c>
      <c r="D257">
        <v>0</v>
      </c>
      <c r="E257">
        <v>1</v>
      </c>
      <c r="F257">
        <v>0</v>
      </c>
      <c r="G257" t="str">
        <f>IF(F257&lt;6,"Night",IF(F257&lt;12,"Morning",IF(F257&lt;18,"Afternoon","Evening")))</f>
        <v>Night</v>
      </c>
      <c r="H257">
        <v>0</v>
      </c>
      <c r="I257">
        <v>3</v>
      </c>
      <c r="J257" t="str">
        <f>CHOOSE(I257+1,"Monday","Tuesday","Wednesday","Thursday","Friday","Saturday","Sunday")</f>
        <v>Thursday</v>
      </c>
      <c r="K257">
        <v>2</v>
      </c>
      <c r="L257" t="str">
        <f>CHOOSE(K257+1,"error","Clear","Misty","Rainy","Severe heater")</f>
        <v>Misty</v>
      </c>
      <c r="M257">
        <v>0.16</v>
      </c>
      <c r="N257" t="str">
        <f>IF(M257&lt;=0.2,"Low",IF(M257&lt;=0.4,"Mid","High"))</f>
        <v>Low</v>
      </c>
      <c r="O257">
        <v>0.19700000000000001</v>
      </c>
      <c r="P257" t="str">
        <f>IF(O257&lt;=0.15,"Very Cold",IF(O257&lt;=0.3,"Cold",IF(O257&lt;=0.45,"Pleasant","Hot")))</f>
        <v>Cold</v>
      </c>
      <c r="Q257">
        <v>0.86</v>
      </c>
      <c r="R257" t="str">
        <f>IF(Q257&lt;=0.25,"Low ",IF(Q257&lt;=0.5,"Moderate ",IF(Q257&lt;=0.75,"High ","Very High ")))</f>
        <v xml:space="preserve">Very High </v>
      </c>
      <c r="S257">
        <v>8.9599999999999999E-2</v>
      </c>
      <c r="T257" t="str">
        <f>IF(S257&lt;=0.15,"Calm",IF(S257&lt;=0.3,"Light Wind",IF(S257&lt;=0.45,"Moderate Wind","Strong Wind")))</f>
        <v>Calm</v>
      </c>
      <c r="U257">
        <v>0</v>
      </c>
      <c r="V257">
        <v>7</v>
      </c>
      <c r="W257">
        <v>7</v>
      </c>
      <c r="X257" t="str">
        <f>IF(W257&lt;=75,"Low Demand",IF(W257&lt;=150,"Medium Demand",IF(W257&lt;=225,"High Demand","Very High Demand")))</f>
        <v>Low Demand</v>
      </c>
    </row>
    <row r="258" spans="1:24" x14ac:dyDescent="0.25">
      <c r="A258">
        <v>257</v>
      </c>
      <c r="B258" s="2">
        <v>40555</v>
      </c>
      <c r="C258">
        <v>1</v>
      </c>
      <c r="D258">
        <v>0</v>
      </c>
      <c r="E258">
        <v>1</v>
      </c>
      <c r="F258">
        <v>1</v>
      </c>
      <c r="G258" t="str">
        <f>IF(F258&lt;6,"Night",IF(F258&lt;12,"Morning",IF(F258&lt;18,"Afternoon","Evening")))</f>
        <v>Night</v>
      </c>
      <c r="H258">
        <v>0</v>
      </c>
      <c r="I258">
        <v>3</v>
      </c>
      <c r="J258" t="str">
        <f>CHOOSE(I258+1,"Monday","Tuesday","Wednesday","Thursday","Friday","Saturday","Sunday")</f>
        <v>Thursday</v>
      </c>
      <c r="K258">
        <v>2</v>
      </c>
      <c r="L258" t="str">
        <f>CHOOSE(K258+1,"error","Clear","Misty","Rainy","Severe heater")</f>
        <v>Misty</v>
      </c>
      <c r="M258">
        <v>0.16</v>
      </c>
      <c r="N258" t="str">
        <f>IF(M258&lt;=0.2,"Low",IF(M258&lt;=0.4,"Mid","High"))</f>
        <v>Low</v>
      </c>
      <c r="O258">
        <v>0.18179999999999999</v>
      </c>
      <c r="P258" t="str">
        <f>IF(O258&lt;=0.15,"Very Cold",IF(O258&lt;=0.3,"Cold",IF(O258&lt;=0.45,"Pleasant","Hot")))</f>
        <v>Cold</v>
      </c>
      <c r="Q258">
        <v>0.86</v>
      </c>
      <c r="R258" t="str">
        <f>IF(Q258&lt;=0.25,"Low ",IF(Q258&lt;=0.5,"Moderate ",IF(Q258&lt;=0.75,"High ","Very High ")))</f>
        <v xml:space="preserve">Very High </v>
      </c>
      <c r="S258">
        <v>0.1045</v>
      </c>
      <c r="T258" t="str">
        <f>IF(S258&lt;=0.15,"Calm",IF(S258&lt;=0.3,"Light Wind",IF(S258&lt;=0.45,"Moderate Wind","Strong Wind")))</f>
        <v>Calm</v>
      </c>
      <c r="U258">
        <v>0</v>
      </c>
      <c r="V258">
        <v>6</v>
      </c>
      <c r="W258">
        <v>6</v>
      </c>
      <c r="X258" t="str">
        <f>IF(W258&lt;=75,"Low Demand",IF(W258&lt;=150,"Medium Demand",IF(W258&lt;=225,"High Demand","Very High Demand")))</f>
        <v>Low Demand</v>
      </c>
    </row>
    <row r="259" spans="1:24" x14ac:dyDescent="0.25">
      <c r="A259">
        <v>258</v>
      </c>
      <c r="B259" s="2">
        <v>40555</v>
      </c>
      <c r="C259">
        <v>1</v>
      </c>
      <c r="D259">
        <v>0</v>
      </c>
      <c r="E259">
        <v>1</v>
      </c>
      <c r="F259">
        <v>2</v>
      </c>
      <c r="G259" t="str">
        <f>IF(F259&lt;6,"Night",IF(F259&lt;12,"Morning",IF(F259&lt;18,"Afternoon","Evening")))</f>
        <v>Night</v>
      </c>
      <c r="H259">
        <v>0</v>
      </c>
      <c r="I259">
        <v>3</v>
      </c>
      <c r="J259" t="str">
        <f>CHOOSE(I259+1,"Monday","Tuesday","Wednesday","Thursday","Friday","Saturday","Sunday")</f>
        <v>Thursday</v>
      </c>
      <c r="K259">
        <v>1</v>
      </c>
      <c r="L259" t="str">
        <f>CHOOSE(K259+1,"error","Clear","Misty","Rainy","Severe heater")</f>
        <v>Clear</v>
      </c>
      <c r="M259">
        <v>0.14000000000000001</v>
      </c>
      <c r="N259" t="str">
        <f>IF(M259&lt;=0.2,"Low",IF(M259&lt;=0.4,"Mid","High"))</f>
        <v>Low</v>
      </c>
      <c r="O259">
        <v>0.1515</v>
      </c>
      <c r="P259" t="str">
        <f>IF(O259&lt;=0.15,"Very Cold",IF(O259&lt;=0.3,"Cold",IF(O259&lt;=0.45,"Pleasant","Hot")))</f>
        <v>Cold</v>
      </c>
      <c r="Q259">
        <v>0.86</v>
      </c>
      <c r="R259" t="str">
        <f>IF(Q259&lt;=0.25,"Low ",IF(Q259&lt;=0.5,"Moderate ",IF(Q259&lt;=0.75,"High ","Very High ")))</f>
        <v xml:space="preserve">Very High </v>
      </c>
      <c r="S259">
        <v>0.1343</v>
      </c>
      <c r="T259" t="str">
        <f>IF(S259&lt;=0.15,"Calm",IF(S259&lt;=0.3,"Light Wind",IF(S259&lt;=0.45,"Moderate Wind","Strong Wind")))</f>
        <v>Calm</v>
      </c>
      <c r="U259">
        <v>0</v>
      </c>
      <c r="V259">
        <v>1</v>
      </c>
      <c r="W259">
        <v>1</v>
      </c>
      <c r="X259" t="str">
        <f>IF(W259&lt;=75,"Low Demand",IF(W259&lt;=150,"Medium Demand",IF(W259&lt;=225,"High Demand","Very High Demand")))</f>
        <v>Low Demand</v>
      </c>
    </row>
    <row r="260" spans="1:24" x14ac:dyDescent="0.25">
      <c r="A260">
        <v>259</v>
      </c>
      <c r="B260" s="2">
        <v>40555</v>
      </c>
      <c r="C260">
        <v>1</v>
      </c>
      <c r="D260">
        <v>0</v>
      </c>
      <c r="E260">
        <v>1</v>
      </c>
      <c r="F260">
        <v>5</v>
      </c>
      <c r="G260" t="str">
        <f>IF(F260&lt;6,"Night",IF(F260&lt;12,"Morning",IF(F260&lt;18,"Afternoon","Evening")))</f>
        <v>Night</v>
      </c>
      <c r="H260">
        <v>0</v>
      </c>
      <c r="I260">
        <v>3</v>
      </c>
      <c r="J260" t="str">
        <f>CHOOSE(I260+1,"Monday","Tuesday","Wednesday","Thursday","Friday","Saturday","Sunday")</f>
        <v>Thursday</v>
      </c>
      <c r="K260">
        <v>1</v>
      </c>
      <c r="L260" t="str">
        <f>CHOOSE(K260+1,"error","Clear","Misty","Rainy","Severe heater")</f>
        <v>Clear</v>
      </c>
      <c r="M260">
        <v>0.14000000000000001</v>
      </c>
      <c r="N260" t="str">
        <f>IF(M260&lt;=0.2,"Low",IF(M260&lt;=0.4,"Mid","High"))</f>
        <v>Low</v>
      </c>
      <c r="O260">
        <v>0.1515</v>
      </c>
      <c r="P260" t="str">
        <f>IF(O260&lt;=0.15,"Very Cold",IF(O260&lt;=0.3,"Cold",IF(O260&lt;=0.45,"Pleasant","Hot")))</f>
        <v>Cold</v>
      </c>
      <c r="Q260">
        <v>0.86</v>
      </c>
      <c r="R260" t="str">
        <f>IF(Q260&lt;=0.25,"Low ",IF(Q260&lt;=0.5,"Moderate ",IF(Q260&lt;=0.75,"High ","Very High ")))</f>
        <v xml:space="preserve">Very High </v>
      </c>
      <c r="S260">
        <v>0.16420000000000001</v>
      </c>
      <c r="T260" t="str">
        <f>IF(S260&lt;=0.15,"Calm",IF(S260&lt;=0.3,"Light Wind",IF(S260&lt;=0.45,"Moderate Wind","Strong Wind")))</f>
        <v>Light Wind</v>
      </c>
      <c r="U260">
        <v>0</v>
      </c>
      <c r="V260">
        <v>5</v>
      </c>
      <c r="W260">
        <v>5</v>
      </c>
      <c r="X260" t="str">
        <f>IF(W260&lt;=75,"Low Demand",IF(W260&lt;=150,"Medium Demand",IF(W260&lt;=225,"High Demand","Very High Demand")))</f>
        <v>Low Demand</v>
      </c>
    </row>
    <row r="261" spans="1:24" x14ac:dyDescent="0.25">
      <c r="A261">
        <v>260</v>
      </c>
      <c r="B261" s="2">
        <v>40555</v>
      </c>
      <c r="C261">
        <v>1</v>
      </c>
      <c r="D261">
        <v>0</v>
      </c>
      <c r="E261">
        <v>1</v>
      </c>
      <c r="F261">
        <v>6</v>
      </c>
      <c r="G261" t="str">
        <f>IF(F261&lt;6,"Night",IF(F261&lt;12,"Morning",IF(F261&lt;18,"Afternoon","Evening")))</f>
        <v>Morning</v>
      </c>
      <c r="H261">
        <v>0</v>
      </c>
      <c r="I261">
        <v>3</v>
      </c>
      <c r="J261" t="str">
        <f>CHOOSE(I261+1,"Monday","Tuesday","Wednesday","Thursday","Friday","Saturday","Sunday")</f>
        <v>Thursday</v>
      </c>
      <c r="K261">
        <v>1</v>
      </c>
      <c r="L261" t="str">
        <f>CHOOSE(K261+1,"error","Clear","Misty","Rainy","Severe heater")</f>
        <v>Clear</v>
      </c>
      <c r="M261">
        <v>0.12</v>
      </c>
      <c r="N261" t="str">
        <f>IF(M261&lt;=0.2,"Low",IF(M261&lt;=0.4,"Mid","High"))</f>
        <v>Low</v>
      </c>
      <c r="O261">
        <v>0.1515</v>
      </c>
      <c r="P261" t="str">
        <f>IF(O261&lt;=0.15,"Very Cold",IF(O261&lt;=0.3,"Cold",IF(O261&lt;=0.45,"Pleasant","Hot")))</f>
        <v>Cold</v>
      </c>
      <c r="Q261">
        <v>0.93</v>
      </c>
      <c r="R261" t="str">
        <f>IF(Q261&lt;=0.25,"Low ",IF(Q261&lt;=0.5,"Moderate ",IF(Q261&lt;=0.75,"High ","Very High ")))</f>
        <v xml:space="preserve">Very High </v>
      </c>
      <c r="S261">
        <v>0.1343</v>
      </c>
      <c r="T261" t="str">
        <f>IF(S261&lt;=0.15,"Calm",IF(S261&lt;=0.3,"Light Wind",IF(S261&lt;=0.45,"Moderate Wind","Strong Wind")))</f>
        <v>Calm</v>
      </c>
      <c r="U261">
        <v>0</v>
      </c>
      <c r="V261">
        <v>16</v>
      </c>
      <c r="W261">
        <v>16</v>
      </c>
      <c r="X261" t="str">
        <f>IF(W261&lt;=75,"Low Demand",IF(W261&lt;=150,"Medium Demand",IF(W261&lt;=225,"High Demand","Very High Demand")))</f>
        <v>Low Demand</v>
      </c>
    </row>
    <row r="262" spans="1:24" x14ac:dyDescent="0.25">
      <c r="A262">
        <v>261</v>
      </c>
      <c r="B262" s="2">
        <v>40555</v>
      </c>
      <c r="C262">
        <v>1</v>
      </c>
      <c r="D262">
        <v>0</v>
      </c>
      <c r="E262">
        <v>1</v>
      </c>
      <c r="F262">
        <v>7</v>
      </c>
      <c r="G262" t="str">
        <f>IF(F262&lt;6,"Night",IF(F262&lt;12,"Morning",IF(F262&lt;18,"Afternoon","Evening")))</f>
        <v>Morning</v>
      </c>
      <c r="H262">
        <v>0</v>
      </c>
      <c r="I262">
        <v>3</v>
      </c>
      <c r="J262" t="str">
        <f>CHOOSE(I262+1,"Monday","Tuesday","Wednesday","Thursday","Friday","Saturday","Sunday")</f>
        <v>Thursday</v>
      </c>
      <c r="K262">
        <v>1</v>
      </c>
      <c r="L262" t="str">
        <f>CHOOSE(K262+1,"error","Clear","Misty","Rainy","Severe heater")</f>
        <v>Clear</v>
      </c>
      <c r="M262">
        <v>0.14000000000000001</v>
      </c>
      <c r="N262" t="str">
        <f>IF(M262&lt;=0.2,"Low",IF(M262&lt;=0.4,"Mid","High"))</f>
        <v>Low</v>
      </c>
      <c r="O262">
        <v>0.1515</v>
      </c>
      <c r="P262" t="str">
        <f>IF(O262&lt;=0.15,"Very Cold",IF(O262&lt;=0.3,"Cold",IF(O262&lt;=0.45,"Pleasant","Hot")))</f>
        <v>Cold</v>
      </c>
      <c r="Q262">
        <v>0.69</v>
      </c>
      <c r="R262" t="str">
        <f>IF(Q262&lt;=0.25,"Low ",IF(Q262&lt;=0.5,"Moderate ",IF(Q262&lt;=0.75,"High ","Very High ")))</f>
        <v xml:space="preserve">High </v>
      </c>
      <c r="S262">
        <v>0.1343</v>
      </c>
      <c r="T262" t="str">
        <f>IF(S262&lt;=0.15,"Calm",IF(S262&lt;=0.3,"Light Wind",IF(S262&lt;=0.45,"Moderate Wind","Strong Wind")))</f>
        <v>Calm</v>
      </c>
      <c r="U262">
        <v>0</v>
      </c>
      <c r="V262">
        <v>54</v>
      </c>
      <c r="W262">
        <v>54</v>
      </c>
      <c r="X262" t="str">
        <f>IF(W262&lt;=75,"Low Demand",IF(W262&lt;=150,"Medium Demand",IF(W262&lt;=225,"High Demand","Very High Demand")))</f>
        <v>Low Demand</v>
      </c>
    </row>
    <row r="263" spans="1:24" x14ac:dyDescent="0.25">
      <c r="A263">
        <v>262</v>
      </c>
      <c r="B263" s="2">
        <v>40555</v>
      </c>
      <c r="C263">
        <v>1</v>
      </c>
      <c r="D263">
        <v>0</v>
      </c>
      <c r="E263">
        <v>1</v>
      </c>
      <c r="F263">
        <v>8</v>
      </c>
      <c r="G263" t="str">
        <f>IF(F263&lt;6,"Night",IF(F263&lt;12,"Morning",IF(F263&lt;18,"Afternoon","Evening")))</f>
        <v>Morning</v>
      </c>
      <c r="H263">
        <v>0</v>
      </c>
      <c r="I263">
        <v>3</v>
      </c>
      <c r="J263" t="str">
        <f>CHOOSE(I263+1,"Monday","Tuesday","Wednesday","Thursday","Friday","Saturday","Sunday")</f>
        <v>Thursday</v>
      </c>
      <c r="K263">
        <v>1</v>
      </c>
      <c r="L263" t="str">
        <f>CHOOSE(K263+1,"error","Clear","Misty","Rainy","Severe heater")</f>
        <v>Clear</v>
      </c>
      <c r="M263">
        <v>0.16</v>
      </c>
      <c r="N263" t="str">
        <f>IF(M263&lt;=0.2,"Low",IF(M263&lt;=0.4,"Mid","High"))</f>
        <v>Low</v>
      </c>
      <c r="O263">
        <v>0.16669999999999999</v>
      </c>
      <c r="P263" t="str">
        <f>IF(O263&lt;=0.15,"Very Cold",IF(O263&lt;=0.3,"Cold",IF(O263&lt;=0.45,"Pleasant","Hot")))</f>
        <v>Cold</v>
      </c>
      <c r="Q263">
        <v>0.59</v>
      </c>
      <c r="R263" t="str">
        <f>IF(Q263&lt;=0.25,"Low ",IF(Q263&lt;=0.5,"Moderate ",IF(Q263&lt;=0.75,"High ","Very High ")))</f>
        <v xml:space="preserve">High </v>
      </c>
      <c r="S263">
        <v>0.16420000000000001</v>
      </c>
      <c r="T263" t="str">
        <f>IF(S263&lt;=0.15,"Calm",IF(S263&lt;=0.3,"Light Wind",IF(S263&lt;=0.45,"Moderate Wind","Strong Wind")))</f>
        <v>Light Wind</v>
      </c>
      <c r="U263">
        <v>3</v>
      </c>
      <c r="V263">
        <v>125</v>
      </c>
      <c r="W263">
        <v>128</v>
      </c>
      <c r="X263" t="str">
        <f>IF(W263&lt;=75,"Low Demand",IF(W263&lt;=150,"Medium Demand",IF(W263&lt;=225,"High Demand","Very High Demand")))</f>
        <v>Medium Demand</v>
      </c>
    </row>
    <row r="264" spans="1:24" x14ac:dyDescent="0.25">
      <c r="A264">
        <v>263</v>
      </c>
      <c r="B264" s="2">
        <v>40555</v>
      </c>
      <c r="C264">
        <v>1</v>
      </c>
      <c r="D264">
        <v>0</v>
      </c>
      <c r="E264">
        <v>1</v>
      </c>
      <c r="F264">
        <v>9</v>
      </c>
      <c r="G264" t="str">
        <f>IF(F264&lt;6,"Night",IF(F264&lt;12,"Morning",IF(F264&lt;18,"Afternoon","Evening")))</f>
        <v>Morning</v>
      </c>
      <c r="H264">
        <v>0</v>
      </c>
      <c r="I264">
        <v>3</v>
      </c>
      <c r="J264" t="str">
        <f>CHOOSE(I264+1,"Monday","Tuesday","Wednesday","Thursday","Friday","Saturday","Sunday")</f>
        <v>Thursday</v>
      </c>
      <c r="K264">
        <v>1</v>
      </c>
      <c r="L264" t="str">
        <f>CHOOSE(K264+1,"error","Clear","Misty","Rainy","Severe heater")</f>
        <v>Clear</v>
      </c>
      <c r="M264">
        <v>0.16</v>
      </c>
      <c r="N264" t="str">
        <f>IF(M264&lt;=0.2,"Low",IF(M264&lt;=0.4,"Mid","High"))</f>
        <v>Low</v>
      </c>
      <c r="O264">
        <v>0.13639999999999999</v>
      </c>
      <c r="P264" t="str">
        <f>IF(O264&lt;=0.15,"Very Cold",IF(O264&lt;=0.3,"Cold",IF(O264&lt;=0.45,"Pleasant","Hot")))</f>
        <v>Very Cold</v>
      </c>
      <c r="Q264">
        <v>0.59</v>
      </c>
      <c r="R264" t="str">
        <f>IF(Q264&lt;=0.25,"Low ",IF(Q264&lt;=0.5,"Moderate ",IF(Q264&lt;=0.75,"High ","Very High ")))</f>
        <v xml:space="preserve">High </v>
      </c>
      <c r="S264">
        <v>0.32840000000000003</v>
      </c>
      <c r="T264" t="str">
        <f>IF(S264&lt;=0.15,"Calm",IF(S264&lt;=0.3,"Light Wind",IF(S264&lt;=0.45,"Moderate Wind","Strong Wind")))</f>
        <v>Moderate Wind</v>
      </c>
      <c r="U264">
        <v>3</v>
      </c>
      <c r="V264">
        <v>78</v>
      </c>
      <c r="W264">
        <v>81</v>
      </c>
      <c r="X264" t="str">
        <f>IF(W264&lt;=75,"Low Demand",IF(W264&lt;=150,"Medium Demand",IF(W264&lt;=225,"High Demand","Very High Demand")))</f>
        <v>Medium Demand</v>
      </c>
    </row>
    <row r="265" spans="1:24" x14ac:dyDescent="0.25">
      <c r="A265">
        <v>264</v>
      </c>
      <c r="B265" s="2">
        <v>40555</v>
      </c>
      <c r="C265">
        <v>1</v>
      </c>
      <c r="D265">
        <v>0</v>
      </c>
      <c r="E265">
        <v>1</v>
      </c>
      <c r="F265">
        <v>10</v>
      </c>
      <c r="G265" t="str">
        <f>IF(F265&lt;6,"Night",IF(F265&lt;12,"Morning",IF(F265&lt;18,"Afternoon","Evening")))</f>
        <v>Morning</v>
      </c>
      <c r="H265">
        <v>0</v>
      </c>
      <c r="I265">
        <v>3</v>
      </c>
      <c r="J265" t="str">
        <f>CHOOSE(I265+1,"Monday","Tuesday","Wednesday","Thursday","Friday","Saturday","Sunday")</f>
        <v>Thursday</v>
      </c>
      <c r="K265">
        <v>1</v>
      </c>
      <c r="L265" t="str">
        <f>CHOOSE(K265+1,"error","Clear","Misty","Rainy","Severe heater")</f>
        <v>Clear</v>
      </c>
      <c r="M265">
        <v>0.18</v>
      </c>
      <c r="N265" t="str">
        <f>IF(M265&lt;=0.2,"Low",IF(M265&lt;=0.4,"Mid","High"))</f>
        <v>Low</v>
      </c>
      <c r="O265">
        <v>0.18179999999999999</v>
      </c>
      <c r="P265" t="str">
        <f>IF(O265&lt;=0.15,"Very Cold",IF(O265&lt;=0.3,"Cold",IF(O265&lt;=0.45,"Pleasant","Hot")))</f>
        <v>Cold</v>
      </c>
      <c r="Q265">
        <v>0.55000000000000004</v>
      </c>
      <c r="R265" t="str">
        <f>IF(Q265&lt;=0.25,"Low ",IF(Q265&lt;=0.5,"Moderate ",IF(Q265&lt;=0.75,"High ","Very High ")))</f>
        <v xml:space="preserve">High </v>
      </c>
      <c r="S265">
        <v>0.22389999999999999</v>
      </c>
      <c r="T265" t="str">
        <f>IF(S265&lt;=0.15,"Calm",IF(S265&lt;=0.3,"Light Wind",IF(S265&lt;=0.45,"Moderate Wind","Strong Wind")))</f>
        <v>Light Wind</v>
      </c>
      <c r="U265">
        <v>0</v>
      </c>
      <c r="V265">
        <v>39</v>
      </c>
      <c r="W265">
        <v>39</v>
      </c>
      <c r="X265" t="str">
        <f>IF(W265&lt;=75,"Low Demand",IF(W265&lt;=150,"Medium Demand",IF(W265&lt;=225,"High Demand","Very High Demand")))</f>
        <v>Low Demand</v>
      </c>
    </row>
    <row r="266" spans="1:24" x14ac:dyDescent="0.25">
      <c r="A266">
        <v>265</v>
      </c>
      <c r="B266" s="2">
        <v>40555</v>
      </c>
      <c r="C266">
        <v>1</v>
      </c>
      <c r="D266">
        <v>0</v>
      </c>
      <c r="E266">
        <v>1</v>
      </c>
      <c r="F266">
        <v>11</v>
      </c>
      <c r="G266" t="str">
        <f>IF(F266&lt;6,"Night",IF(F266&lt;12,"Morning",IF(F266&lt;18,"Afternoon","Evening")))</f>
        <v>Morning</v>
      </c>
      <c r="H266">
        <v>0</v>
      </c>
      <c r="I266">
        <v>3</v>
      </c>
      <c r="J266" t="str">
        <f>CHOOSE(I266+1,"Monday","Tuesday","Wednesday","Thursday","Friday","Saturday","Sunday")</f>
        <v>Thursday</v>
      </c>
      <c r="K266">
        <v>1</v>
      </c>
      <c r="L266" t="str">
        <f>CHOOSE(K266+1,"error","Clear","Misty","Rainy","Severe heater")</f>
        <v>Clear</v>
      </c>
      <c r="M266">
        <v>0.2</v>
      </c>
      <c r="N266" t="str">
        <f>IF(M266&lt;=0.2,"Low",IF(M266&lt;=0.4,"Mid","High"))</f>
        <v>Low</v>
      </c>
      <c r="O266">
        <v>0.18179999999999999</v>
      </c>
      <c r="P266" t="str">
        <f>IF(O266&lt;=0.15,"Very Cold",IF(O266&lt;=0.3,"Cold",IF(O266&lt;=0.45,"Pleasant","Hot")))</f>
        <v>Cold</v>
      </c>
      <c r="Q266">
        <v>0.51</v>
      </c>
      <c r="R266" t="str">
        <f>IF(Q266&lt;=0.25,"Low ",IF(Q266&lt;=0.5,"Moderate ",IF(Q266&lt;=0.75,"High ","Very High ")))</f>
        <v xml:space="preserve">High </v>
      </c>
      <c r="S266">
        <v>0.3881</v>
      </c>
      <c r="T266" t="str">
        <f>IF(S266&lt;=0.15,"Calm",IF(S266&lt;=0.3,"Light Wind",IF(S266&lt;=0.45,"Moderate Wind","Strong Wind")))</f>
        <v>Moderate Wind</v>
      </c>
      <c r="U266">
        <v>3</v>
      </c>
      <c r="V266">
        <v>32</v>
      </c>
      <c r="W266">
        <v>35</v>
      </c>
      <c r="X266" t="str">
        <f>IF(W266&lt;=75,"Low Demand",IF(W266&lt;=150,"Medium Demand",IF(W266&lt;=225,"High Demand","Very High Demand")))</f>
        <v>Low Demand</v>
      </c>
    </row>
    <row r="267" spans="1:24" x14ac:dyDescent="0.25">
      <c r="A267">
        <v>266</v>
      </c>
      <c r="B267" s="2">
        <v>40555</v>
      </c>
      <c r="C267">
        <v>1</v>
      </c>
      <c r="D267">
        <v>0</v>
      </c>
      <c r="E267">
        <v>1</v>
      </c>
      <c r="F267">
        <v>12</v>
      </c>
      <c r="G267" t="str">
        <f>IF(F267&lt;6,"Night",IF(F267&lt;12,"Morning",IF(F267&lt;18,"Afternoon","Evening")))</f>
        <v>Afternoon</v>
      </c>
      <c r="H267">
        <v>0</v>
      </c>
      <c r="I267">
        <v>3</v>
      </c>
      <c r="J267" t="str">
        <f>CHOOSE(I267+1,"Monday","Tuesday","Wednesday","Thursday","Friday","Saturday","Sunday")</f>
        <v>Thursday</v>
      </c>
      <c r="K267">
        <v>1</v>
      </c>
      <c r="L267" t="str">
        <f>CHOOSE(K267+1,"error","Clear","Misty","Rainy","Severe heater")</f>
        <v>Clear</v>
      </c>
      <c r="M267">
        <v>0.2</v>
      </c>
      <c r="N267" t="str">
        <f>IF(M267&lt;=0.2,"Low",IF(M267&lt;=0.4,"Mid","High"))</f>
        <v>Low</v>
      </c>
      <c r="O267">
        <v>0.1515</v>
      </c>
      <c r="P267" t="str">
        <f>IF(O267&lt;=0.15,"Very Cold",IF(O267&lt;=0.3,"Cold",IF(O267&lt;=0.45,"Pleasant","Hot")))</f>
        <v>Cold</v>
      </c>
      <c r="Q267">
        <v>0.47</v>
      </c>
      <c r="R267" t="str">
        <f>IF(Q267&lt;=0.25,"Low ",IF(Q267&lt;=0.5,"Moderate ",IF(Q267&lt;=0.75,"High ","Very High ")))</f>
        <v xml:space="preserve">Moderate </v>
      </c>
      <c r="S267">
        <v>0.58209999999999995</v>
      </c>
      <c r="T267" t="str">
        <f>IF(S267&lt;=0.15,"Calm",IF(S267&lt;=0.3,"Light Wind",IF(S267&lt;=0.45,"Moderate Wind","Strong Wind")))</f>
        <v>Strong Wind</v>
      </c>
      <c r="U267">
        <v>3</v>
      </c>
      <c r="V267">
        <v>52</v>
      </c>
      <c r="W267">
        <v>55</v>
      </c>
      <c r="X267" t="str">
        <f>IF(W267&lt;=75,"Low Demand",IF(W267&lt;=150,"Medium Demand",IF(W267&lt;=225,"High Demand","Very High Demand")))</f>
        <v>Low Demand</v>
      </c>
    </row>
    <row r="268" spans="1:24" x14ac:dyDescent="0.25">
      <c r="A268">
        <v>267</v>
      </c>
      <c r="B268" s="2">
        <v>40555</v>
      </c>
      <c r="C268">
        <v>1</v>
      </c>
      <c r="D268">
        <v>0</v>
      </c>
      <c r="E268">
        <v>1</v>
      </c>
      <c r="F268">
        <v>13</v>
      </c>
      <c r="G268" t="str">
        <f>IF(F268&lt;6,"Night",IF(F268&lt;12,"Morning",IF(F268&lt;18,"Afternoon","Evening")))</f>
        <v>Afternoon</v>
      </c>
      <c r="H268">
        <v>0</v>
      </c>
      <c r="I268">
        <v>3</v>
      </c>
      <c r="J268" t="str">
        <f>CHOOSE(I268+1,"Monday","Tuesday","Wednesday","Thursday","Friday","Saturday","Sunday")</f>
        <v>Thursday</v>
      </c>
      <c r="K268">
        <v>1</v>
      </c>
      <c r="L268" t="str">
        <f>CHOOSE(K268+1,"error","Clear","Misty","Rainy","Severe heater")</f>
        <v>Clear</v>
      </c>
      <c r="M268">
        <v>0.22</v>
      </c>
      <c r="N268" t="str">
        <f>IF(M268&lt;=0.2,"Low",IF(M268&lt;=0.4,"Mid","High"))</f>
        <v>Mid</v>
      </c>
      <c r="O268">
        <v>0.19700000000000001</v>
      </c>
      <c r="P268" t="str">
        <f>IF(O268&lt;=0.15,"Very Cold",IF(O268&lt;=0.3,"Cold",IF(O268&lt;=0.45,"Pleasant","Hot")))</f>
        <v>Cold</v>
      </c>
      <c r="Q268">
        <v>0.44</v>
      </c>
      <c r="R268" t="str">
        <f>IF(Q268&lt;=0.25,"Low ",IF(Q268&lt;=0.5,"Moderate ",IF(Q268&lt;=0.75,"High ","Very High ")))</f>
        <v xml:space="preserve">Moderate </v>
      </c>
      <c r="S268">
        <v>0.35820000000000002</v>
      </c>
      <c r="T268" t="str">
        <f>IF(S268&lt;=0.15,"Calm",IF(S268&lt;=0.3,"Light Wind",IF(S268&lt;=0.45,"Moderate Wind","Strong Wind")))</f>
        <v>Moderate Wind</v>
      </c>
      <c r="U268">
        <v>0</v>
      </c>
      <c r="V268">
        <v>49</v>
      </c>
      <c r="W268">
        <v>49</v>
      </c>
      <c r="X268" t="str">
        <f>IF(W268&lt;=75,"Low Demand",IF(W268&lt;=150,"Medium Demand",IF(W268&lt;=225,"High Demand","Very High Demand")))</f>
        <v>Low Demand</v>
      </c>
    </row>
    <row r="269" spans="1:24" x14ac:dyDescent="0.25">
      <c r="A269">
        <v>268</v>
      </c>
      <c r="B269" s="2">
        <v>40555</v>
      </c>
      <c r="C269">
        <v>1</v>
      </c>
      <c r="D269">
        <v>0</v>
      </c>
      <c r="E269">
        <v>1</v>
      </c>
      <c r="F269">
        <v>14</v>
      </c>
      <c r="G269" t="str">
        <f>IF(F269&lt;6,"Night",IF(F269&lt;12,"Morning",IF(F269&lt;18,"Afternoon","Evening")))</f>
        <v>Afternoon</v>
      </c>
      <c r="H269">
        <v>0</v>
      </c>
      <c r="I269">
        <v>3</v>
      </c>
      <c r="J269" t="str">
        <f>CHOOSE(I269+1,"Monday","Tuesday","Wednesday","Thursday","Friday","Saturday","Sunday")</f>
        <v>Thursday</v>
      </c>
      <c r="K269">
        <v>1</v>
      </c>
      <c r="L269" t="str">
        <f>CHOOSE(K269+1,"error","Clear","Misty","Rainy","Severe heater")</f>
        <v>Clear</v>
      </c>
      <c r="M269">
        <v>0.2</v>
      </c>
      <c r="N269" t="str">
        <f>IF(M269&lt;=0.2,"Low",IF(M269&lt;=0.4,"Mid","High"))</f>
        <v>Low</v>
      </c>
      <c r="O269">
        <v>0.18179999999999999</v>
      </c>
      <c r="P269" t="str">
        <f>IF(O269&lt;=0.15,"Very Cold",IF(O269&lt;=0.3,"Cold",IF(O269&lt;=0.45,"Pleasant","Hot")))</f>
        <v>Cold</v>
      </c>
      <c r="Q269">
        <v>0.47</v>
      </c>
      <c r="R269" t="str">
        <f>IF(Q269&lt;=0.25,"Low ",IF(Q269&lt;=0.5,"Moderate ",IF(Q269&lt;=0.75,"High ","Very High ")))</f>
        <v xml:space="preserve">Moderate </v>
      </c>
      <c r="S269">
        <v>0.32840000000000003</v>
      </c>
      <c r="T269" t="str">
        <f>IF(S269&lt;=0.15,"Calm",IF(S269&lt;=0.3,"Light Wind",IF(S269&lt;=0.45,"Moderate Wind","Strong Wind")))</f>
        <v>Moderate Wind</v>
      </c>
      <c r="U269">
        <v>0</v>
      </c>
      <c r="V269">
        <v>44</v>
      </c>
      <c r="W269">
        <v>44</v>
      </c>
      <c r="X269" t="str">
        <f>IF(W269&lt;=75,"Low Demand",IF(W269&lt;=150,"Medium Demand",IF(W269&lt;=225,"High Demand","Very High Demand")))</f>
        <v>Low Demand</v>
      </c>
    </row>
    <row r="270" spans="1:24" x14ac:dyDescent="0.25">
      <c r="A270">
        <v>269</v>
      </c>
      <c r="B270" s="2">
        <v>40555</v>
      </c>
      <c r="C270">
        <v>1</v>
      </c>
      <c r="D270">
        <v>0</v>
      </c>
      <c r="E270">
        <v>1</v>
      </c>
      <c r="F270">
        <v>15</v>
      </c>
      <c r="G270" t="str">
        <f>IF(F270&lt;6,"Night",IF(F270&lt;12,"Morning",IF(F270&lt;18,"Afternoon","Evening")))</f>
        <v>Afternoon</v>
      </c>
      <c r="H270">
        <v>0</v>
      </c>
      <c r="I270">
        <v>3</v>
      </c>
      <c r="J270" t="str">
        <f>CHOOSE(I270+1,"Monday","Tuesday","Wednesday","Thursday","Friday","Saturday","Sunday")</f>
        <v>Thursday</v>
      </c>
      <c r="K270">
        <v>1</v>
      </c>
      <c r="L270" t="str">
        <f>CHOOSE(K270+1,"error","Clear","Misty","Rainy","Severe heater")</f>
        <v>Clear</v>
      </c>
      <c r="M270">
        <v>0.2</v>
      </c>
      <c r="N270" t="str">
        <f>IF(M270&lt;=0.2,"Low",IF(M270&lt;=0.4,"Mid","High"))</f>
        <v>Low</v>
      </c>
      <c r="O270">
        <v>0.16669999999999999</v>
      </c>
      <c r="P270" t="str">
        <f>IF(O270&lt;=0.15,"Very Cold",IF(O270&lt;=0.3,"Cold",IF(O270&lt;=0.45,"Pleasant","Hot")))</f>
        <v>Cold</v>
      </c>
      <c r="Q270">
        <v>0.47</v>
      </c>
      <c r="R270" t="str">
        <f>IF(Q270&lt;=0.25,"Low ",IF(Q270&lt;=0.5,"Moderate ",IF(Q270&lt;=0.75,"High ","Very High ")))</f>
        <v xml:space="preserve">Moderate </v>
      </c>
      <c r="S270">
        <v>0.41789999999999999</v>
      </c>
      <c r="T270" t="str">
        <f>IF(S270&lt;=0.15,"Calm",IF(S270&lt;=0.3,"Light Wind",IF(S270&lt;=0.45,"Moderate Wind","Strong Wind")))</f>
        <v>Moderate Wind</v>
      </c>
      <c r="U270">
        <v>1</v>
      </c>
      <c r="V270">
        <v>48</v>
      </c>
      <c r="W270">
        <v>49</v>
      </c>
      <c r="X270" t="str">
        <f>IF(W270&lt;=75,"Low Demand",IF(W270&lt;=150,"Medium Demand",IF(W270&lt;=225,"High Demand","Very High Demand")))</f>
        <v>Low Demand</v>
      </c>
    </row>
    <row r="271" spans="1:24" x14ac:dyDescent="0.25">
      <c r="A271">
        <v>270</v>
      </c>
      <c r="B271" s="2">
        <v>40555</v>
      </c>
      <c r="C271">
        <v>1</v>
      </c>
      <c r="D271">
        <v>0</v>
      </c>
      <c r="E271">
        <v>1</v>
      </c>
      <c r="F271">
        <v>16</v>
      </c>
      <c r="G271" t="str">
        <f>IF(F271&lt;6,"Night",IF(F271&lt;12,"Morning",IF(F271&lt;18,"Afternoon","Evening")))</f>
        <v>Afternoon</v>
      </c>
      <c r="H271">
        <v>0</v>
      </c>
      <c r="I271">
        <v>3</v>
      </c>
      <c r="J271" t="str">
        <f>CHOOSE(I271+1,"Monday","Tuesday","Wednesday","Thursday","Friday","Saturday","Sunday")</f>
        <v>Thursday</v>
      </c>
      <c r="K271">
        <v>1</v>
      </c>
      <c r="L271" t="str">
        <f>CHOOSE(K271+1,"error","Clear","Misty","Rainy","Severe heater")</f>
        <v>Clear</v>
      </c>
      <c r="M271">
        <v>0.22</v>
      </c>
      <c r="N271" t="str">
        <f>IF(M271&lt;=0.2,"Low",IF(M271&lt;=0.4,"Mid","High"))</f>
        <v>Mid</v>
      </c>
      <c r="O271">
        <v>0.19700000000000001</v>
      </c>
      <c r="P271" t="str">
        <f>IF(O271&lt;=0.15,"Very Cold",IF(O271&lt;=0.3,"Cold",IF(O271&lt;=0.45,"Pleasant","Hot")))</f>
        <v>Cold</v>
      </c>
      <c r="Q271">
        <v>0.44</v>
      </c>
      <c r="R271" t="str">
        <f>IF(Q271&lt;=0.25,"Low ",IF(Q271&lt;=0.5,"Moderate ",IF(Q271&lt;=0.75,"High ","Very High ")))</f>
        <v xml:space="preserve">Moderate </v>
      </c>
      <c r="S271">
        <v>0.32840000000000003</v>
      </c>
      <c r="T271" t="str">
        <f>IF(S271&lt;=0.15,"Calm",IF(S271&lt;=0.3,"Light Wind",IF(S271&lt;=0.45,"Moderate Wind","Strong Wind")))</f>
        <v>Moderate Wind</v>
      </c>
      <c r="U271">
        <v>5</v>
      </c>
      <c r="V271">
        <v>63</v>
      </c>
      <c r="W271">
        <v>68</v>
      </c>
      <c r="X271" t="str">
        <f>IF(W271&lt;=75,"Low Demand",IF(W271&lt;=150,"Medium Demand",IF(W271&lt;=225,"High Demand","Very High Demand")))</f>
        <v>Low Demand</v>
      </c>
    </row>
    <row r="272" spans="1:24" x14ac:dyDescent="0.25">
      <c r="A272">
        <v>271</v>
      </c>
      <c r="B272" s="2">
        <v>40555</v>
      </c>
      <c r="C272">
        <v>1</v>
      </c>
      <c r="D272">
        <v>0</v>
      </c>
      <c r="E272">
        <v>1</v>
      </c>
      <c r="F272">
        <v>17</v>
      </c>
      <c r="G272" t="str">
        <f>IF(F272&lt;6,"Night",IF(F272&lt;12,"Morning",IF(F272&lt;18,"Afternoon","Evening")))</f>
        <v>Afternoon</v>
      </c>
      <c r="H272">
        <v>0</v>
      </c>
      <c r="I272">
        <v>3</v>
      </c>
      <c r="J272" t="str">
        <f>CHOOSE(I272+1,"Monday","Tuesday","Wednesday","Thursday","Friday","Saturday","Sunday")</f>
        <v>Thursday</v>
      </c>
      <c r="K272">
        <v>1</v>
      </c>
      <c r="L272" t="str">
        <f>CHOOSE(K272+1,"error","Clear","Misty","Rainy","Severe heater")</f>
        <v>Clear</v>
      </c>
      <c r="M272">
        <v>0.2</v>
      </c>
      <c r="N272" t="str">
        <f>IF(M272&lt;=0.2,"Low",IF(M272&lt;=0.4,"Mid","High"))</f>
        <v>Low</v>
      </c>
      <c r="O272">
        <v>0.18179999999999999</v>
      </c>
      <c r="P272" t="str">
        <f>IF(O272&lt;=0.15,"Very Cold",IF(O272&lt;=0.3,"Cold",IF(O272&lt;=0.45,"Pleasant","Hot")))</f>
        <v>Cold</v>
      </c>
      <c r="Q272">
        <v>0.47</v>
      </c>
      <c r="R272" t="str">
        <f>IF(Q272&lt;=0.25,"Low ",IF(Q272&lt;=0.5,"Moderate ",IF(Q272&lt;=0.75,"High ","Very High ")))</f>
        <v xml:space="preserve">Moderate </v>
      </c>
      <c r="S272">
        <v>0.35820000000000002</v>
      </c>
      <c r="T272" t="str">
        <f>IF(S272&lt;=0.15,"Calm",IF(S272&lt;=0.3,"Light Wind",IF(S272&lt;=0.45,"Moderate Wind","Strong Wind")))</f>
        <v>Moderate Wind</v>
      </c>
      <c r="U272">
        <v>0</v>
      </c>
      <c r="V272">
        <v>139</v>
      </c>
      <c r="W272">
        <v>139</v>
      </c>
      <c r="X272" t="str">
        <f>IF(W272&lt;=75,"Low Demand",IF(W272&lt;=150,"Medium Demand",IF(W272&lt;=225,"High Demand","Very High Demand")))</f>
        <v>Medium Demand</v>
      </c>
    </row>
    <row r="273" spans="1:24" x14ac:dyDescent="0.25">
      <c r="A273">
        <v>272</v>
      </c>
      <c r="B273" s="2">
        <v>40555</v>
      </c>
      <c r="C273">
        <v>1</v>
      </c>
      <c r="D273">
        <v>0</v>
      </c>
      <c r="E273">
        <v>1</v>
      </c>
      <c r="F273">
        <v>18</v>
      </c>
      <c r="G273" t="str">
        <f>IF(F273&lt;6,"Night",IF(F273&lt;12,"Morning",IF(F273&lt;18,"Afternoon","Evening")))</f>
        <v>Evening</v>
      </c>
      <c r="H273">
        <v>0</v>
      </c>
      <c r="I273">
        <v>3</v>
      </c>
      <c r="J273" t="str">
        <f>CHOOSE(I273+1,"Monday","Tuesday","Wednesday","Thursday","Friday","Saturday","Sunday")</f>
        <v>Thursday</v>
      </c>
      <c r="K273">
        <v>1</v>
      </c>
      <c r="L273" t="str">
        <f>CHOOSE(K273+1,"error","Clear","Misty","Rainy","Severe heater")</f>
        <v>Clear</v>
      </c>
      <c r="M273">
        <v>0.2</v>
      </c>
      <c r="N273" t="str">
        <f>IF(M273&lt;=0.2,"Low",IF(M273&lt;=0.4,"Mid","High"))</f>
        <v>Low</v>
      </c>
      <c r="O273">
        <v>0.1515</v>
      </c>
      <c r="P273" t="str">
        <f>IF(O273&lt;=0.15,"Very Cold",IF(O273&lt;=0.3,"Cold",IF(O273&lt;=0.45,"Pleasant","Hot")))</f>
        <v>Cold</v>
      </c>
      <c r="Q273">
        <v>0.47</v>
      </c>
      <c r="R273" t="str">
        <f>IF(Q273&lt;=0.25,"Low ",IF(Q273&lt;=0.5,"Moderate ",IF(Q273&lt;=0.75,"High ","Very High ")))</f>
        <v xml:space="preserve">Moderate </v>
      </c>
      <c r="S273">
        <v>0.52239999999999998</v>
      </c>
      <c r="T273" t="str">
        <f>IF(S273&lt;=0.15,"Calm",IF(S273&lt;=0.3,"Light Wind",IF(S273&lt;=0.45,"Moderate Wind","Strong Wind")))</f>
        <v>Strong Wind</v>
      </c>
      <c r="U273">
        <v>2</v>
      </c>
      <c r="V273">
        <v>135</v>
      </c>
      <c r="W273">
        <v>137</v>
      </c>
      <c r="X273" t="str">
        <f>IF(W273&lt;=75,"Low Demand",IF(W273&lt;=150,"Medium Demand",IF(W273&lt;=225,"High Demand","Very High Demand")))</f>
        <v>Medium Demand</v>
      </c>
    </row>
    <row r="274" spans="1:24" x14ac:dyDescent="0.25">
      <c r="A274">
        <v>273</v>
      </c>
      <c r="B274" s="2">
        <v>40555</v>
      </c>
      <c r="C274">
        <v>1</v>
      </c>
      <c r="D274">
        <v>0</v>
      </c>
      <c r="E274">
        <v>1</v>
      </c>
      <c r="F274">
        <v>19</v>
      </c>
      <c r="G274" t="str">
        <f>IF(F274&lt;6,"Night",IF(F274&lt;12,"Morning",IF(F274&lt;18,"Afternoon","Evening")))</f>
        <v>Evening</v>
      </c>
      <c r="H274">
        <v>0</v>
      </c>
      <c r="I274">
        <v>3</v>
      </c>
      <c r="J274" t="str">
        <f>CHOOSE(I274+1,"Monday","Tuesday","Wednesday","Thursday","Friday","Saturday","Sunday")</f>
        <v>Thursday</v>
      </c>
      <c r="K274">
        <v>1</v>
      </c>
      <c r="L274" t="str">
        <f>CHOOSE(K274+1,"error","Clear","Misty","Rainy","Severe heater")</f>
        <v>Clear</v>
      </c>
      <c r="M274">
        <v>0.18</v>
      </c>
      <c r="N274" t="str">
        <f>IF(M274&lt;=0.2,"Low",IF(M274&lt;=0.4,"Mid","High"))</f>
        <v>Low</v>
      </c>
      <c r="O274">
        <v>0.1515</v>
      </c>
      <c r="P274" t="str">
        <f>IF(O274&lt;=0.15,"Very Cold",IF(O274&lt;=0.3,"Cold",IF(O274&lt;=0.45,"Pleasant","Hot")))</f>
        <v>Cold</v>
      </c>
      <c r="Q274">
        <v>0.47</v>
      </c>
      <c r="R274" t="str">
        <f>IF(Q274&lt;=0.25,"Low ",IF(Q274&lt;=0.5,"Moderate ",IF(Q274&lt;=0.75,"High ","Very High ")))</f>
        <v xml:space="preserve">Moderate </v>
      </c>
      <c r="S274">
        <v>0.41789999999999999</v>
      </c>
      <c r="T274" t="str">
        <f>IF(S274&lt;=0.15,"Calm",IF(S274&lt;=0.3,"Light Wind",IF(S274&lt;=0.45,"Moderate Wind","Strong Wind")))</f>
        <v>Moderate Wind</v>
      </c>
      <c r="U274">
        <v>1</v>
      </c>
      <c r="V274">
        <v>82</v>
      </c>
      <c r="W274">
        <v>83</v>
      </c>
      <c r="X274" t="str">
        <f>IF(W274&lt;=75,"Low Demand",IF(W274&lt;=150,"Medium Demand",IF(W274&lt;=225,"High Demand","Very High Demand")))</f>
        <v>Medium Demand</v>
      </c>
    </row>
    <row r="275" spans="1:24" x14ac:dyDescent="0.25">
      <c r="A275">
        <v>274</v>
      </c>
      <c r="B275" s="2">
        <v>40555</v>
      </c>
      <c r="C275">
        <v>1</v>
      </c>
      <c r="D275">
        <v>0</v>
      </c>
      <c r="E275">
        <v>1</v>
      </c>
      <c r="F275">
        <v>20</v>
      </c>
      <c r="G275" t="str">
        <f>IF(F275&lt;6,"Night",IF(F275&lt;12,"Morning",IF(F275&lt;18,"Afternoon","Evening")))</f>
        <v>Evening</v>
      </c>
      <c r="H275">
        <v>0</v>
      </c>
      <c r="I275">
        <v>3</v>
      </c>
      <c r="J275" t="str">
        <f>CHOOSE(I275+1,"Monday","Tuesday","Wednesday","Thursday","Friday","Saturday","Sunday")</f>
        <v>Thursday</v>
      </c>
      <c r="K275">
        <v>1</v>
      </c>
      <c r="L275" t="str">
        <f>CHOOSE(K275+1,"error","Clear","Misty","Rainy","Severe heater")</f>
        <v>Clear</v>
      </c>
      <c r="M275">
        <v>0.16</v>
      </c>
      <c r="N275" t="str">
        <f>IF(M275&lt;=0.2,"Low",IF(M275&lt;=0.4,"Mid","High"))</f>
        <v>Low</v>
      </c>
      <c r="O275">
        <v>0.13639999999999999</v>
      </c>
      <c r="P275" t="str">
        <f>IF(O275&lt;=0.15,"Very Cold",IF(O275&lt;=0.3,"Cold",IF(O275&lt;=0.45,"Pleasant","Hot")))</f>
        <v>Very Cold</v>
      </c>
      <c r="Q275">
        <v>0.5</v>
      </c>
      <c r="R275" t="str">
        <f>IF(Q275&lt;=0.25,"Low ",IF(Q275&lt;=0.5,"Moderate ",IF(Q275&lt;=0.75,"High ","Very High ")))</f>
        <v xml:space="preserve">Moderate </v>
      </c>
      <c r="S275">
        <v>0.32840000000000003</v>
      </c>
      <c r="T275" t="str">
        <f>IF(S275&lt;=0.15,"Calm",IF(S275&lt;=0.3,"Light Wind",IF(S275&lt;=0.45,"Moderate Wind","Strong Wind")))</f>
        <v>Moderate Wind</v>
      </c>
      <c r="U275">
        <v>2</v>
      </c>
      <c r="V275">
        <v>54</v>
      </c>
      <c r="W275">
        <v>56</v>
      </c>
      <c r="X275" t="str">
        <f>IF(W275&lt;=75,"Low Demand",IF(W275&lt;=150,"Medium Demand",IF(W275&lt;=225,"High Demand","Very High Demand")))</f>
        <v>Low Demand</v>
      </c>
    </row>
    <row r="276" spans="1:24" x14ac:dyDescent="0.25">
      <c r="A276">
        <v>275</v>
      </c>
      <c r="B276" s="2">
        <v>40555</v>
      </c>
      <c r="C276">
        <v>1</v>
      </c>
      <c r="D276">
        <v>0</v>
      </c>
      <c r="E276">
        <v>1</v>
      </c>
      <c r="F276">
        <v>21</v>
      </c>
      <c r="G276" t="str">
        <f>IF(F276&lt;6,"Night",IF(F276&lt;12,"Morning",IF(F276&lt;18,"Afternoon","Evening")))</f>
        <v>Evening</v>
      </c>
      <c r="H276">
        <v>0</v>
      </c>
      <c r="I276">
        <v>3</v>
      </c>
      <c r="J276" t="str">
        <f>CHOOSE(I276+1,"Monday","Tuesday","Wednesday","Thursday","Friday","Saturday","Sunday")</f>
        <v>Thursday</v>
      </c>
      <c r="K276">
        <v>1</v>
      </c>
      <c r="L276" t="str">
        <f>CHOOSE(K276+1,"error","Clear","Misty","Rainy","Severe heater")</f>
        <v>Clear</v>
      </c>
      <c r="M276">
        <v>0.16</v>
      </c>
      <c r="N276" t="str">
        <f>IF(M276&lt;=0.2,"Low",IF(M276&lt;=0.4,"Mid","High"))</f>
        <v>Low</v>
      </c>
      <c r="O276">
        <v>0.13639999999999999</v>
      </c>
      <c r="P276" t="str">
        <f>IF(O276&lt;=0.15,"Very Cold",IF(O276&lt;=0.3,"Cold",IF(O276&lt;=0.45,"Pleasant","Hot")))</f>
        <v>Very Cold</v>
      </c>
      <c r="Q276">
        <v>0.55000000000000004</v>
      </c>
      <c r="R276" t="str">
        <f>IF(Q276&lt;=0.25,"Low ",IF(Q276&lt;=0.5,"Moderate ",IF(Q276&lt;=0.75,"High ","Very High ")))</f>
        <v xml:space="preserve">High </v>
      </c>
      <c r="S276">
        <v>0.32840000000000003</v>
      </c>
      <c r="T276" t="str">
        <f>IF(S276&lt;=0.15,"Calm",IF(S276&lt;=0.3,"Light Wind",IF(S276&lt;=0.45,"Moderate Wind","Strong Wind")))</f>
        <v>Moderate Wind</v>
      </c>
      <c r="U276">
        <v>0</v>
      </c>
      <c r="V276">
        <v>57</v>
      </c>
      <c r="W276">
        <v>57</v>
      </c>
      <c r="X276" t="str">
        <f>IF(W276&lt;=75,"Low Demand",IF(W276&lt;=150,"Medium Demand",IF(W276&lt;=225,"High Demand","Very High Demand")))</f>
        <v>Low Demand</v>
      </c>
    </row>
    <row r="277" spans="1:24" x14ac:dyDescent="0.25">
      <c r="A277">
        <v>276</v>
      </c>
      <c r="B277" s="2">
        <v>40555</v>
      </c>
      <c r="C277">
        <v>1</v>
      </c>
      <c r="D277">
        <v>0</v>
      </c>
      <c r="E277">
        <v>1</v>
      </c>
      <c r="F277">
        <v>22</v>
      </c>
      <c r="G277" t="str">
        <f>IF(F277&lt;6,"Night",IF(F277&lt;12,"Morning",IF(F277&lt;18,"Afternoon","Evening")))</f>
        <v>Evening</v>
      </c>
      <c r="H277">
        <v>0</v>
      </c>
      <c r="I277">
        <v>3</v>
      </c>
      <c r="J277" t="str">
        <f>CHOOSE(I277+1,"Monday","Tuesday","Wednesday","Thursday","Friday","Saturday","Sunday")</f>
        <v>Thursday</v>
      </c>
      <c r="K277">
        <v>1</v>
      </c>
      <c r="L277" t="str">
        <f>CHOOSE(K277+1,"error","Clear","Misty","Rainy","Severe heater")</f>
        <v>Clear</v>
      </c>
      <c r="M277">
        <v>0.16</v>
      </c>
      <c r="N277" t="str">
        <f>IF(M277&lt;=0.2,"Low",IF(M277&lt;=0.4,"Mid","High"))</f>
        <v>Low</v>
      </c>
      <c r="O277">
        <v>0.1212</v>
      </c>
      <c r="P277" t="str">
        <f>IF(O277&lt;=0.15,"Very Cold",IF(O277&lt;=0.3,"Cold",IF(O277&lt;=0.45,"Pleasant","Hot")))</f>
        <v>Very Cold</v>
      </c>
      <c r="Q277">
        <v>0.55000000000000004</v>
      </c>
      <c r="R277" t="str">
        <f>IF(Q277&lt;=0.25,"Low ",IF(Q277&lt;=0.5,"Moderate ",IF(Q277&lt;=0.75,"High ","Very High ")))</f>
        <v xml:space="preserve">High </v>
      </c>
      <c r="S277">
        <v>0.44779999999999998</v>
      </c>
      <c r="T277" t="str">
        <f>IF(S277&lt;=0.15,"Calm",IF(S277&lt;=0.3,"Light Wind",IF(S277&lt;=0.45,"Moderate Wind","Strong Wind")))</f>
        <v>Moderate Wind</v>
      </c>
      <c r="U277">
        <v>1</v>
      </c>
      <c r="V277">
        <v>32</v>
      </c>
      <c r="W277">
        <v>33</v>
      </c>
      <c r="X277" t="str">
        <f>IF(W277&lt;=75,"Low Demand",IF(W277&lt;=150,"Medium Demand",IF(W277&lt;=225,"High Demand","Very High Demand")))</f>
        <v>Low Demand</v>
      </c>
    </row>
    <row r="278" spans="1:24" x14ac:dyDescent="0.25">
      <c r="A278">
        <v>277</v>
      </c>
      <c r="B278" s="2">
        <v>40555</v>
      </c>
      <c r="C278">
        <v>1</v>
      </c>
      <c r="D278">
        <v>0</v>
      </c>
      <c r="E278">
        <v>1</v>
      </c>
      <c r="F278">
        <v>23</v>
      </c>
      <c r="G278" t="str">
        <f>IF(F278&lt;6,"Night",IF(F278&lt;12,"Morning",IF(F278&lt;18,"Afternoon","Evening")))</f>
        <v>Evening</v>
      </c>
      <c r="H278">
        <v>0</v>
      </c>
      <c r="I278">
        <v>3</v>
      </c>
      <c r="J278" t="str">
        <f>CHOOSE(I278+1,"Monday","Tuesday","Wednesday","Thursday","Friday","Saturday","Sunday")</f>
        <v>Thursday</v>
      </c>
      <c r="K278">
        <v>1</v>
      </c>
      <c r="L278" t="str">
        <f>CHOOSE(K278+1,"error","Clear","Misty","Rainy","Severe heater")</f>
        <v>Clear</v>
      </c>
      <c r="M278">
        <v>0.14000000000000001</v>
      </c>
      <c r="N278" t="str">
        <f>IF(M278&lt;=0.2,"Low",IF(M278&lt;=0.4,"Mid","High"))</f>
        <v>Low</v>
      </c>
      <c r="O278">
        <v>0.1061</v>
      </c>
      <c r="P278" t="str">
        <f>IF(O278&lt;=0.15,"Very Cold",IF(O278&lt;=0.3,"Cold",IF(O278&lt;=0.45,"Pleasant","Hot")))</f>
        <v>Very Cold</v>
      </c>
      <c r="Q278">
        <v>0.59</v>
      </c>
      <c r="R278" t="str">
        <f>IF(Q278&lt;=0.25,"Low ",IF(Q278&lt;=0.5,"Moderate ",IF(Q278&lt;=0.75,"High ","Very High ")))</f>
        <v xml:space="preserve">High </v>
      </c>
      <c r="S278">
        <v>0.41789999999999999</v>
      </c>
      <c r="T278" t="str">
        <f>IF(S278&lt;=0.15,"Calm",IF(S278&lt;=0.3,"Light Wind",IF(S278&lt;=0.45,"Moderate Wind","Strong Wind")))</f>
        <v>Moderate Wind</v>
      </c>
      <c r="U278">
        <v>1</v>
      </c>
      <c r="V278">
        <v>19</v>
      </c>
      <c r="W278">
        <v>20</v>
      </c>
      <c r="X278" t="str">
        <f>IF(W278&lt;=75,"Low Demand",IF(W278&lt;=150,"Medium Demand",IF(W278&lt;=225,"High Demand","Very High Demand")))</f>
        <v>Low Demand</v>
      </c>
    </row>
    <row r="279" spans="1:24" x14ac:dyDescent="0.25">
      <c r="A279">
        <v>278</v>
      </c>
      <c r="B279" s="2">
        <v>40556</v>
      </c>
      <c r="C279">
        <v>1</v>
      </c>
      <c r="D279">
        <v>0</v>
      </c>
      <c r="E279">
        <v>1</v>
      </c>
      <c r="F279">
        <v>0</v>
      </c>
      <c r="G279" t="str">
        <f>IF(F279&lt;6,"Night",IF(F279&lt;12,"Morning",IF(F279&lt;18,"Afternoon","Evening")))</f>
        <v>Night</v>
      </c>
      <c r="H279">
        <v>0</v>
      </c>
      <c r="I279">
        <v>4</v>
      </c>
      <c r="J279" t="str">
        <f>CHOOSE(I279+1,"Monday","Tuesday","Wednesday","Thursday","Friday","Saturday","Sunday")</f>
        <v>Friday</v>
      </c>
      <c r="K279">
        <v>1</v>
      </c>
      <c r="L279" t="str">
        <f>CHOOSE(K279+1,"error","Clear","Misty","Rainy","Severe heater")</f>
        <v>Clear</v>
      </c>
      <c r="M279">
        <v>0.14000000000000001</v>
      </c>
      <c r="N279" t="str">
        <f>IF(M279&lt;=0.2,"Low",IF(M279&lt;=0.4,"Mid","High"))</f>
        <v>Low</v>
      </c>
      <c r="O279">
        <v>0.1212</v>
      </c>
      <c r="P279" t="str">
        <f>IF(O279&lt;=0.15,"Very Cold",IF(O279&lt;=0.3,"Cold",IF(O279&lt;=0.45,"Pleasant","Hot")))</f>
        <v>Very Cold</v>
      </c>
      <c r="Q279">
        <v>0.59</v>
      </c>
      <c r="R279" t="str">
        <f>IF(Q279&lt;=0.25,"Low ",IF(Q279&lt;=0.5,"Moderate ",IF(Q279&lt;=0.75,"High ","Very High ")))</f>
        <v xml:space="preserve">High </v>
      </c>
      <c r="S279">
        <v>0.28360000000000002</v>
      </c>
      <c r="T279" t="str">
        <f>IF(S279&lt;=0.15,"Calm",IF(S279&lt;=0.3,"Light Wind",IF(S279&lt;=0.45,"Moderate Wind","Strong Wind")))</f>
        <v>Light Wind</v>
      </c>
      <c r="U279">
        <v>1</v>
      </c>
      <c r="V279">
        <v>6</v>
      </c>
      <c r="W279">
        <v>7</v>
      </c>
      <c r="X279" t="str">
        <f>IF(W279&lt;=75,"Low Demand",IF(W279&lt;=150,"Medium Demand",IF(W279&lt;=225,"High Demand","Very High Demand")))</f>
        <v>Low Demand</v>
      </c>
    </row>
    <row r="280" spans="1:24" x14ac:dyDescent="0.25">
      <c r="A280">
        <v>279</v>
      </c>
      <c r="B280" s="2">
        <v>40556</v>
      </c>
      <c r="C280">
        <v>1</v>
      </c>
      <c r="D280">
        <v>0</v>
      </c>
      <c r="E280">
        <v>1</v>
      </c>
      <c r="F280">
        <v>1</v>
      </c>
      <c r="G280" t="str">
        <f>IF(F280&lt;6,"Night",IF(F280&lt;12,"Morning",IF(F280&lt;18,"Afternoon","Evening")))</f>
        <v>Night</v>
      </c>
      <c r="H280">
        <v>0</v>
      </c>
      <c r="I280">
        <v>4</v>
      </c>
      <c r="J280" t="str">
        <f>CHOOSE(I280+1,"Monday","Tuesday","Wednesday","Thursday","Friday","Saturday","Sunday")</f>
        <v>Friday</v>
      </c>
      <c r="K280">
        <v>1</v>
      </c>
      <c r="L280" t="str">
        <f>CHOOSE(K280+1,"error","Clear","Misty","Rainy","Severe heater")</f>
        <v>Clear</v>
      </c>
      <c r="M280">
        <v>0.14000000000000001</v>
      </c>
      <c r="N280" t="str">
        <f>IF(M280&lt;=0.2,"Low",IF(M280&lt;=0.4,"Mid","High"))</f>
        <v>Low</v>
      </c>
      <c r="O280">
        <v>0.1212</v>
      </c>
      <c r="P280" t="str">
        <f>IF(O280&lt;=0.15,"Very Cold",IF(O280&lt;=0.3,"Cold",IF(O280&lt;=0.45,"Pleasant","Hot")))</f>
        <v>Very Cold</v>
      </c>
      <c r="Q280">
        <v>0.5</v>
      </c>
      <c r="R280" t="str">
        <f>IF(Q280&lt;=0.25,"Low ",IF(Q280&lt;=0.5,"Moderate ",IF(Q280&lt;=0.75,"High ","Very High ")))</f>
        <v xml:space="preserve">Moderate </v>
      </c>
      <c r="S280">
        <v>0.28360000000000002</v>
      </c>
      <c r="T280" t="str">
        <f>IF(S280&lt;=0.15,"Calm",IF(S280&lt;=0.3,"Light Wind",IF(S280&lt;=0.45,"Moderate Wind","Strong Wind")))</f>
        <v>Light Wind</v>
      </c>
      <c r="U280">
        <v>0</v>
      </c>
      <c r="V280">
        <v>2</v>
      </c>
      <c r="W280">
        <v>2</v>
      </c>
      <c r="X280" t="str">
        <f>IF(W280&lt;=75,"Low Demand",IF(W280&lt;=150,"Medium Demand",IF(W280&lt;=225,"High Demand","Very High Demand")))</f>
        <v>Low Demand</v>
      </c>
    </row>
    <row r="281" spans="1:24" x14ac:dyDescent="0.25">
      <c r="A281">
        <v>280</v>
      </c>
      <c r="B281" s="2">
        <v>40556</v>
      </c>
      <c r="C281">
        <v>1</v>
      </c>
      <c r="D281">
        <v>0</v>
      </c>
      <c r="E281">
        <v>1</v>
      </c>
      <c r="F281">
        <v>2</v>
      </c>
      <c r="G281" t="str">
        <f>IF(F281&lt;6,"Night",IF(F281&lt;12,"Morning",IF(F281&lt;18,"Afternoon","Evening")))</f>
        <v>Night</v>
      </c>
      <c r="H281">
        <v>0</v>
      </c>
      <c r="I281">
        <v>4</v>
      </c>
      <c r="J281" t="str">
        <f>CHOOSE(I281+1,"Monday","Tuesday","Wednesday","Thursday","Friday","Saturday","Sunday")</f>
        <v>Friday</v>
      </c>
      <c r="K281">
        <v>1</v>
      </c>
      <c r="L281" t="str">
        <f>CHOOSE(K281+1,"error","Clear","Misty","Rainy","Severe heater")</f>
        <v>Clear</v>
      </c>
      <c r="M281">
        <v>0.14000000000000001</v>
      </c>
      <c r="N281" t="str">
        <f>IF(M281&lt;=0.2,"Low",IF(M281&lt;=0.4,"Mid","High"))</f>
        <v>Low</v>
      </c>
      <c r="O281">
        <v>0.1212</v>
      </c>
      <c r="P281" t="str">
        <f>IF(O281&lt;=0.15,"Very Cold",IF(O281&lt;=0.3,"Cold",IF(O281&lt;=0.45,"Pleasant","Hot")))</f>
        <v>Very Cold</v>
      </c>
      <c r="Q281">
        <v>0.5</v>
      </c>
      <c r="R281" t="str">
        <f>IF(Q281&lt;=0.25,"Low ",IF(Q281&lt;=0.5,"Moderate ",IF(Q281&lt;=0.75,"High ","Very High ")))</f>
        <v xml:space="preserve">Moderate </v>
      </c>
      <c r="S281">
        <v>0.35820000000000002</v>
      </c>
      <c r="T281" t="str">
        <f>IF(S281&lt;=0.15,"Calm",IF(S281&lt;=0.3,"Light Wind",IF(S281&lt;=0.45,"Moderate Wind","Strong Wind")))</f>
        <v>Moderate Wind</v>
      </c>
      <c r="U281">
        <v>0</v>
      </c>
      <c r="V281">
        <v>2</v>
      </c>
      <c r="W281">
        <v>2</v>
      </c>
      <c r="X281" t="str">
        <f>IF(W281&lt;=75,"Low Demand",IF(W281&lt;=150,"Medium Demand",IF(W281&lt;=225,"High Demand","Very High Demand")))</f>
        <v>Low Demand</v>
      </c>
    </row>
    <row r="282" spans="1:24" x14ac:dyDescent="0.25">
      <c r="A282">
        <v>281</v>
      </c>
      <c r="B282" s="2">
        <v>40556</v>
      </c>
      <c r="C282">
        <v>1</v>
      </c>
      <c r="D282">
        <v>0</v>
      </c>
      <c r="E282">
        <v>1</v>
      </c>
      <c r="F282">
        <v>3</v>
      </c>
      <c r="G282" t="str">
        <f>IF(F282&lt;6,"Night",IF(F282&lt;12,"Morning",IF(F282&lt;18,"Afternoon","Evening")))</f>
        <v>Night</v>
      </c>
      <c r="H282">
        <v>0</v>
      </c>
      <c r="I282">
        <v>4</v>
      </c>
      <c r="J282" t="str">
        <f>CHOOSE(I282+1,"Monday","Tuesday","Wednesday","Thursday","Friday","Saturday","Sunday")</f>
        <v>Friday</v>
      </c>
      <c r="K282">
        <v>1</v>
      </c>
      <c r="L282" t="str">
        <f>CHOOSE(K282+1,"error","Clear","Misty","Rainy","Severe heater")</f>
        <v>Clear</v>
      </c>
      <c r="M282">
        <v>0.14000000000000001</v>
      </c>
      <c r="N282" t="str">
        <f>IF(M282&lt;=0.2,"Low",IF(M282&lt;=0.4,"Mid","High"))</f>
        <v>Low</v>
      </c>
      <c r="O282">
        <v>0.1212</v>
      </c>
      <c r="P282" t="str">
        <f>IF(O282&lt;=0.15,"Very Cold",IF(O282&lt;=0.3,"Cold",IF(O282&lt;=0.45,"Pleasant","Hot")))</f>
        <v>Very Cold</v>
      </c>
      <c r="Q282">
        <v>0.5</v>
      </c>
      <c r="R282" t="str">
        <f>IF(Q282&lt;=0.25,"Low ",IF(Q282&lt;=0.5,"Moderate ",IF(Q282&lt;=0.75,"High ","Very High ")))</f>
        <v xml:space="preserve">Moderate </v>
      </c>
      <c r="S282">
        <v>0.32840000000000003</v>
      </c>
      <c r="T282" t="str">
        <f>IF(S282&lt;=0.15,"Calm",IF(S282&lt;=0.3,"Light Wind",IF(S282&lt;=0.45,"Moderate Wind","Strong Wind")))</f>
        <v>Moderate Wind</v>
      </c>
      <c r="U282">
        <v>0</v>
      </c>
      <c r="V282">
        <v>3</v>
      </c>
      <c r="W282">
        <v>3</v>
      </c>
      <c r="X282" t="str">
        <f>IF(W282&lt;=75,"Low Demand",IF(W282&lt;=150,"Medium Demand",IF(W282&lt;=225,"High Demand","Very High Demand")))</f>
        <v>Low Demand</v>
      </c>
    </row>
    <row r="283" spans="1:24" x14ac:dyDescent="0.25">
      <c r="A283">
        <v>282</v>
      </c>
      <c r="B283" s="2">
        <v>40556</v>
      </c>
      <c r="C283">
        <v>1</v>
      </c>
      <c r="D283">
        <v>0</v>
      </c>
      <c r="E283">
        <v>1</v>
      </c>
      <c r="F283">
        <v>4</v>
      </c>
      <c r="G283" t="str">
        <f>IF(F283&lt;6,"Night",IF(F283&lt;12,"Morning",IF(F283&lt;18,"Afternoon","Evening")))</f>
        <v>Night</v>
      </c>
      <c r="H283">
        <v>0</v>
      </c>
      <c r="I283">
        <v>4</v>
      </c>
      <c r="J283" t="str">
        <f>CHOOSE(I283+1,"Monday","Tuesday","Wednesday","Thursday","Friday","Saturday","Sunday")</f>
        <v>Friday</v>
      </c>
      <c r="K283">
        <v>1</v>
      </c>
      <c r="L283" t="str">
        <f>CHOOSE(K283+1,"error","Clear","Misty","Rainy","Severe heater")</f>
        <v>Clear</v>
      </c>
      <c r="M283">
        <v>0.14000000000000001</v>
      </c>
      <c r="N283" t="str">
        <f>IF(M283&lt;=0.2,"Low",IF(M283&lt;=0.4,"Mid","High"))</f>
        <v>Low</v>
      </c>
      <c r="O283">
        <v>0.1212</v>
      </c>
      <c r="P283" t="str">
        <f>IF(O283&lt;=0.15,"Very Cold",IF(O283&lt;=0.3,"Cold",IF(O283&lt;=0.45,"Pleasant","Hot")))</f>
        <v>Very Cold</v>
      </c>
      <c r="Q283">
        <v>0.5</v>
      </c>
      <c r="R283" t="str">
        <f>IF(Q283&lt;=0.25,"Low ",IF(Q283&lt;=0.5,"Moderate ",IF(Q283&lt;=0.75,"High ","Very High ")))</f>
        <v xml:space="preserve">Moderate </v>
      </c>
      <c r="S283">
        <v>0.25369999999999998</v>
      </c>
      <c r="T283" t="str">
        <f>IF(S283&lt;=0.15,"Calm",IF(S283&lt;=0.3,"Light Wind",IF(S283&lt;=0.45,"Moderate Wind","Strong Wind")))</f>
        <v>Light Wind</v>
      </c>
      <c r="U283">
        <v>0</v>
      </c>
      <c r="V283">
        <v>4</v>
      </c>
      <c r="W283">
        <v>4</v>
      </c>
      <c r="X283" t="str">
        <f>IF(W283&lt;=75,"Low Demand",IF(W283&lt;=150,"Medium Demand",IF(W283&lt;=225,"High Demand","Very High Demand")))</f>
        <v>Low Demand</v>
      </c>
    </row>
    <row r="284" spans="1:24" x14ac:dyDescent="0.25">
      <c r="A284">
        <v>283</v>
      </c>
      <c r="B284" s="2">
        <v>40556</v>
      </c>
      <c r="C284">
        <v>1</v>
      </c>
      <c r="D284">
        <v>0</v>
      </c>
      <c r="E284">
        <v>1</v>
      </c>
      <c r="F284">
        <v>5</v>
      </c>
      <c r="G284" t="str">
        <f>IF(F284&lt;6,"Night",IF(F284&lt;12,"Morning",IF(F284&lt;18,"Afternoon","Evening")))</f>
        <v>Night</v>
      </c>
      <c r="H284">
        <v>0</v>
      </c>
      <c r="I284">
        <v>4</v>
      </c>
      <c r="J284" t="str">
        <f>CHOOSE(I284+1,"Monday","Tuesday","Wednesday","Thursday","Friday","Saturday","Sunday")</f>
        <v>Friday</v>
      </c>
      <c r="K284">
        <v>1</v>
      </c>
      <c r="L284" t="str">
        <f>CHOOSE(K284+1,"error","Clear","Misty","Rainy","Severe heater")</f>
        <v>Clear</v>
      </c>
      <c r="M284">
        <v>0.14000000000000001</v>
      </c>
      <c r="N284" t="str">
        <f>IF(M284&lt;=0.2,"Low",IF(M284&lt;=0.4,"Mid","High"))</f>
        <v>Low</v>
      </c>
      <c r="O284">
        <v>0.1212</v>
      </c>
      <c r="P284" t="str">
        <f>IF(O284&lt;=0.15,"Very Cold",IF(O284&lt;=0.3,"Cold",IF(O284&lt;=0.45,"Pleasant","Hot")))</f>
        <v>Very Cold</v>
      </c>
      <c r="Q284">
        <v>0.5</v>
      </c>
      <c r="R284" t="str">
        <f>IF(Q284&lt;=0.25,"Low ",IF(Q284&lt;=0.5,"Moderate ",IF(Q284&lt;=0.75,"High ","Very High ")))</f>
        <v xml:space="preserve">Moderate </v>
      </c>
      <c r="S284">
        <v>0.29849999999999999</v>
      </c>
      <c r="T284" t="str">
        <f>IF(S284&lt;=0.15,"Calm",IF(S284&lt;=0.3,"Light Wind",IF(S284&lt;=0.45,"Moderate Wind","Strong Wind")))</f>
        <v>Light Wind</v>
      </c>
      <c r="U284">
        <v>0</v>
      </c>
      <c r="V284">
        <v>3</v>
      </c>
      <c r="W284">
        <v>3</v>
      </c>
      <c r="X284" t="str">
        <f>IF(W284&lt;=75,"Low Demand",IF(W284&lt;=150,"Medium Demand",IF(W284&lt;=225,"High Demand","Very High Demand")))</f>
        <v>Low Demand</v>
      </c>
    </row>
    <row r="285" spans="1:24" x14ac:dyDescent="0.25">
      <c r="A285">
        <v>284</v>
      </c>
      <c r="B285" s="2">
        <v>40556</v>
      </c>
      <c r="C285">
        <v>1</v>
      </c>
      <c r="D285">
        <v>0</v>
      </c>
      <c r="E285">
        <v>1</v>
      </c>
      <c r="F285">
        <v>6</v>
      </c>
      <c r="G285" t="str">
        <f>IF(F285&lt;6,"Night",IF(F285&lt;12,"Morning",IF(F285&lt;18,"Afternoon","Evening")))</f>
        <v>Morning</v>
      </c>
      <c r="H285">
        <v>0</v>
      </c>
      <c r="I285">
        <v>4</v>
      </c>
      <c r="J285" t="str">
        <f>CHOOSE(I285+1,"Monday","Tuesday","Wednesday","Thursday","Friday","Saturday","Sunday")</f>
        <v>Friday</v>
      </c>
      <c r="K285">
        <v>1</v>
      </c>
      <c r="L285" t="str">
        <f>CHOOSE(K285+1,"error","Clear","Misty","Rainy","Severe heater")</f>
        <v>Clear</v>
      </c>
      <c r="M285">
        <v>0.12</v>
      </c>
      <c r="N285" t="str">
        <f>IF(M285&lt;=0.2,"Low",IF(M285&lt;=0.4,"Mid","High"))</f>
        <v>Low</v>
      </c>
      <c r="O285">
        <v>0.1515</v>
      </c>
      <c r="P285" t="str">
        <f>IF(O285&lt;=0.15,"Very Cold",IF(O285&lt;=0.3,"Cold",IF(O285&lt;=0.45,"Pleasant","Hot")))</f>
        <v>Cold</v>
      </c>
      <c r="Q285">
        <v>0.54</v>
      </c>
      <c r="R285" t="str">
        <f>IF(Q285&lt;=0.25,"Low ",IF(Q285&lt;=0.5,"Moderate ",IF(Q285&lt;=0.75,"High ","Very High ")))</f>
        <v xml:space="preserve">High </v>
      </c>
      <c r="S285">
        <v>0.1343</v>
      </c>
      <c r="T285" t="str">
        <f>IF(S285&lt;=0.15,"Calm",IF(S285&lt;=0.3,"Light Wind",IF(S285&lt;=0.45,"Moderate Wind","Strong Wind")))</f>
        <v>Calm</v>
      </c>
      <c r="U285">
        <v>0</v>
      </c>
      <c r="V285">
        <v>28</v>
      </c>
      <c r="W285">
        <v>28</v>
      </c>
      <c r="X285" t="str">
        <f>IF(W285&lt;=75,"Low Demand",IF(W285&lt;=150,"Medium Demand",IF(W285&lt;=225,"High Demand","Very High Demand")))</f>
        <v>Low Demand</v>
      </c>
    </row>
    <row r="286" spans="1:24" x14ac:dyDescent="0.25">
      <c r="A286">
        <v>285</v>
      </c>
      <c r="B286" s="2">
        <v>40556</v>
      </c>
      <c r="C286">
        <v>1</v>
      </c>
      <c r="D286">
        <v>0</v>
      </c>
      <c r="E286">
        <v>1</v>
      </c>
      <c r="F286">
        <v>7</v>
      </c>
      <c r="G286" t="str">
        <f>IF(F286&lt;6,"Night",IF(F286&lt;12,"Morning",IF(F286&lt;18,"Afternoon","Evening")))</f>
        <v>Morning</v>
      </c>
      <c r="H286">
        <v>0</v>
      </c>
      <c r="I286">
        <v>4</v>
      </c>
      <c r="J286" t="str">
        <f>CHOOSE(I286+1,"Monday","Tuesday","Wednesday","Thursday","Friday","Saturday","Sunday")</f>
        <v>Friday</v>
      </c>
      <c r="K286">
        <v>1</v>
      </c>
      <c r="L286" t="str">
        <f>CHOOSE(K286+1,"error","Clear","Misty","Rainy","Severe heater")</f>
        <v>Clear</v>
      </c>
      <c r="M286">
        <v>0.12</v>
      </c>
      <c r="N286" t="str">
        <f>IF(M286&lt;=0.2,"Low",IF(M286&lt;=0.4,"Mid","High"))</f>
        <v>Low</v>
      </c>
      <c r="O286">
        <v>0.1515</v>
      </c>
      <c r="P286" t="str">
        <f>IF(O286&lt;=0.15,"Very Cold",IF(O286&lt;=0.3,"Cold",IF(O286&lt;=0.45,"Pleasant","Hot")))</f>
        <v>Cold</v>
      </c>
      <c r="Q286">
        <v>0.54</v>
      </c>
      <c r="R286" t="str">
        <f>IF(Q286&lt;=0.25,"Low ",IF(Q286&lt;=0.5,"Moderate ",IF(Q286&lt;=0.75,"High ","Very High ")))</f>
        <v xml:space="preserve">High </v>
      </c>
      <c r="S286">
        <v>0.1343</v>
      </c>
      <c r="T286" t="str">
        <f>IF(S286&lt;=0.15,"Calm",IF(S286&lt;=0.3,"Light Wind",IF(S286&lt;=0.45,"Moderate Wind","Strong Wind")))</f>
        <v>Calm</v>
      </c>
      <c r="U286">
        <v>0</v>
      </c>
      <c r="V286">
        <v>72</v>
      </c>
      <c r="W286">
        <v>72</v>
      </c>
      <c r="X286" t="str">
        <f>IF(W286&lt;=75,"Low Demand",IF(W286&lt;=150,"Medium Demand",IF(W286&lt;=225,"High Demand","Very High Demand")))</f>
        <v>Low Demand</v>
      </c>
    </row>
    <row r="287" spans="1:24" x14ac:dyDescent="0.25">
      <c r="A287">
        <v>286</v>
      </c>
      <c r="B287" s="2">
        <v>40556</v>
      </c>
      <c r="C287">
        <v>1</v>
      </c>
      <c r="D287">
        <v>0</v>
      </c>
      <c r="E287">
        <v>1</v>
      </c>
      <c r="F287">
        <v>8</v>
      </c>
      <c r="G287" t="str">
        <f>IF(F287&lt;6,"Night",IF(F287&lt;12,"Morning",IF(F287&lt;18,"Afternoon","Evening")))</f>
        <v>Morning</v>
      </c>
      <c r="H287">
        <v>0</v>
      </c>
      <c r="I287">
        <v>4</v>
      </c>
      <c r="J287" t="str">
        <f>CHOOSE(I287+1,"Monday","Tuesday","Wednesday","Thursday","Friday","Saturday","Sunday")</f>
        <v>Friday</v>
      </c>
      <c r="K287">
        <v>1</v>
      </c>
      <c r="L287" t="str">
        <f>CHOOSE(K287+1,"error","Clear","Misty","Rainy","Severe heater")</f>
        <v>Clear</v>
      </c>
      <c r="M287">
        <v>0.14000000000000001</v>
      </c>
      <c r="N287" t="str">
        <f>IF(M287&lt;=0.2,"Low",IF(M287&lt;=0.4,"Mid","High"))</f>
        <v>Low</v>
      </c>
      <c r="O287">
        <v>0.13639999999999999</v>
      </c>
      <c r="P287" t="str">
        <f>IF(O287&lt;=0.15,"Very Cold",IF(O287&lt;=0.3,"Cold",IF(O287&lt;=0.45,"Pleasant","Hot")))</f>
        <v>Very Cold</v>
      </c>
      <c r="Q287">
        <v>0.5</v>
      </c>
      <c r="R287" t="str">
        <f>IF(Q287&lt;=0.25,"Low ",IF(Q287&lt;=0.5,"Moderate ",IF(Q287&lt;=0.75,"High ","Very High ")))</f>
        <v xml:space="preserve">Moderate </v>
      </c>
      <c r="S287">
        <v>0.19400000000000001</v>
      </c>
      <c r="T287" t="str">
        <f>IF(S287&lt;=0.15,"Calm",IF(S287&lt;=0.3,"Light Wind",IF(S287&lt;=0.45,"Moderate Wind","Strong Wind")))</f>
        <v>Light Wind</v>
      </c>
      <c r="U287">
        <v>5</v>
      </c>
      <c r="V287">
        <v>197</v>
      </c>
      <c r="W287">
        <v>202</v>
      </c>
      <c r="X287" t="str">
        <f>IF(W287&lt;=75,"Low Demand",IF(W287&lt;=150,"Medium Demand",IF(W287&lt;=225,"High Demand","Very High Demand")))</f>
        <v>High Demand</v>
      </c>
    </row>
    <row r="288" spans="1:24" x14ac:dyDescent="0.25">
      <c r="A288">
        <v>287</v>
      </c>
      <c r="B288" s="2">
        <v>40556</v>
      </c>
      <c r="C288">
        <v>1</v>
      </c>
      <c r="D288">
        <v>0</v>
      </c>
      <c r="E288">
        <v>1</v>
      </c>
      <c r="F288">
        <v>9</v>
      </c>
      <c r="G288" t="str">
        <f>IF(F288&lt;6,"Night",IF(F288&lt;12,"Morning",IF(F288&lt;18,"Afternoon","Evening")))</f>
        <v>Morning</v>
      </c>
      <c r="H288">
        <v>0</v>
      </c>
      <c r="I288">
        <v>4</v>
      </c>
      <c r="J288" t="str">
        <f>CHOOSE(I288+1,"Monday","Tuesday","Wednesday","Thursday","Friday","Saturday","Sunday")</f>
        <v>Friday</v>
      </c>
      <c r="K288">
        <v>1</v>
      </c>
      <c r="L288" t="str">
        <f>CHOOSE(K288+1,"error","Clear","Misty","Rainy","Severe heater")</f>
        <v>Clear</v>
      </c>
      <c r="M288">
        <v>0.14000000000000001</v>
      </c>
      <c r="N288" t="str">
        <f>IF(M288&lt;=0.2,"Low",IF(M288&lt;=0.4,"Mid","High"))</f>
        <v>Low</v>
      </c>
      <c r="O288">
        <v>0.1212</v>
      </c>
      <c r="P288" t="str">
        <f>IF(O288&lt;=0.15,"Very Cold",IF(O288&lt;=0.3,"Cold",IF(O288&lt;=0.45,"Pleasant","Hot")))</f>
        <v>Very Cold</v>
      </c>
      <c r="Q288">
        <v>0.5</v>
      </c>
      <c r="R288" t="str">
        <f>IF(Q288&lt;=0.25,"Low ",IF(Q288&lt;=0.5,"Moderate ",IF(Q288&lt;=0.75,"High ","Very High ")))</f>
        <v xml:space="preserve">Moderate </v>
      </c>
      <c r="S288">
        <v>0.32840000000000003</v>
      </c>
      <c r="T288" t="str">
        <f>IF(S288&lt;=0.15,"Calm",IF(S288&lt;=0.3,"Light Wind",IF(S288&lt;=0.45,"Moderate Wind","Strong Wind")))</f>
        <v>Moderate Wind</v>
      </c>
      <c r="U288">
        <v>2</v>
      </c>
      <c r="V288">
        <v>137</v>
      </c>
      <c r="W288">
        <v>139</v>
      </c>
      <c r="X288" t="str">
        <f>IF(W288&lt;=75,"Low Demand",IF(W288&lt;=150,"Medium Demand",IF(W288&lt;=225,"High Demand","Very High Demand")))</f>
        <v>Medium Demand</v>
      </c>
    </row>
    <row r="289" spans="1:24" x14ac:dyDescent="0.25">
      <c r="A289">
        <v>288</v>
      </c>
      <c r="B289" s="2">
        <v>40556</v>
      </c>
      <c r="C289">
        <v>1</v>
      </c>
      <c r="D289">
        <v>0</v>
      </c>
      <c r="E289">
        <v>1</v>
      </c>
      <c r="F289">
        <v>10</v>
      </c>
      <c r="G289" t="str">
        <f>IF(F289&lt;6,"Night",IF(F289&lt;12,"Morning",IF(F289&lt;18,"Afternoon","Evening")))</f>
        <v>Morning</v>
      </c>
      <c r="H289">
        <v>0</v>
      </c>
      <c r="I289">
        <v>4</v>
      </c>
      <c r="J289" t="str">
        <f>CHOOSE(I289+1,"Monday","Tuesday","Wednesday","Thursday","Friday","Saturday","Sunday")</f>
        <v>Friday</v>
      </c>
      <c r="K289">
        <v>2</v>
      </c>
      <c r="L289" t="str">
        <f>CHOOSE(K289+1,"error","Clear","Misty","Rainy","Severe heater")</f>
        <v>Misty</v>
      </c>
      <c r="M289">
        <v>0.16</v>
      </c>
      <c r="N289" t="str">
        <f>IF(M289&lt;=0.2,"Low",IF(M289&lt;=0.4,"Mid","High"))</f>
        <v>Low</v>
      </c>
      <c r="O289">
        <v>0.13639999999999999</v>
      </c>
      <c r="P289" t="str">
        <f>IF(O289&lt;=0.15,"Very Cold",IF(O289&lt;=0.3,"Cold",IF(O289&lt;=0.45,"Pleasant","Hot")))</f>
        <v>Very Cold</v>
      </c>
      <c r="Q289">
        <v>0.5</v>
      </c>
      <c r="R289" t="str">
        <f>IF(Q289&lt;=0.25,"Low ",IF(Q289&lt;=0.5,"Moderate ",IF(Q289&lt;=0.75,"High ","Very High ")))</f>
        <v xml:space="preserve">Moderate </v>
      </c>
      <c r="S289">
        <v>0.35820000000000002</v>
      </c>
      <c r="T289" t="str">
        <f>IF(S289&lt;=0.15,"Calm",IF(S289&lt;=0.3,"Light Wind",IF(S289&lt;=0.45,"Moderate Wind","Strong Wind")))</f>
        <v>Moderate Wind</v>
      </c>
      <c r="U289">
        <v>2</v>
      </c>
      <c r="V289">
        <v>36</v>
      </c>
      <c r="W289">
        <v>38</v>
      </c>
      <c r="X289" t="str">
        <f>IF(W289&lt;=75,"Low Demand",IF(W289&lt;=150,"Medium Demand",IF(W289&lt;=225,"High Demand","Very High Demand")))</f>
        <v>Low Demand</v>
      </c>
    </row>
    <row r="290" spans="1:24" x14ac:dyDescent="0.25">
      <c r="A290">
        <v>289</v>
      </c>
      <c r="B290" s="2">
        <v>40556</v>
      </c>
      <c r="C290">
        <v>1</v>
      </c>
      <c r="D290">
        <v>0</v>
      </c>
      <c r="E290">
        <v>1</v>
      </c>
      <c r="F290">
        <v>11</v>
      </c>
      <c r="G290" t="str">
        <f>IF(F290&lt;6,"Night",IF(F290&lt;12,"Morning",IF(F290&lt;18,"Afternoon","Evening")))</f>
        <v>Morning</v>
      </c>
      <c r="H290">
        <v>0</v>
      </c>
      <c r="I290">
        <v>4</v>
      </c>
      <c r="J290" t="str">
        <f>CHOOSE(I290+1,"Monday","Tuesday","Wednesday","Thursday","Friday","Saturday","Sunday")</f>
        <v>Friday</v>
      </c>
      <c r="K290">
        <v>2</v>
      </c>
      <c r="L290" t="str">
        <f>CHOOSE(K290+1,"error","Clear","Misty","Rainy","Severe heater")</f>
        <v>Misty</v>
      </c>
      <c r="M290">
        <v>0.2</v>
      </c>
      <c r="N290" t="str">
        <f>IF(M290&lt;=0.2,"Low",IF(M290&lt;=0.4,"Mid","High"))</f>
        <v>Low</v>
      </c>
      <c r="O290">
        <v>0.16669999999999999</v>
      </c>
      <c r="P290" t="str">
        <f>IF(O290&lt;=0.15,"Very Cold",IF(O290&lt;=0.3,"Cold",IF(O290&lt;=0.45,"Pleasant","Hot")))</f>
        <v>Cold</v>
      </c>
      <c r="Q290">
        <v>0.44</v>
      </c>
      <c r="R290" t="str">
        <f>IF(Q290&lt;=0.25,"Low ",IF(Q290&lt;=0.5,"Moderate ",IF(Q290&lt;=0.75,"High ","Very High ")))</f>
        <v xml:space="preserve">Moderate </v>
      </c>
      <c r="S290">
        <v>0.44779999999999998</v>
      </c>
      <c r="T290" t="str">
        <f>IF(S290&lt;=0.15,"Calm",IF(S290&lt;=0.3,"Light Wind",IF(S290&lt;=0.45,"Moderate Wind","Strong Wind")))</f>
        <v>Moderate Wind</v>
      </c>
      <c r="U290">
        <v>4</v>
      </c>
      <c r="V290">
        <v>33</v>
      </c>
      <c r="W290">
        <v>37</v>
      </c>
      <c r="X290" t="str">
        <f>IF(W290&lt;=75,"Low Demand",IF(W290&lt;=150,"Medium Demand",IF(W290&lt;=225,"High Demand","Very High Demand")))</f>
        <v>Low Demand</v>
      </c>
    </row>
    <row r="291" spans="1:24" x14ac:dyDescent="0.25">
      <c r="A291">
        <v>290</v>
      </c>
      <c r="B291" s="2">
        <v>40556</v>
      </c>
      <c r="C291">
        <v>1</v>
      </c>
      <c r="D291">
        <v>0</v>
      </c>
      <c r="E291">
        <v>1</v>
      </c>
      <c r="F291">
        <v>12</v>
      </c>
      <c r="G291" t="str">
        <f>IF(F291&lt;6,"Night",IF(F291&lt;12,"Morning",IF(F291&lt;18,"Afternoon","Evening")))</f>
        <v>Afternoon</v>
      </c>
      <c r="H291">
        <v>0</v>
      </c>
      <c r="I291">
        <v>4</v>
      </c>
      <c r="J291" t="str">
        <f>CHOOSE(I291+1,"Monday","Tuesday","Wednesday","Thursday","Friday","Saturday","Sunday")</f>
        <v>Friday</v>
      </c>
      <c r="K291">
        <v>1</v>
      </c>
      <c r="L291" t="str">
        <f>CHOOSE(K291+1,"error","Clear","Misty","Rainy","Severe heater")</f>
        <v>Clear</v>
      </c>
      <c r="M291">
        <v>0.2</v>
      </c>
      <c r="N291" t="str">
        <f>IF(M291&lt;=0.2,"Low",IF(M291&lt;=0.4,"Mid","High"))</f>
        <v>Low</v>
      </c>
      <c r="O291">
        <v>0.16669999999999999</v>
      </c>
      <c r="P291" t="str">
        <f>IF(O291&lt;=0.15,"Very Cold",IF(O291&lt;=0.3,"Cold",IF(O291&lt;=0.45,"Pleasant","Hot")))</f>
        <v>Cold</v>
      </c>
      <c r="Q291">
        <v>0.44</v>
      </c>
      <c r="R291" t="str">
        <f>IF(Q291&lt;=0.25,"Low ",IF(Q291&lt;=0.5,"Moderate ",IF(Q291&lt;=0.75,"High ","Very High ")))</f>
        <v xml:space="preserve">Moderate </v>
      </c>
      <c r="S291">
        <v>0.41789999999999999</v>
      </c>
      <c r="T291" t="str">
        <f>IF(S291&lt;=0.15,"Calm",IF(S291&lt;=0.3,"Light Wind",IF(S291&lt;=0.45,"Moderate Wind","Strong Wind")))</f>
        <v>Moderate Wind</v>
      </c>
      <c r="U291">
        <v>3</v>
      </c>
      <c r="V291">
        <v>49</v>
      </c>
      <c r="W291">
        <v>52</v>
      </c>
      <c r="X291" t="str">
        <f>IF(W291&lt;=75,"Low Demand",IF(W291&lt;=150,"Medium Demand",IF(W291&lt;=225,"High Demand","Very High Demand")))</f>
        <v>Low Demand</v>
      </c>
    </row>
    <row r="292" spans="1:24" x14ac:dyDescent="0.25">
      <c r="A292">
        <v>291</v>
      </c>
      <c r="B292" s="2">
        <v>40556</v>
      </c>
      <c r="C292">
        <v>1</v>
      </c>
      <c r="D292">
        <v>0</v>
      </c>
      <c r="E292">
        <v>1</v>
      </c>
      <c r="F292">
        <v>13</v>
      </c>
      <c r="G292" t="str">
        <f>IF(F292&lt;6,"Night",IF(F292&lt;12,"Morning",IF(F292&lt;18,"Afternoon","Evening")))</f>
        <v>Afternoon</v>
      </c>
      <c r="H292">
        <v>0</v>
      </c>
      <c r="I292">
        <v>4</v>
      </c>
      <c r="J292" t="str">
        <f>CHOOSE(I292+1,"Monday","Tuesday","Wednesday","Thursday","Friday","Saturday","Sunday")</f>
        <v>Friday</v>
      </c>
      <c r="K292">
        <v>1</v>
      </c>
      <c r="L292" t="str">
        <f>CHOOSE(K292+1,"error","Clear","Misty","Rainy","Severe heater")</f>
        <v>Clear</v>
      </c>
      <c r="M292">
        <v>0.22</v>
      </c>
      <c r="N292" t="str">
        <f>IF(M292&lt;=0.2,"Low",IF(M292&lt;=0.4,"Mid","High"))</f>
        <v>Mid</v>
      </c>
      <c r="O292">
        <v>0.19700000000000001</v>
      </c>
      <c r="P292" t="str">
        <f>IF(O292&lt;=0.15,"Very Cold",IF(O292&lt;=0.3,"Cold",IF(O292&lt;=0.45,"Pleasant","Hot")))</f>
        <v>Cold</v>
      </c>
      <c r="Q292">
        <v>0.41</v>
      </c>
      <c r="R292" t="str">
        <f>IF(Q292&lt;=0.25,"Low ",IF(Q292&lt;=0.5,"Moderate ",IF(Q292&lt;=0.75,"High ","Very High ")))</f>
        <v xml:space="preserve">Moderate </v>
      </c>
      <c r="S292">
        <v>0.44779999999999998</v>
      </c>
      <c r="T292" t="str">
        <f>IF(S292&lt;=0.15,"Calm",IF(S292&lt;=0.3,"Light Wind",IF(S292&lt;=0.45,"Moderate Wind","Strong Wind")))</f>
        <v>Moderate Wind</v>
      </c>
      <c r="U292">
        <v>2</v>
      </c>
      <c r="V292">
        <v>81</v>
      </c>
      <c r="W292">
        <v>83</v>
      </c>
      <c r="X292" t="str">
        <f>IF(W292&lt;=75,"Low Demand",IF(W292&lt;=150,"Medium Demand",IF(W292&lt;=225,"High Demand","Very High Demand")))</f>
        <v>Medium Demand</v>
      </c>
    </row>
    <row r="293" spans="1:24" x14ac:dyDescent="0.25">
      <c r="A293">
        <v>292</v>
      </c>
      <c r="B293" s="2">
        <v>40556</v>
      </c>
      <c r="C293">
        <v>1</v>
      </c>
      <c r="D293">
        <v>0</v>
      </c>
      <c r="E293">
        <v>1</v>
      </c>
      <c r="F293">
        <v>14</v>
      </c>
      <c r="G293" t="str">
        <f>IF(F293&lt;6,"Night",IF(F293&lt;12,"Morning",IF(F293&lt;18,"Afternoon","Evening")))</f>
        <v>Afternoon</v>
      </c>
      <c r="H293">
        <v>0</v>
      </c>
      <c r="I293">
        <v>4</v>
      </c>
      <c r="J293" t="str">
        <f>CHOOSE(I293+1,"Monday","Tuesday","Wednesday","Thursday","Friday","Saturday","Sunday")</f>
        <v>Friday</v>
      </c>
      <c r="K293">
        <v>1</v>
      </c>
      <c r="L293" t="str">
        <f>CHOOSE(K293+1,"error","Clear","Misty","Rainy","Severe heater")</f>
        <v>Clear</v>
      </c>
      <c r="M293">
        <v>0.22</v>
      </c>
      <c r="N293" t="str">
        <f>IF(M293&lt;=0.2,"Low",IF(M293&lt;=0.4,"Mid","High"))</f>
        <v>Mid</v>
      </c>
      <c r="O293">
        <v>0.19700000000000001</v>
      </c>
      <c r="P293" t="str">
        <f>IF(O293&lt;=0.15,"Very Cold",IF(O293&lt;=0.3,"Cold",IF(O293&lt;=0.45,"Pleasant","Hot")))</f>
        <v>Cold</v>
      </c>
      <c r="Q293">
        <v>0.41</v>
      </c>
      <c r="R293" t="str">
        <f>IF(Q293&lt;=0.25,"Low ",IF(Q293&lt;=0.5,"Moderate ",IF(Q293&lt;=0.75,"High ","Very High ")))</f>
        <v xml:space="preserve">Moderate </v>
      </c>
      <c r="S293">
        <v>0.3881</v>
      </c>
      <c r="T293" t="str">
        <f>IF(S293&lt;=0.15,"Calm",IF(S293&lt;=0.3,"Light Wind",IF(S293&lt;=0.45,"Moderate Wind","Strong Wind")))</f>
        <v>Moderate Wind</v>
      </c>
      <c r="U293">
        <v>3</v>
      </c>
      <c r="V293">
        <v>39</v>
      </c>
      <c r="W293">
        <v>42</v>
      </c>
      <c r="X293" t="str">
        <f>IF(W293&lt;=75,"Low Demand",IF(W293&lt;=150,"Medium Demand",IF(W293&lt;=225,"High Demand","Very High Demand")))</f>
        <v>Low Demand</v>
      </c>
    </row>
    <row r="294" spans="1:24" x14ac:dyDescent="0.25">
      <c r="A294">
        <v>293</v>
      </c>
      <c r="B294" s="2">
        <v>40556</v>
      </c>
      <c r="C294">
        <v>1</v>
      </c>
      <c r="D294">
        <v>0</v>
      </c>
      <c r="E294">
        <v>1</v>
      </c>
      <c r="F294">
        <v>15</v>
      </c>
      <c r="G294" t="str">
        <f>IF(F294&lt;6,"Night",IF(F294&lt;12,"Morning",IF(F294&lt;18,"Afternoon","Evening")))</f>
        <v>Afternoon</v>
      </c>
      <c r="H294">
        <v>0</v>
      </c>
      <c r="I294">
        <v>4</v>
      </c>
      <c r="J294" t="str">
        <f>CHOOSE(I294+1,"Monday","Tuesday","Wednesday","Thursday","Friday","Saturday","Sunday")</f>
        <v>Friday</v>
      </c>
      <c r="K294">
        <v>1</v>
      </c>
      <c r="L294" t="str">
        <f>CHOOSE(K294+1,"error","Clear","Misty","Rainy","Severe heater")</f>
        <v>Clear</v>
      </c>
      <c r="M294">
        <v>0.24</v>
      </c>
      <c r="N294" t="str">
        <f>IF(M294&lt;=0.2,"Low",IF(M294&lt;=0.4,"Mid","High"))</f>
        <v>Mid</v>
      </c>
      <c r="O294">
        <v>0.21210000000000001</v>
      </c>
      <c r="P294" t="str">
        <f>IF(O294&lt;=0.15,"Very Cold",IF(O294&lt;=0.3,"Cold",IF(O294&lt;=0.45,"Pleasant","Hot")))</f>
        <v>Cold</v>
      </c>
      <c r="Q294">
        <v>0.38</v>
      </c>
      <c r="R294" t="str">
        <f>IF(Q294&lt;=0.25,"Low ",IF(Q294&lt;=0.5,"Moderate ",IF(Q294&lt;=0.75,"High ","Very High ")))</f>
        <v xml:space="preserve">Moderate </v>
      </c>
      <c r="S294">
        <v>0.29849999999999999</v>
      </c>
      <c r="T294" t="str">
        <f>IF(S294&lt;=0.15,"Calm",IF(S294&lt;=0.3,"Light Wind",IF(S294&lt;=0.45,"Moderate Wind","Strong Wind")))</f>
        <v>Light Wind</v>
      </c>
      <c r="U294">
        <v>5</v>
      </c>
      <c r="V294">
        <v>55</v>
      </c>
      <c r="W294">
        <v>60</v>
      </c>
      <c r="X294" t="str">
        <f>IF(W294&lt;=75,"Low Demand",IF(W294&lt;=150,"Medium Demand",IF(W294&lt;=225,"High Demand","Very High Demand")))</f>
        <v>Low Demand</v>
      </c>
    </row>
    <row r="295" spans="1:24" x14ac:dyDescent="0.25">
      <c r="A295">
        <v>294</v>
      </c>
      <c r="B295" s="2">
        <v>40556</v>
      </c>
      <c r="C295">
        <v>1</v>
      </c>
      <c r="D295">
        <v>0</v>
      </c>
      <c r="E295">
        <v>1</v>
      </c>
      <c r="F295">
        <v>16</v>
      </c>
      <c r="G295" t="str">
        <f>IF(F295&lt;6,"Night",IF(F295&lt;12,"Morning",IF(F295&lt;18,"Afternoon","Evening")))</f>
        <v>Afternoon</v>
      </c>
      <c r="H295">
        <v>0</v>
      </c>
      <c r="I295">
        <v>4</v>
      </c>
      <c r="J295" t="str">
        <f>CHOOSE(I295+1,"Monday","Tuesday","Wednesday","Thursday","Friday","Saturday","Sunday")</f>
        <v>Friday</v>
      </c>
      <c r="K295">
        <v>1</v>
      </c>
      <c r="L295" t="str">
        <f>CHOOSE(K295+1,"error","Clear","Misty","Rainy","Severe heater")</f>
        <v>Clear</v>
      </c>
      <c r="M295">
        <v>0.24</v>
      </c>
      <c r="N295" t="str">
        <f>IF(M295&lt;=0.2,"Low",IF(M295&lt;=0.4,"Mid","High"))</f>
        <v>Mid</v>
      </c>
      <c r="O295">
        <v>0.21210000000000001</v>
      </c>
      <c r="P295" t="str">
        <f>IF(O295&lt;=0.15,"Very Cold",IF(O295&lt;=0.3,"Cold",IF(O295&lt;=0.45,"Pleasant","Hot")))</f>
        <v>Cold</v>
      </c>
      <c r="Q295">
        <v>0.38</v>
      </c>
      <c r="R295" t="str">
        <f>IF(Q295&lt;=0.25,"Low ",IF(Q295&lt;=0.5,"Moderate ",IF(Q295&lt;=0.75,"High ","Very High ")))</f>
        <v xml:space="preserve">Moderate </v>
      </c>
      <c r="S295">
        <v>0.35820000000000002</v>
      </c>
      <c r="T295" t="str">
        <f>IF(S295&lt;=0.15,"Calm",IF(S295&lt;=0.3,"Light Wind",IF(S295&lt;=0.45,"Moderate Wind","Strong Wind")))</f>
        <v>Moderate Wind</v>
      </c>
      <c r="U295">
        <v>2</v>
      </c>
      <c r="V295">
        <v>76</v>
      </c>
      <c r="W295">
        <v>78</v>
      </c>
      <c r="X295" t="str">
        <f>IF(W295&lt;=75,"Low Demand",IF(W295&lt;=150,"Medium Demand",IF(W295&lt;=225,"High Demand","Very High Demand")))</f>
        <v>Medium Demand</v>
      </c>
    </row>
    <row r="296" spans="1:24" x14ac:dyDescent="0.25">
      <c r="A296">
        <v>295</v>
      </c>
      <c r="B296" s="2">
        <v>40556</v>
      </c>
      <c r="C296">
        <v>1</v>
      </c>
      <c r="D296">
        <v>0</v>
      </c>
      <c r="E296">
        <v>1</v>
      </c>
      <c r="F296">
        <v>17</v>
      </c>
      <c r="G296" t="str">
        <f>IF(F296&lt;6,"Night",IF(F296&lt;12,"Morning",IF(F296&lt;18,"Afternoon","Evening")))</f>
        <v>Afternoon</v>
      </c>
      <c r="H296">
        <v>0</v>
      </c>
      <c r="I296">
        <v>4</v>
      </c>
      <c r="J296" t="str">
        <f>CHOOSE(I296+1,"Monday","Tuesday","Wednesday","Thursday","Friday","Saturday","Sunday")</f>
        <v>Friday</v>
      </c>
      <c r="K296">
        <v>1</v>
      </c>
      <c r="L296" t="str">
        <f>CHOOSE(K296+1,"error","Clear","Misty","Rainy","Severe heater")</f>
        <v>Clear</v>
      </c>
      <c r="M296">
        <v>0.2</v>
      </c>
      <c r="N296" t="str">
        <f>IF(M296&lt;=0.2,"Low",IF(M296&lt;=0.4,"Mid","High"))</f>
        <v>Low</v>
      </c>
      <c r="O296">
        <v>0.18179999999999999</v>
      </c>
      <c r="P296" t="str">
        <f>IF(O296&lt;=0.15,"Very Cold",IF(O296&lt;=0.3,"Cold",IF(O296&lt;=0.45,"Pleasant","Hot")))</f>
        <v>Cold</v>
      </c>
      <c r="Q296">
        <v>0.4</v>
      </c>
      <c r="R296" t="str">
        <f>IF(Q296&lt;=0.25,"Low ",IF(Q296&lt;=0.5,"Moderate ",IF(Q296&lt;=0.75,"High ","Very High ")))</f>
        <v xml:space="preserve">Moderate </v>
      </c>
      <c r="S296">
        <v>0.28360000000000002</v>
      </c>
      <c r="T296" t="str">
        <f>IF(S296&lt;=0.15,"Calm",IF(S296&lt;=0.3,"Light Wind",IF(S296&lt;=0.45,"Moderate Wind","Strong Wind")))</f>
        <v>Light Wind</v>
      </c>
      <c r="U296">
        <v>4</v>
      </c>
      <c r="V296">
        <v>158</v>
      </c>
      <c r="W296">
        <v>162</v>
      </c>
      <c r="X296" t="str">
        <f>IF(W296&lt;=75,"Low Demand",IF(W296&lt;=150,"Medium Demand",IF(W296&lt;=225,"High Demand","Very High Demand")))</f>
        <v>High Demand</v>
      </c>
    </row>
    <row r="297" spans="1:24" x14ac:dyDescent="0.25">
      <c r="A297">
        <v>296</v>
      </c>
      <c r="B297" s="2">
        <v>40556</v>
      </c>
      <c r="C297">
        <v>1</v>
      </c>
      <c r="D297">
        <v>0</v>
      </c>
      <c r="E297">
        <v>1</v>
      </c>
      <c r="F297">
        <v>18</v>
      </c>
      <c r="G297" t="str">
        <f>IF(F297&lt;6,"Night",IF(F297&lt;12,"Morning",IF(F297&lt;18,"Afternoon","Evening")))</f>
        <v>Evening</v>
      </c>
      <c r="H297">
        <v>0</v>
      </c>
      <c r="I297">
        <v>4</v>
      </c>
      <c r="J297" t="str">
        <f>CHOOSE(I297+1,"Monday","Tuesday","Wednesday","Thursday","Friday","Saturday","Sunday")</f>
        <v>Friday</v>
      </c>
      <c r="K297">
        <v>1</v>
      </c>
      <c r="L297" t="str">
        <f>CHOOSE(K297+1,"error","Clear","Misty","Rainy","Severe heater")</f>
        <v>Clear</v>
      </c>
      <c r="M297">
        <v>0.2</v>
      </c>
      <c r="N297" t="str">
        <f>IF(M297&lt;=0.2,"Low",IF(M297&lt;=0.4,"Mid","High"))</f>
        <v>Low</v>
      </c>
      <c r="O297">
        <v>0.18179999999999999</v>
      </c>
      <c r="P297" t="str">
        <f>IF(O297&lt;=0.15,"Very Cold",IF(O297&lt;=0.3,"Cold",IF(O297&lt;=0.45,"Pleasant","Hot")))</f>
        <v>Cold</v>
      </c>
      <c r="Q297">
        <v>0.4</v>
      </c>
      <c r="R297" t="str">
        <f>IF(Q297&lt;=0.25,"Low ",IF(Q297&lt;=0.5,"Moderate ",IF(Q297&lt;=0.75,"High ","Very High ")))</f>
        <v xml:space="preserve">Moderate </v>
      </c>
      <c r="S297">
        <v>0.32840000000000003</v>
      </c>
      <c r="T297" t="str">
        <f>IF(S297&lt;=0.15,"Calm",IF(S297&lt;=0.3,"Light Wind",IF(S297&lt;=0.45,"Moderate Wind","Strong Wind")))</f>
        <v>Moderate Wind</v>
      </c>
      <c r="U297">
        <v>3</v>
      </c>
      <c r="V297">
        <v>141</v>
      </c>
      <c r="W297">
        <v>144</v>
      </c>
      <c r="X297" t="str">
        <f>IF(W297&lt;=75,"Low Demand",IF(W297&lt;=150,"Medium Demand",IF(W297&lt;=225,"High Demand","Very High Demand")))</f>
        <v>Medium Demand</v>
      </c>
    </row>
    <row r="298" spans="1:24" x14ac:dyDescent="0.25">
      <c r="A298">
        <v>297</v>
      </c>
      <c r="B298" s="2">
        <v>40556</v>
      </c>
      <c r="C298">
        <v>1</v>
      </c>
      <c r="D298">
        <v>0</v>
      </c>
      <c r="E298">
        <v>1</v>
      </c>
      <c r="F298">
        <v>19</v>
      </c>
      <c r="G298" t="str">
        <f>IF(F298&lt;6,"Night",IF(F298&lt;12,"Morning",IF(F298&lt;18,"Afternoon","Evening")))</f>
        <v>Evening</v>
      </c>
      <c r="H298">
        <v>0</v>
      </c>
      <c r="I298">
        <v>4</v>
      </c>
      <c r="J298" t="str">
        <f>CHOOSE(I298+1,"Monday","Tuesday","Wednesday","Thursday","Friday","Saturday","Sunday")</f>
        <v>Friday</v>
      </c>
      <c r="K298">
        <v>1</v>
      </c>
      <c r="L298" t="str">
        <f>CHOOSE(K298+1,"error","Clear","Misty","Rainy","Severe heater")</f>
        <v>Clear</v>
      </c>
      <c r="M298">
        <v>0.16</v>
      </c>
      <c r="N298" t="str">
        <f>IF(M298&lt;=0.2,"Low",IF(M298&lt;=0.4,"Mid","High"))</f>
        <v>Low</v>
      </c>
      <c r="O298">
        <v>0.1515</v>
      </c>
      <c r="P298" t="str">
        <f>IF(O298&lt;=0.15,"Very Cold",IF(O298&lt;=0.3,"Cold",IF(O298&lt;=0.45,"Pleasant","Hot")))</f>
        <v>Cold</v>
      </c>
      <c r="Q298">
        <v>0.47</v>
      </c>
      <c r="R298" t="str">
        <f>IF(Q298&lt;=0.25,"Low ",IF(Q298&lt;=0.5,"Moderate ",IF(Q298&lt;=0.75,"High ","Very High ")))</f>
        <v xml:space="preserve">Moderate </v>
      </c>
      <c r="S298">
        <v>0.25369999999999998</v>
      </c>
      <c r="T298" t="str">
        <f>IF(S298&lt;=0.15,"Calm",IF(S298&lt;=0.3,"Light Wind",IF(S298&lt;=0.45,"Moderate Wind","Strong Wind")))</f>
        <v>Light Wind</v>
      </c>
      <c r="U298">
        <v>1</v>
      </c>
      <c r="V298">
        <v>98</v>
      </c>
      <c r="W298">
        <v>99</v>
      </c>
      <c r="X298" t="str">
        <f>IF(W298&lt;=75,"Low Demand",IF(W298&lt;=150,"Medium Demand",IF(W298&lt;=225,"High Demand","Very High Demand")))</f>
        <v>Medium Demand</v>
      </c>
    </row>
    <row r="299" spans="1:24" x14ac:dyDescent="0.25">
      <c r="A299">
        <v>298</v>
      </c>
      <c r="B299" s="2">
        <v>40556</v>
      </c>
      <c r="C299">
        <v>1</v>
      </c>
      <c r="D299">
        <v>0</v>
      </c>
      <c r="E299">
        <v>1</v>
      </c>
      <c r="F299">
        <v>20</v>
      </c>
      <c r="G299" t="str">
        <f>IF(F299&lt;6,"Night",IF(F299&lt;12,"Morning",IF(F299&lt;18,"Afternoon","Evening")))</f>
        <v>Evening</v>
      </c>
      <c r="H299">
        <v>0</v>
      </c>
      <c r="I299">
        <v>4</v>
      </c>
      <c r="J299" t="str">
        <f>CHOOSE(I299+1,"Monday","Tuesday","Wednesday","Thursday","Friday","Saturday","Sunday")</f>
        <v>Friday</v>
      </c>
      <c r="K299">
        <v>1</v>
      </c>
      <c r="L299" t="str">
        <f>CHOOSE(K299+1,"error","Clear","Misty","Rainy","Severe heater")</f>
        <v>Clear</v>
      </c>
      <c r="M299">
        <v>0.16</v>
      </c>
      <c r="N299" t="str">
        <f>IF(M299&lt;=0.2,"Low",IF(M299&lt;=0.4,"Mid","High"))</f>
        <v>Low</v>
      </c>
      <c r="O299">
        <v>0.1515</v>
      </c>
      <c r="P299" t="str">
        <f>IF(O299&lt;=0.15,"Very Cold",IF(O299&lt;=0.3,"Cold",IF(O299&lt;=0.45,"Pleasant","Hot")))</f>
        <v>Cold</v>
      </c>
      <c r="Q299">
        <v>0.47</v>
      </c>
      <c r="R299" t="str">
        <f>IF(Q299&lt;=0.25,"Low ",IF(Q299&lt;=0.5,"Moderate ",IF(Q299&lt;=0.75,"High ","Very High ")))</f>
        <v xml:space="preserve">Moderate </v>
      </c>
      <c r="S299">
        <v>0.22389999999999999</v>
      </c>
      <c r="T299" t="str">
        <f>IF(S299&lt;=0.15,"Calm",IF(S299&lt;=0.3,"Light Wind",IF(S299&lt;=0.45,"Moderate Wind","Strong Wind")))</f>
        <v>Light Wind</v>
      </c>
      <c r="U299">
        <v>0</v>
      </c>
      <c r="V299">
        <v>64</v>
      </c>
      <c r="W299">
        <v>64</v>
      </c>
      <c r="X299" t="str">
        <f>IF(W299&lt;=75,"Low Demand",IF(W299&lt;=150,"Medium Demand",IF(W299&lt;=225,"High Demand","Very High Demand")))</f>
        <v>Low Demand</v>
      </c>
    </row>
    <row r="300" spans="1:24" x14ac:dyDescent="0.25">
      <c r="A300">
        <v>299</v>
      </c>
      <c r="B300" s="2">
        <v>40556</v>
      </c>
      <c r="C300">
        <v>1</v>
      </c>
      <c r="D300">
        <v>0</v>
      </c>
      <c r="E300">
        <v>1</v>
      </c>
      <c r="F300">
        <v>21</v>
      </c>
      <c r="G300" t="str">
        <f>IF(F300&lt;6,"Night",IF(F300&lt;12,"Morning",IF(F300&lt;18,"Afternoon","Evening")))</f>
        <v>Evening</v>
      </c>
      <c r="H300">
        <v>0</v>
      </c>
      <c r="I300">
        <v>4</v>
      </c>
      <c r="J300" t="str">
        <f>CHOOSE(I300+1,"Monday","Tuesday","Wednesday","Thursday","Friday","Saturday","Sunday")</f>
        <v>Friday</v>
      </c>
      <c r="K300">
        <v>1</v>
      </c>
      <c r="L300" t="str">
        <f>CHOOSE(K300+1,"error","Clear","Misty","Rainy","Severe heater")</f>
        <v>Clear</v>
      </c>
      <c r="M300">
        <v>0.14000000000000001</v>
      </c>
      <c r="N300" t="str">
        <f>IF(M300&lt;=0.2,"Low",IF(M300&lt;=0.4,"Mid","High"))</f>
        <v>Low</v>
      </c>
      <c r="O300">
        <v>0.1212</v>
      </c>
      <c r="P300" t="str">
        <f>IF(O300&lt;=0.15,"Very Cold",IF(O300&lt;=0.3,"Cold",IF(O300&lt;=0.45,"Pleasant","Hot")))</f>
        <v>Very Cold</v>
      </c>
      <c r="Q300">
        <v>0.46</v>
      </c>
      <c r="R300" t="str">
        <f>IF(Q300&lt;=0.25,"Low ",IF(Q300&lt;=0.5,"Moderate ",IF(Q300&lt;=0.75,"High ","Very High ")))</f>
        <v xml:space="preserve">Moderate </v>
      </c>
      <c r="S300">
        <v>0.29849999999999999</v>
      </c>
      <c r="T300" t="str">
        <f>IF(S300&lt;=0.15,"Calm",IF(S300&lt;=0.3,"Light Wind",IF(S300&lt;=0.45,"Moderate Wind","Strong Wind")))</f>
        <v>Light Wind</v>
      </c>
      <c r="U300">
        <v>0</v>
      </c>
      <c r="V300">
        <v>40</v>
      </c>
      <c r="W300">
        <v>40</v>
      </c>
      <c r="X300" t="str">
        <f>IF(W300&lt;=75,"Low Demand",IF(W300&lt;=150,"Medium Demand",IF(W300&lt;=225,"High Demand","Very High Demand")))</f>
        <v>Low Demand</v>
      </c>
    </row>
    <row r="301" spans="1:24" x14ac:dyDescent="0.25">
      <c r="A301">
        <v>300</v>
      </c>
      <c r="B301" s="2">
        <v>40556</v>
      </c>
      <c r="C301">
        <v>1</v>
      </c>
      <c r="D301">
        <v>0</v>
      </c>
      <c r="E301">
        <v>1</v>
      </c>
      <c r="F301">
        <v>22</v>
      </c>
      <c r="G301" t="str">
        <f>IF(F301&lt;6,"Night",IF(F301&lt;12,"Morning",IF(F301&lt;18,"Afternoon","Evening")))</f>
        <v>Evening</v>
      </c>
      <c r="H301">
        <v>0</v>
      </c>
      <c r="I301">
        <v>4</v>
      </c>
      <c r="J301" t="str">
        <f>CHOOSE(I301+1,"Monday","Tuesday","Wednesday","Thursday","Friday","Saturday","Sunday")</f>
        <v>Friday</v>
      </c>
      <c r="K301">
        <v>1</v>
      </c>
      <c r="L301" t="str">
        <f>CHOOSE(K301+1,"error","Clear","Misty","Rainy","Severe heater")</f>
        <v>Clear</v>
      </c>
      <c r="M301">
        <v>0.14000000000000001</v>
      </c>
      <c r="N301" t="str">
        <f>IF(M301&lt;=0.2,"Low",IF(M301&lt;=0.4,"Mid","High"))</f>
        <v>Low</v>
      </c>
      <c r="O301">
        <v>0.1212</v>
      </c>
      <c r="P301" t="str">
        <f>IF(O301&lt;=0.15,"Very Cold",IF(O301&lt;=0.3,"Cold",IF(O301&lt;=0.45,"Pleasant","Hot")))</f>
        <v>Very Cold</v>
      </c>
      <c r="Q301">
        <v>0.46</v>
      </c>
      <c r="R301" t="str">
        <f>IF(Q301&lt;=0.25,"Low ",IF(Q301&lt;=0.5,"Moderate ",IF(Q301&lt;=0.75,"High ","Very High ")))</f>
        <v xml:space="preserve">Moderate </v>
      </c>
      <c r="S301">
        <v>0.32840000000000003</v>
      </c>
      <c r="T301" t="str">
        <f>IF(S301&lt;=0.15,"Calm",IF(S301&lt;=0.3,"Light Wind",IF(S301&lt;=0.45,"Moderate Wind","Strong Wind")))</f>
        <v>Moderate Wind</v>
      </c>
      <c r="U301">
        <v>0</v>
      </c>
      <c r="V301">
        <v>30</v>
      </c>
      <c r="W301">
        <v>30</v>
      </c>
      <c r="X301" t="str">
        <f>IF(W301&lt;=75,"Low Demand",IF(W301&lt;=150,"Medium Demand",IF(W301&lt;=225,"High Demand","Very High Demand")))</f>
        <v>Low Demand</v>
      </c>
    </row>
    <row r="302" spans="1:24" x14ac:dyDescent="0.25">
      <c r="A302">
        <v>301</v>
      </c>
      <c r="B302" s="2">
        <v>40556</v>
      </c>
      <c r="C302">
        <v>1</v>
      </c>
      <c r="D302">
        <v>0</v>
      </c>
      <c r="E302">
        <v>1</v>
      </c>
      <c r="F302">
        <v>23</v>
      </c>
      <c r="G302" t="str">
        <f>IF(F302&lt;6,"Night",IF(F302&lt;12,"Morning",IF(F302&lt;18,"Afternoon","Evening")))</f>
        <v>Evening</v>
      </c>
      <c r="H302">
        <v>0</v>
      </c>
      <c r="I302">
        <v>4</v>
      </c>
      <c r="J302" t="str">
        <f>CHOOSE(I302+1,"Monday","Tuesday","Wednesday","Thursday","Friday","Saturday","Sunday")</f>
        <v>Friday</v>
      </c>
      <c r="K302">
        <v>1</v>
      </c>
      <c r="L302" t="str">
        <f>CHOOSE(K302+1,"error","Clear","Misty","Rainy","Severe heater")</f>
        <v>Clear</v>
      </c>
      <c r="M302">
        <v>0.12</v>
      </c>
      <c r="N302" t="str">
        <f>IF(M302&lt;=0.2,"Low",IF(M302&lt;=0.4,"Mid","High"))</f>
        <v>Low</v>
      </c>
      <c r="O302">
        <v>0.13639999999999999</v>
      </c>
      <c r="P302" t="str">
        <f>IF(O302&lt;=0.15,"Very Cold",IF(O302&lt;=0.3,"Cold",IF(O302&lt;=0.45,"Pleasant","Hot")))</f>
        <v>Very Cold</v>
      </c>
      <c r="Q302">
        <v>0.5</v>
      </c>
      <c r="R302" t="str">
        <f>IF(Q302&lt;=0.25,"Low ",IF(Q302&lt;=0.5,"Moderate ",IF(Q302&lt;=0.75,"High ","Very High ")))</f>
        <v xml:space="preserve">Moderate </v>
      </c>
      <c r="S302">
        <v>0.19400000000000001</v>
      </c>
      <c r="T302" t="str">
        <f>IF(S302&lt;=0.15,"Calm",IF(S302&lt;=0.3,"Light Wind",IF(S302&lt;=0.45,"Moderate Wind","Strong Wind")))</f>
        <v>Light Wind</v>
      </c>
      <c r="U302">
        <v>1</v>
      </c>
      <c r="V302">
        <v>14</v>
      </c>
      <c r="W302">
        <v>15</v>
      </c>
      <c r="X302" t="str">
        <f>IF(W302&lt;=75,"Low Demand",IF(W302&lt;=150,"Medium Demand",IF(W302&lt;=225,"High Demand","Very High Demand")))</f>
        <v>Low Demand</v>
      </c>
    </row>
    <row r="303" spans="1:24" x14ac:dyDescent="0.25">
      <c r="A303">
        <v>302</v>
      </c>
      <c r="B303" s="2">
        <v>40557</v>
      </c>
      <c r="C303">
        <v>1</v>
      </c>
      <c r="D303">
        <v>0</v>
      </c>
      <c r="E303">
        <v>1</v>
      </c>
      <c r="F303">
        <v>0</v>
      </c>
      <c r="G303" t="str">
        <f>IF(F303&lt;6,"Night",IF(F303&lt;12,"Morning",IF(F303&lt;18,"Afternoon","Evening")))</f>
        <v>Night</v>
      </c>
      <c r="H303">
        <v>0</v>
      </c>
      <c r="I303">
        <v>5</v>
      </c>
      <c r="J303" t="str">
        <f>CHOOSE(I303+1,"Monday","Tuesday","Wednesday","Thursday","Friday","Saturday","Sunday")</f>
        <v>Saturday</v>
      </c>
      <c r="K303">
        <v>1</v>
      </c>
      <c r="L303" t="str">
        <f>CHOOSE(K303+1,"error","Clear","Misty","Rainy","Severe heater")</f>
        <v>Clear</v>
      </c>
      <c r="M303">
        <v>0.12</v>
      </c>
      <c r="N303" t="str">
        <f>IF(M303&lt;=0.2,"Low",IF(M303&lt;=0.4,"Mid","High"))</f>
        <v>Low</v>
      </c>
      <c r="O303">
        <v>0.13639999999999999</v>
      </c>
      <c r="P303" t="str">
        <f>IF(O303&lt;=0.15,"Very Cold",IF(O303&lt;=0.3,"Cold",IF(O303&lt;=0.45,"Pleasant","Hot")))</f>
        <v>Very Cold</v>
      </c>
      <c r="Q303">
        <v>0.5</v>
      </c>
      <c r="R303" t="str">
        <f>IF(Q303&lt;=0.25,"Low ",IF(Q303&lt;=0.5,"Moderate ",IF(Q303&lt;=0.75,"High ","Very High ")))</f>
        <v xml:space="preserve">Moderate </v>
      </c>
      <c r="S303">
        <v>0.19400000000000001</v>
      </c>
      <c r="T303" t="str">
        <f>IF(S303&lt;=0.15,"Calm",IF(S303&lt;=0.3,"Light Wind",IF(S303&lt;=0.45,"Moderate Wind","Strong Wind")))</f>
        <v>Light Wind</v>
      </c>
      <c r="U303">
        <v>0</v>
      </c>
      <c r="V303">
        <v>14</v>
      </c>
      <c r="W303">
        <v>14</v>
      </c>
      <c r="X303" t="str">
        <f>IF(W303&lt;=75,"Low Demand",IF(W303&lt;=150,"Medium Demand",IF(W303&lt;=225,"High Demand","Very High Demand")))</f>
        <v>Low Demand</v>
      </c>
    </row>
    <row r="304" spans="1:24" x14ac:dyDescent="0.25">
      <c r="A304">
        <v>303</v>
      </c>
      <c r="B304" s="2">
        <v>40557</v>
      </c>
      <c r="C304">
        <v>1</v>
      </c>
      <c r="D304">
        <v>0</v>
      </c>
      <c r="E304">
        <v>1</v>
      </c>
      <c r="F304">
        <v>1</v>
      </c>
      <c r="G304" t="str">
        <f>IF(F304&lt;6,"Night",IF(F304&lt;12,"Morning",IF(F304&lt;18,"Afternoon","Evening")))</f>
        <v>Night</v>
      </c>
      <c r="H304">
        <v>0</v>
      </c>
      <c r="I304">
        <v>5</v>
      </c>
      <c r="J304" t="str">
        <f>CHOOSE(I304+1,"Monday","Tuesday","Wednesday","Thursday","Friday","Saturday","Sunday")</f>
        <v>Saturday</v>
      </c>
      <c r="K304">
        <v>1</v>
      </c>
      <c r="L304" t="str">
        <f>CHOOSE(K304+1,"error","Clear","Misty","Rainy","Severe heater")</f>
        <v>Clear</v>
      </c>
      <c r="M304">
        <v>0.1</v>
      </c>
      <c r="N304" t="str">
        <f>IF(M304&lt;=0.2,"Low",IF(M304&lt;=0.4,"Mid","High"))</f>
        <v>Low</v>
      </c>
      <c r="O304">
        <v>0.1212</v>
      </c>
      <c r="P304" t="str">
        <f>IF(O304&lt;=0.15,"Very Cold",IF(O304&lt;=0.3,"Cold",IF(O304&lt;=0.45,"Pleasant","Hot")))</f>
        <v>Very Cold</v>
      </c>
      <c r="Q304">
        <v>0.54</v>
      </c>
      <c r="R304" t="str">
        <f>IF(Q304&lt;=0.25,"Low ",IF(Q304&lt;=0.5,"Moderate ",IF(Q304&lt;=0.75,"High ","Very High ")))</f>
        <v xml:space="preserve">High </v>
      </c>
      <c r="S304">
        <v>0.16420000000000001</v>
      </c>
      <c r="T304" t="str">
        <f>IF(S304&lt;=0.15,"Calm",IF(S304&lt;=0.3,"Light Wind",IF(S304&lt;=0.45,"Moderate Wind","Strong Wind")))</f>
        <v>Light Wind</v>
      </c>
      <c r="U304">
        <v>0</v>
      </c>
      <c r="V304">
        <v>5</v>
      </c>
      <c r="W304">
        <v>5</v>
      </c>
      <c r="X304" t="str">
        <f>IF(W304&lt;=75,"Low Demand",IF(W304&lt;=150,"Medium Demand",IF(W304&lt;=225,"High Demand","Very High Demand")))</f>
        <v>Low Demand</v>
      </c>
    </row>
    <row r="305" spans="1:24" x14ac:dyDescent="0.25">
      <c r="A305">
        <v>304</v>
      </c>
      <c r="B305" s="2">
        <v>40557</v>
      </c>
      <c r="C305">
        <v>1</v>
      </c>
      <c r="D305">
        <v>0</v>
      </c>
      <c r="E305">
        <v>1</v>
      </c>
      <c r="F305">
        <v>2</v>
      </c>
      <c r="G305" t="str">
        <f>IF(F305&lt;6,"Night",IF(F305&lt;12,"Morning",IF(F305&lt;18,"Afternoon","Evening")))</f>
        <v>Night</v>
      </c>
      <c r="H305">
        <v>0</v>
      </c>
      <c r="I305">
        <v>5</v>
      </c>
      <c r="J305" t="str">
        <f>CHOOSE(I305+1,"Monday","Tuesday","Wednesday","Thursday","Friday","Saturday","Sunday")</f>
        <v>Saturday</v>
      </c>
      <c r="K305">
        <v>1</v>
      </c>
      <c r="L305" t="str">
        <f>CHOOSE(K305+1,"error","Clear","Misty","Rainy","Severe heater")</f>
        <v>Clear</v>
      </c>
      <c r="M305">
        <v>0.1</v>
      </c>
      <c r="N305" t="str">
        <f>IF(M305&lt;=0.2,"Low",IF(M305&lt;=0.4,"Mid","High"))</f>
        <v>Low</v>
      </c>
      <c r="O305">
        <v>0.1212</v>
      </c>
      <c r="P305" t="str">
        <f>IF(O305&lt;=0.15,"Very Cold",IF(O305&lt;=0.3,"Cold",IF(O305&lt;=0.45,"Pleasant","Hot")))</f>
        <v>Very Cold</v>
      </c>
      <c r="Q305">
        <v>0.54</v>
      </c>
      <c r="R305" t="str">
        <f>IF(Q305&lt;=0.25,"Low ",IF(Q305&lt;=0.5,"Moderate ",IF(Q305&lt;=0.75,"High ","Very High ")))</f>
        <v xml:space="preserve">High </v>
      </c>
      <c r="S305">
        <v>0.1343</v>
      </c>
      <c r="T305" t="str">
        <f>IF(S305&lt;=0.15,"Calm",IF(S305&lt;=0.3,"Light Wind",IF(S305&lt;=0.45,"Moderate Wind","Strong Wind")))</f>
        <v>Calm</v>
      </c>
      <c r="U305">
        <v>0</v>
      </c>
      <c r="V305">
        <v>1</v>
      </c>
      <c r="W305">
        <v>1</v>
      </c>
      <c r="X305" t="str">
        <f>IF(W305&lt;=75,"Low Demand",IF(W305&lt;=150,"Medium Demand",IF(W305&lt;=225,"High Demand","Very High Demand")))</f>
        <v>Low Demand</v>
      </c>
    </row>
    <row r="306" spans="1:24" x14ac:dyDescent="0.25">
      <c r="A306">
        <v>305</v>
      </c>
      <c r="B306" s="2">
        <v>40557</v>
      </c>
      <c r="C306">
        <v>1</v>
      </c>
      <c r="D306">
        <v>0</v>
      </c>
      <c r="E306">
        <v>1</v>
      </c>
      <c r="F306">
        <v>3</v>
      </c>
      <c r="G306" t="str">
        <f>IF(F306&lt;6,"Night",IF(F306&lt;12,"Morning",IF(F306&lt;18,"Afternoon","Evening")))</f>
        <v>Night</v>
      </c>
      <c r="H306">
        <v>0</v>
      </c>
      <c r="I306">
        <v>5</v>
      </c>
      <c r="J306" t="str">
        <f>CHOOSE(I306+1,"Monday","Tuesday","Wednesday","Thursday","Friday","Saturday","Sunday")</f>
        <v>Saturday</v>
      </c>
      <c r="K306">
        <v>1</v>
      </c>
      <c r="L306" t="str">
        <f>CHOOSE(K306+1,"error","Clear","Misty","Rainy","Severe heater")</f>
        <v>Clear</v>
      </c>
      <c r="M306">
        <v>0.1</v>
      </c>
      <c r="N306" t="str">
        <f>IF(M306&lt;=0.2,"Low",IF(M306&lt;=0.4,"Mid","High"))</f>
        <v>Low</v>
      </c>
      <c r="O306">
        <v>0.13639999999999999</v>
      </c>
      <c r="P306" t="str">
        <f>IF(O306&lt;=0.15,"Very Cold",IF(O306&lt;=0.3,"Cold",IF(O306&lt;=0.45,"Pleasant","Hot")))</f>
        <v>Very Cold</v>
      </c>
      <c r="Q306">
        <v>0.54</v>
      </c>
      <c r="R306" t="str">
        <f>IF(Q306&lt;=0.25,"Low ",IF(Q306&lt;=0.5,"Moderate ",IF(Q306&lt;=0.75,"High ","Very High ")))</f>
        <v xml:space="preserve">High </v>
      </c>
      <c r="S306">
        <v>0.1045</v>
      </c>
      <c r="T306" t="str">
        <f>IF(S306&lt;=0.15,"Calm",IF(S306&lt;=0.3,"Light Wind",IF(S306&lt;=0.45,"Moderate Wind","Strong Wind")))</f>
        <v>Calm</v>
      </c>
      <c r="U306">
        <v>0</v>
      </c>
      <c r="V306">
        <v>1</v>
      </c>
      <c r="W306">
        <v>1</v>
      </c>
      <c r="X306" t="str">
        <f>IF(W306&lt;=75,"Low Demand",IF(W306&lt;=150,"Medium Demand",IF(W306&lt;=225,"High Demand","Very High Demand")))</f>
        <v>Low Demand</v>
      </c>
    </row>
    <row r="307" spans="1:24" x14ac:dyDescent="0.25">
      <c r="A307">
        <v>306</v>
      </c>
      <c r="B307" s="2">
        <v>40557</v>
      </c>
      <c r="C307">
        <v>1</v>
      </c>
      <c r="D307">
        <v>0</v>
      </c>
      <c r="E307">
        <v>1</v>
      </c>
      <c r="F307">
        <v>5</v>
      </c>
      <c r="G307" t="str">
        <f>IF(F307&lt;6,"Night",IF(F307&lt;12,"Morning",IF(F307&lt;18,"Afternoon","Evening")))</f>
        <v>Night</v>
      </c>
      <c r="H307">
        <v>0</v>
      </c>
      <c r="I307">
        <v>5</v>
      </c>
      <c r="J307" t="str">
        <f>CHOOSE(I307+1,"Monday","Tuesday","Wednesday","Thursday","Friday","Saturday","Sunday")</f>
        <v>Saturday</v>
      </c>
      <c r="K307">
        <v>1</v>
      </c>
      <c r="L307" t="str">
        <f>CHOOSE(K307+1,"error","Clear","Misty","Rainy","Severe heater")</f>
        <v>Clear</v>
      </c>
      <c r="M307">
        <v>0.1</v>
      </c>
      <c r="N307" t="str">
        <f>IF(M307&lt;=0.2,"Low",IF(M307&lt;=0.4,"Mid","High"))</f>
        <v>Low</v>
      </c>
      <c r="O307">
        <v>0.13639999999999999</v>
      </c>
      <c r="P307" t="str">
        <f>IF(O307&lt;=0.15,"Very Cold",IF(O307&lt;=0.3,"Cold",IF(O307&lt;=0.45,"Pleasant","Hot")))</f>
        <v>Very Cold</v>
      </c>
      <c r="Q307">
        <v>0.54</v>
      </c>
      <c r="R307" t="str">
        <f>IF(Q307&lt;=0.25,"Low ",IF(Q307&lt;=0.5,"Moderate ",IF(Q307&lt;=0.75,"High ","Very High ")))</f>
        <v xml:space="preserve">High </v>
      </c>
      <c r="S307">
        <v>8.9599999999999999E-2</v>
      </c>
      <c r="T307" t="str">
        <f>IF(S307&lt;=0.15,"Calm",IF(S307&lt;=0.3,"Light Wind",IF(S307&lt;=0.45,"Moderate Wind","Strong Wind")))</f>
        <v>Calm</v>
      </c>
      <c r="U307">
        <v>0</v>
      </c>
      <c r="V307">
        <v>8</v>
      </c>
      <c r="W307">
        <v>8</v>
      </c>
      <c r="X307" t="str">
        <f>IF(W307&lt;=75,"Low Demand",IF(W307&lt;=150,"Medium Demand",IF(W307&lt;=225,"High Demand","Very High Demand")))</f>
        <v>Low Demand</v>
      </c>
    </row>
    <row r="308" spans="1:24" x14ac:dyDescent="0.25">
      <c r="A308">
        <v>307</v>
      </c>
      <c r="B308" s="2">
        <v>40557</v>
      </c>
      <c r="C308">
        <v>1</v>
      </c>
      <c r="D308">
        <v>0</v>
      </c>
      <c r="E308">
        <v>1</v>
      </c>
      <c r="F308">
        <v>6</v>
      </c>
      <c r="G308" t="str">
        <f>IF(F308&lt;6,"Night",IF(F308&lt;12,"Morning",IF(F308&lt;18,"Afternoon","Evening")))</f>
        <v>Morning</v>
      </c>
      <c r="H308">
        <v>0</v>
      </c>
      <c r="I308">
        <v>5</v>
      </c>
      <c r="J308" t="str">
        <f>CHOOSE(I308+1,"Monday","Tuesday","Wednesday","Thursday","Friday","Saturday","Sunday")</f>
        <v>Saturday</v>
      </c>
      <c r="K308">
        <v>1</v>
      </c>
      <c r="L308" t="str">
        <f>CHOOSE(K308+1,"error","Clear","Misty","Rainy","Severe heater")</f>
        <v>Clear</v>
      </c>
      <c r="M308">
        <v>0.1</v>
      </c>
      <c r="N308" t="str">
        <f>IF(M308&lt;=0.2,"Low",IF(M308&lt;=0.4,"Mid","High"))</f>
        <v>Low</v>
      </c>
      <c r="O308">
        <v>0.18179999999999999</v>
      </c>
      <c r="P308" t="str">
        <f>IF(O308&lt;=0.15,"Very Cold",IF(O308&lt;=0.3,"Cold",IF(O308&lt;=0.45,"Pleasant","Hot")))</f>
        <v>Cold</v>
      </c>
      <c r="Q308">
        <v>0.54</v>
      </c>
      <c r="R308" t="str">
        <f>IF(Q308&lt;=0.25,"Low ",IF(Q308&lt;=0.5,"Moderate ",IF(Q308&lt;=0.75,"High ","Very High ")))</f>
        <v xml:space="preserve">High </v>
      </c>
      <c r="S308">
        <v>0</v>
      </c>
      <c r="T308" t="str">
        <f>IF(S308&lt;=0.15,"Calm",IF(S308&lt;=0.3,"Light Wind",IF(S308&lt;=0.45,"Moderate Wind","Strong Wind")))</f>
        <v>Calm</v>
      </c>
      <c r="U308">
        <v>0</v>
      </c>
      <c r="V308">
        <v>17</v>
      </c>
      <c r="W308">
        <v>17</v>
      </c>
      <c r="X308" t="str">
        <f>IF(W308&lt;=75,"Low Demand",IF(W308&lt;=150,"Medium Demand",IF(W308&lt;=225,"High Demand","Very High Demand")))</f>
        <v>Low Demand</v>
      </c>
    </row>
    <row r="309" spans="1:24" x14ac:dyDescent="0.25">
      <c r="A309">
        <v>308</v>
      </c>
      <c r="B309" s="2">
        <v>40557</v>
      </c>
      <c r="C309">
        <v>1</v>
      </c>
      <c r="D309">
        <v>0</v>
      </c>
      <c r="E309">
        <v>1</v>
      </c>
      <c r="F309">
        <v>7</v>
      </c>
      <c r="G309" t="str">
        <f>IF(F309&lt;6,"Night",IF(F309&lt;12,"Morning",IF(F309&lt;18,"Afternoon","Evening")))</f>
        <v>Morning</v>
      </c>
      <c r="H309">
        <v>0</v>
      </c>
      <c r="I309">
        <v>5</v>
      </c>
      <c r="J309" t="str">
        <f>CHOOSE(I309+1,"Monday","Tuesday","Wednesday","Thursday","Friday","Saturday","Sunday")</f>
        <v>Saturday</v>
      </c>
      <c r="K309">
        <v>1</v>
      </c>
      <c r="L309" t="str">
        <f>CHOOSE(K309+1,"error","Clear","Misty","Rainy","Severe heater")</f>
        <v>Clear</v>
      </c>
      <c r="M309">
        <v>0.1</v>
      </c>
      <c r="N309" t="str">
        <f>IF(M309&lt;=0.2,"Low",IF(M309&lt;=0.4,"Mid","High"))</f>
        <v>Low</v>
      </c>
      <c r="O309">
        <v>0.1212</v>
      </c>
      <c r="P309" t="str">
        <f>IF(O309&lt;=0.15,"Very Cold",IF(O309&lt;=0.3,"Cold",IF(O309&lt;=0.45,"Pleasant","Hot")))</f>
        <v>Very Cold</v>
      </c>
      <c r="Q309">
        <v>0.74</v>
      </c>
      <c r="R309" t="str">
        <f>IF(Q309&lt;=0.25,"Low ",IF(Q309&lt;=0.5,"Moderate ",IF(Q309&lt;=0.75,"High ","Very High ")))</f>
        <v xml:space="preserve">High </v>
      </c>
      <c r="S309">
        <v>0.16420000000000001</v>
      </c>
      <c r="T309" t="str">
        <f>IF(S309&lt;=0.15,"Calm",IF(S309&lt;=0.3,"Light Wind",IF(S309&lt;=0.45,"Moderate Wind","Strong Wind")))</f>
        <v>Light Wind</v>
      </c>
      <c r="U309">
        <v>0</v>
      </c>
      <c r="V309">
        <v>70</v>
      </c>
      <c r="W309">
        <v>70</v>
      </c>
      <c r="X309" t="str">
        <f>IF(W309&lt;=75,"Low Demand",IF(W309&lt;=150,"Medium Demand",IF(W309&lt;=225,"High Demand","Very High Demand")))</f>
        <v>Low Demand</v>
      </c>
    </row>
    <row r="310" spans="1:24" x14ac:dyDescent="0.25">
      <c r="A310">
        <v>309</v>
      </c>
      <c r="B310" s="2">
        <v>40557</v>
      </c>
      <c r="C310">
        <v>1</v>
      </c>
      <c r="D310">
        <v>0</v>
      </c>
      <c r="E310">
        <v>1</v>
      </c>
      <c r="F310">
        <v>8</v>
      </c>
      <c r="G310" t="str">
        <f>IF(F310&lt;6,"Night",IF(F310&lt;12,"Morning",IF(F310&lt;18,"Afternoon","Evening")))</f>
        <v>Morning</v>
      </c>
      <c r="H310">
        <v>0</v>
      </c>
      <c r="I310">
        <v>5</v>
      </c>
      <c r="J310" t="str">
        <f>CHOOSE(I310+1,"Monday","Tuesday","Wednesday","Thursday","Friday","Saturday","Sunday")</f>
        <v>Saturday</v>
      </c>
      <c r="K310">
        <v>1</v>
      </c>
      <c r="L310" t="str">
        <f>CHOOSE(K310+1,"error","Clear","Misty","Rainy","Severe heater")</f>
        <v>Clear</v>
      </c>
      <c r="M310">
        <v>0.12</v>
      </c>
      <c r="N310" t="str">
        <f>IF(M310&lt;=0.2,"Low",IF(M310&lt;=0.4,"Mid","High"))</f>
        <v>Low</v>
      </c>
      <c r="O310">
        <v>0.16669999999999999</v>
      </c>
      <c r="P310" t="str">
        <f>IF(O310&lt;=0.15,"Very Cold",IF(O310&lt;=0.3,"Cold",IF(O310&lt;=0.45,"Pleasant","Hot")))</f>
        <v>Cold</v>
      </c>
      <c r="Q310">
        <v>0.68</v>
      </c>
      <c r="R310" t="str">
        <f>IF(Q310&lt;=0.25,"Low ",IF(Q310&lt;=0.5,"Moderate ",IF(Q310&lt;=0.75,"High ","Very High ")))</f>
        <v xml:space="preserve">High </v>
      </c>
      <c r="S310">
        <v>0</v>
      </c>
      <c r="T310" t="str">
        <f>IF(S310&lt;=0.15,"Calm",IF(S310&lt;=0.3,"Light Wind",IF(S310&lt;=0.45,"Moderate Wind","Strong Wind")))</f>
        <v>Calm</v>
      </c>
      <c r="U310">
        <v>2</v>
      </c>
      <c r="V310">
        <v>156</v>
      </c>
      <c r="W310">
        <v>158</v>
      </c>
      <c r="X310" t="str">
        <f>IF(W310&lt;=75,"Low Demand",IF(W310&lt;=150,"Medium Demand",IF(W310&lt;=225,"High Demand","Very High Demand")))</f>
        <v>High Demand</v>
      </c>
    </row>
    <row r="311" spans="1:24" x14ac:dyDescent="0.25">
      <c r="A311">
        <v>310</v>
      </c>
      <c r="B311" s="2">
        <v>40557</v>
      </c>
      <c r="C311">
        <v>1</v>
      </c>
      <c r="D311">
        <v>0</v>
      </c>
      <c r="E311">
        <v>1</v>
      </c>
      <c r="F311">
        <v>9</v>
      </c>
      <c r="G311" t="str">
        <f>IF(F311&lt;6,"Night",IF(F311&lt;12,"Morning",IF(F311&lt;18,"Afternoon","Evening")))</f>
        <v>Morning</v>
      </c>
      <c r="H311">
        <v>0</v>
      </c>
      <c r="I311">
        <v>5</v>
      </c>
      <c r="J311" t="str">
        <f>CHOOSE(I311+1,"Monday","Tuesday","Wednesday","Thursday","Friday","Saturday","Sunday")</f>
        <v>Saturday</v>
      </c>
      <c r="K311">
        <v>1</v>
      </c>
      <c r="L311" t="str">
        <f>CHOOSE(K311+1,"error","Clear","Misty","Rainy","Severe heater")</f>
        <v>Clear</v>
      </c>
      <c r="M311">
        <v>0.14000000000000001</v>
      </c>
      <c r="N311" t="str">
        <f>IF(M311&lt;=0.2,"Low",IF(M311&lt;=0.4,"Mid","High"))</f>
        <v>Low</v>
      </c>
      <c r="O311">
        <v>0.1515</v>
      </c>
      <c r="P311" t="str">
        <f>IF(O311&lt;=0.15,"Very Cold",IF(O311&lt;=0.3,"Cold",IF(O311&lt;=0.45,"Pleasant","Hot")))</f>
        <v>Cold</v>
      </c>
      <c r="Q311">
        <v>0.69</v>
      </c>
      <c r="R311" t="str">
        <f>IF(Q311&lt;=0.25,"Low ",IF(Q311&lt;=0.5,"Moderate ",IF(Q311&lt;=0.75,"High ","Very High ")))</f>
        <v xml:space="preserve">High </v>
      </c>
      <c r="S311">
        <v>0.1343</v>
      </c>
      <c r="T311" t="str">
        <f>IF(S311&lt;=0.15,"Calm",IF(S311&lt;=0.3,"Light Wind",IF(S311&lt;=0.45,"Moderate Wind","Strong Wind")))</f>
        <v>Calm</v>
      </c>
      <c r="U311">
        <v>0</v>
      </c>
      <c r="V311">
        <v>117</v>
      </c>
      <c r="W311">
        <v>117</v>
      </c>
      <c r="X311" t="str">
        <f>IF(W311&lt;=75,"Low Demand",IF(W311&lt;=150,"Medium Demand",IF(W311&lt;=225,"High Demand","Very High Demand")))</f>
        <v>Medium Demand</v>
      </c>
    </row>
    <row r="312" spans="1:24" x14ac:dyDescent="0.25">
      <c r="A312">
        <v>311</v>
      </c>
      <c r="B312" s="2">
        <v>40557</v>
      </c>
      <c r="C312">
        <v>1</v>
      </c>
      <c r="D312">
        <v>0</v>
      </c>
      <c r="E312">
        <v>1</v>
      </c>
      <c r="F312">
        <v>10</v>
      </c>
      <c r="G312" t="str">
        <f>IF(F312&lt;6,"Night",IF(F312&lt;12,"Morning",IF(F312&lt;18,"Afternoon","Evening")))</f>
        <v>Morning</v>
      </c>
      <c r="H312">
        <v>0</v>
      </c>
      <c r="I312">
        <v>5</v>
      </c>
      <c r="J312" t="str">
        <f>CHOOSE(I312+1,"Monday","Tuesday","Wednesday","Thursday","Friday","Saturday","Sunday")</f>
        <v>Saturday</v>
      </c>
      <c r="K312">
        <v>1</v>
      </c>
      <c r="L312" t="str">
        <f>CHOOSE(K312+1,"error","Clear","Misty","Rainy","Severe heater")</f>
        <v>Clear</v>
      </c>
      <c r="M312">
        <v>0.18</v>
      </c>
      <c r="N312" t="str">
        <f>IF(M312&lt;=0.2,"Low",IF(M312&lt;=0.4,"Mid","High"))</f>
        <v>Low</v>
      </c>
      <c r="O312">
        <v>0.18179999999999999</v>
      </c>
      <c r="P312" t="str">
        <f>IF(O312&lt;=0.15,"Very Cold",IF(O312&lt;=0.3,"Cold",IF(O312&lt;=0.45,"Pleasant","Hot")))</f>
        <v>Cold</v>
      </c>
      <c r="Q312">
        <v>0.55000000000000004</v>
      </c>
      <c r="R312" t="str">
        <f>IF(Q312&lt;=0.25,"Low ",IF(Q312&lt;=0.5,"Moderate ",IF(Q312&lt;=0.75,"High ","Very High ")))</f>
        <v xml:space="preserve">High </v>
      </c>
      <c r="S312">
        <v>0.19400000000000001</v>
      </c>
      <c r="T312" t="str">
        <f>IF(S312&lt;=0.15,"Calm",IF(S312&lt;=0.3,"Light Wind",IF(S312&lt;=0.45,"Moderate Wind","Strong Wind")))</f>
        <v>Light Wind</v>
      </c>
      <c r="U312">
        <v>4</v>
      </c>
      <c r="V312">
        <v>40</v>
      </c>
      <c r="W312">
        <v>44</v>
      </c>
      <c r="X312" t="str">
        <f>IF(W312&lt;=75,"Low Demand",IF(W312&lt;=150,"Medium Demand",IF(W312&lt;=225,"High Demand","Very High Demand")))</f>
        <v>Low Demand</v>
      </c>
    </row>
    <row r="313" spans="1:24" x14ac:dyDescent="0.25">
      <c r="A313">
        <v>312</v>
      </c>
      <c r="B313" s="2">
        <v>40557</v>
      </c>
      <c r="C313">
        <v>1</v>
      </c>
      <c r="D313">
        <v>0</v>
      </c>
      <c r="E313">
        <v>1</v>
      </c>
      <c r="F313">
        <v>11</v>
      </c>
      <c r="G313" t="str">
        <f>IF(F313&lt;6,"Night",IF(F313&lt;12,"Morning",IF(F313&lt;18,"Afternoon","Evening")))</f>
        <v>Morning</v>
      </c>
      <c r="H313">
        <v>0</v>
      </c>
      <c r="I313">
        <v>5</v>
      </c>
      <c r="J313" t="str">
        <f>CHOOSE(I313+1,"Monday","Tuesday","Wednesday","Thursday","Friday","Saturday","Sunday")</f>
        <v>Saturday</v>
      </c>
      <c r="K313">
        <v>1</v>
      </c>
      <c r="L313" t="str">
        <f>CHOOSE(K313+1,"error","Clear","Misty","Rainy","Severe heater")</f>
        <v>Clear</v>
      </c>
      <c r="M313">
        <v>0.18</v>
      </c>
      <c r="N313" t="str">
        <f>IF(M313&lt;=0.2,"Low",IF(M313&lt;=0.4,"Mid","High"))</f>
        <v>Low</v>
      </c>
      <c r="O313">
        <v>0.16669999999999999</v>
      </c>
      <c r="P313" t="str">
        <f>IF(O313&lt;=0.15,"Very Cold",IF(O313&lt;=0.3,"Cold",IF(O313&lt;=0.45,"Pleasant","Hot")))</f>
        <v>Cold</v>
      </c>
      <c r="Q313">
        <v>0.51</v>
      </c>
      <c r="R313" t="str">
        <f>IF(Q313&lt;=0.25,"Low ",IF(Q313&lt;=0.5,"Moderate ",IF(Q313&lt;=0.75,"High ","Very High ")))</f>
        <v xml:space="preserve">High </v>
      </c>
      <c r="S313">
        <v>0.28360000000000002</v>
      </c>
      <c r="T313" t="str">
        <f>IF(S313&lt;=0.15,"Calm",IF(S313&lt;=0.3,"Light Wind",IF(S313&lt;=0.45,"Moderate Wind","Strong Wind")))</f>
        <v>Light Wind</v>
      </c>
      <c r="U313">
        <v>6</v>
      </c>
      <c r="V313">
        <v>47</v>
      </c>
      <c r="W313">
        <v>53</v>
      </c>
      <c r="X313" t="str">
        <f>IF(W313&lt;=75,"Low Demand",IF(W313&lt;=150,"Medium Demand",IF(W313&lt;=225,"High Demand","Very High Demand")))</f>
        <v>Low Demand</v>
      </c>
    </row>
    <row r="314" spans="1:24" x14ac:dyDescent="0.25">
      <c r="A314">
        <v>313</v>
      </c>
      <c r="B314" s="2">
        <v>40557</v>
      </c>
      <c r="C314">
        <v>1</v>
      </c>
      <c r="D314">
        <v>0</v>
      </c>
      <c r="E314">
        <v>1</v>
      </c>
      <c r="F314">
        <v>12</v>
      </c>
      <c r="G314" t="str">
        <f>IF(F314&lt;6,"Night",IF(F314&lt;12,"Morning",IF(F314&lt;18,"Afternoon","Evening")))</f>
        <v>Afternoon</v>
      </c>
      <c r="H314">
        <v>0</v>
      </c>
      <c r="I314">
        <v>5</v>
      </c>
      <c r="J314" t="str">
        <f>CHOOSE(I314+1,"Monday","Tuesday","Wednesday","Thursday","Friday","Saturday","Sunday")</f>
        <v>Saturday</v>
      </c>
      <c r="K314">
        <v>1</v>
      </c>
      <c r="L314" t="str">
        <f>CHOOSE(K314+1,"error","Clear","Misty","Rainy","Severe heater")</f>
        <v>Clear</v>
      </c>
      <c r="M314">
        <v>0.2</v>
      </c>
      <c r="N314" t="str">
        <f>IF(M314&lt;=0.2,"Low",IF(M314&lt;=0.4,"Mid","High"))</f>
        <v>Low</v>
      </c>
      <c r="O314">
        <v>0.19700000000000001</v>
      </c>
      <c r="P314" t="str">
        <f>IF(O314&lt;=0.15,"Very Cold",IF(O314&lt;=0.3,"Cold",IF(O314&lt;=0.45,"Pleasant","Hot")))</f>
        <v>Cold</v>
      </c>
      <c r="Q314">
        <v>0.44</v>
      </c>
      <c r="R314" t="str">
        <f>IF(Q314&lt;=0.25,"Low ",IF(Q314&lt;=0.5,"Moderate ",IF(Q314&lt;=0.75,"High ","Very High ")))</f>
        <v xml:space="preserve">Moderate </v>
      </c>
      <c r="S314">
        <v>0.25369999999999998</v>
      </c>
      <c r="T314" t="str">
        <f>IF(S314&lt;=0.15,"Calm",IF(S314&lt;=0.3,"Light Wind",IF(S314&lt;=0.45,"Moderate Wind","Strong Wind")))</f>
        <v>Light Wind</v>
      </c>
      <c r="U314">
        <v>2</v>
      </c>
      <c r="V314">
        <v>59</v>
      </c>
      <c r="W314">
        <v>61</v>
      </c>
      <c r="X314" t="str">
        <f>IF(W314&lt;=75,"Low Demand",IF(W314&lt;=150,"Medium Demand",IF(W314&lt;=225,"High Demand","Very High Demand")))</f>
        <v>Low Demand</v>
      </c>
    </row>
    <row r="315" spans="1:24" x14ac:dyDescent="0.25">
      <c r="A315">
        <v>314</v>
      </c>
      <c r="B315" s="2">
        <v>40557</v>
      </c>
      <c r="C315">
        <v>1</v>
      </c>
      <c r="D315">
        <v>0</v>
      </c>
      <c r="E315">
        <v>1</v>
      </c>
      <c r="F315">
        <v>13</v>
      </c>
      <c r="G315" t="str">
        <f>IF(F315&lt;6,"Night",IF(F315&lt;12,"Morning",IF(F315&lt;18,"Afternoon","Evening")))</f>
        <v>Afternoon</v>
      </c>
      <c r="H315">
        <v>0</v>
      </c>
      <c r="I315">
        <v>5</v>
      </c>
      <c r="J315" t="str">
        <f>CHOOSE(I315+1,"Monday","Tuesday","Wednesday","Thursday","Friday","Saturday","Sunday")</f>
        <v>Saturday</v>
      </c>
      <c r="K315">
        <v>1</v>
      </c>
      <c r="L315" t="str">
        <f>CHOOSE(K315+1,"error","Clear","Misty","Rainy","Severe heater")</f>
        <v>Clear</v>
      </c>
      <c r="M315">
        <v>0.22</v>
      </c>
      <c r="N315" t="str">
        <f>IF(M315&lt;=0.2,"Low",IF(M315&lt;=0.4,"Mid","High"))</f>
        <v>Mid</v>
      </c>
      <c r="O315">
        <v>0.19700000000000001</v>
      </c>
      <c r="P315" t="str">
        <f>IF(O315&lt;=0.15,"Very Cold",IF(O315&lt;=0.3,"Cold",IF(O315&lt;=0.45,"Pleasant","Hot")))</f>
        <v>Cold</v>
      </c>
      <c r="Q315">
        <v>0.37</v>
      </c>
      <c r="R315" t="str">
        <f>IF(Q315&lt;=0.25,"Low ",IF(Q315&lt;=0.5,"Moderate ",IF(Q315&lt;=0.75,"High ","Very High ")))</f>
        <v xml:space="preserve">Moderate </v>
      </c>
      <c r="S315">
        <v>0.3881</v>
      </c>
      <c r="T315" t="str">
        <f>IF(S315&lt;=0.15,"Calm",IF(S315&lt;=0.3,"Light Wind",IF(S315&lt;=0.45,"Moderate Wind","Strong Wind")))</f>
        <v>Moderate Wind</v>
      </c>
      <c r="U315">
        <v>4</v>
      </c>
      <c r="V315">
        <v>73</v>
      </c>
      <c r="W315">
        <v>77</v>
      </c>
      <c r="X315" t="str">
        <f>IF(W315&lt;=75,"Low Demand",IF(W315&lt;=150,"Medium Demand",IF(W315&lt;=225,"High Demand","Very High Demand")))</f>
        <v>Medium Demand</v>
      </c>
    </row>
    <row r="316" spans="1:24" x14ac:dyDescent="0.25">
      <c r="A316">
        <v>315</v>
      </c>
      <c r="B316" s="2">
        <v>40557</v>
      </c>
      <c r="C316">
        <v>1</v>
      </c>
      <c r="D316">
        <v>0</v>
      </c>
      <c r="E316">
        <v>1</v>
      </c>
      <c r="F316">
        <v>14</v>
      </c>
      <c r="G316" t="str">
        <f>IF(F316&lt;6,"Night",IF(F316&lt;12,"Morning",IF(F316&lt;18,"Afternoon","Evening")))</f>
        <v>Afternoon</v>
      </c>
      <c r="H316">
        <v>0</v>
      </c>
      <c r="I316">
        <v>5</v>
      </c>
      <c r="J316" t="str">
        <f>CHOOSE(I316+1,"Monday","Tuesday","Wednesday","Thursday","Friday","Saturday","Sunday")</f>
        <v>Saturday</v>
      </c>
      <c r="K316">
        <v>1</v>
      </c>
      <c r="L316" t="str">
        <f>CHOOSE(K316+1,"error","Clear","Misty","Rainy","Severe heater")</f>
        <v>Clear</v>
      </c>
      <c r="M316">
        <v>0.22</v>
      </c>
      <c r="N316" t="str">
        <f>IF(M316&lt;=0.2,"Low",IF(M316&lt;=0.4,"Mid","High"))</f>
        <v>Mid</v>
      </c>
      <c r="O316">
        <v>0.21210000000000001</v>
      </c>
      <c r="P316" t="str">
        <f>IF(O316&lt;=0.15,"Very Cold",IF(O316&lt;=0.3,"Cold",IF(O316&lt;=0.45,"Pleasant","Hot")))</f>
        <v>Cold</v>
      </c>
      <c r="Q316">
        <v>0.41</v>
      </c>
      <c r="R316" t="str">
        <f>IF(Q316&lt;=0.25,"Low ",IF(Q316&lt;=0.5,"Moderate ",IF(Q316&lt;=0.75,"High ","Very High ")))</f>
        <v xml:space="preserve">Moderate </v>
      </c>
      <c r="S316">
        <v>0.28360000000000002</v>
      </c>
      <c r="T316" t="str">
        <f>IF(S316&lt;=0.15,"Calm",IF(S316&lt;=0.3,"Light Wind",IF(S316&lt;=0.45,"Moderate Wind","Strong Wind")))</f>
        <v>Light Wind</v>
      </c>
      <c r="U316">
        <v>5</v>
      </c>
      <c r="V316">
        <v>59</v>
      </c>
      <c r="W316">
        <v>64</v>
      </c>
      <c r="X316" t="str">
        <f>IF(W316&lt;=75,"Low Demand",IF(W316&lt;=150,"Medium Demand",IF(W316&lt;=225,"High Demand","Very High Demand")))</f>
        <v>Low Demand</v>
      </c>
    </row>
    <row r="317" spans="1:24" x14ac:dyDescent="0.25">
      <c r="A317">
        <v>316</v>
      </c>
      <c r="B317" s="2">
        <v>40557</v>
      </c>
      <c r="C317">
        <v>1</v>
      </c>
      <c r="D317">
        <v>0</v>
      </c>
      <c r="E317">
        <v>1</v>
      </c>
      <c r="F317">
        <v>15</v>
      </c>
      <c r="G317" t="str">
        <f>IF(F317&lt;6,"Night",IF(F317&lt;12,"Morning",IF(F317&lt;18,"Afternoon","Evening")))</f>
        <v>Afternoon</v>
      </c>
      <c r="H317">
        <v>0</v>
      </c>
      <c r="I317">
        <v>5</v>
      </c>
      <c r="J317" t="str">
        <f>CHOOSE(I317+1,"Monday","Tuesday","Wednesday","Thursday","Friday","Saturday","Sunday")</f>
        <v>Saturday</v>
      </c>
      <c r="K317">
        <v>1</v>
      </c>
      <c r="L317" t="str">
        <f>CHOOSE(K317+1,"error","Clear","Misty","Rainy","Severe heater")</f>
        <v>Clear</v>
      </c>
      <c r="M317">
        <v>0.24</v>
      </c>
      <c r="N317" t="str">
        <f>IF(M317&lt;=0.2,"Low",IF(M317&lt;=0.4,"Mid","High"))</f>
        <v>Mid</v>
      </c>
      <c r="O317">
        <v>0.2424</v>
      </c>
      <c r="P317" t="str">
        <f>IF(O317&lt;=0.15,"Very Cold",IF(O317&lt;=0.3,"Cold",IF(O317&lt;=0.45,"Pleasant","Hot")))</f>
        <v>Cold</v>
      </c>
      <c r="Q317">
        <v>0.38</v>
      </c>
      <c r="R317" t="str">
        <f>IF(Q317&lt;=0.25,"Low ",IF(Q317&lt;=0.5,"Moderate ",IF(Q317&lt;=0.75,"High ","Very High ")))</f>
        <v xml:space="preserve">Moderate </v>
      </c>
      <c r="S317">
        <v>0.16420000000000001</v>
      </c>
      <c r="T317" t="str">
        <f>IF(S317&lt;=0.15,"Calm",IF(S317&lt;=0.3,"Light Wind",IF(S317&lt;=0.45,"Moderate Wind","Strong Wind")))</f>
        <v>Light Wind</v>
      </c>
      <c r="U317">
        <v>9</v>
      </c>
      <c r="V317">
        <v>59</v>
      </c>
      <c r="W317">
        <v>68</v>
      </c>
      <c r="X317" t="str">
        <f>IF(W317&lt;=75,"Low Demand",IF(W317&lt;=150,"Medium Demand",IF(W317&lt;=225,"High Demand","Very High Demand")))</f>
        <v>Low Demand</v>
      </c>
    </row>
    <row r="318" spans="1:24" x14ac:dyDescent="0.25">
      <c r="A318">
        <v>317</v>
      </c>
      <c r="B318" s="2">
        <v>40557</v>
      </c>
      <c r="C318">
        <v>1</v>
      </c>
      <c r="D318">
        <v>0</v>
      </c>
      <c r="E318">
        <v>1</v>
      </c>
      <c r="F318">
        <v>16</v>
      </c>
      <c r="G318" t="str">
        <f>IF(F318&lt;6,"Night",IF(F318&lt;12,"Morning",IF(F318&lt;18,"Afternoon","Evening")))</f>
        <v>Afternoon</v>
      </c>
      <c r="H318">
        <v>0</v>
      </c>
      <c r="I318">
        <v>5</v>
      </c>
      <c r="J318" t="str">
        <f>CHOOSE(I318+1,"Monday","Tuesday","Wednesday","Thursday","Friday","Saturday","Sunday")</f>
        <v>Saturday</v>
      </c>
      <c r="K318">
        <v>1</v>
      </c>
      <c r="L318" t="str">
        <f>CHOOSE(K318+1,"error","Clear","Misty","Rainy","Severe heater")</f>
        <v>Clear</v>
      </c>
      <c r="M318">
        <v>0.22</v>
      </c>
      <c r="N318" t="str">
        <f>IF(M318&lt;=0.2,"Low",IF(M318&lt;=0.4,"Mid","High"))</f>
        <v>Mid</v>
      </c>
      <c r="O318">
        <v>0.2424</v>
      </c>
      <c r="P318" t="str">
        <f>IF(O318&lt;=0.15,"Very Cold",IF(O318&lt;=0.3,"Cold",IF(O318&lt;=0.45,"Pleasant","Hot")))</f>
        <v>Cold</v>
      </c>
      <c r="Q318">
        <v>0.41</v>
      </c>
      <c r="R318" t="str">
        <f>IF(Q318&lt;=0.25,"Low ",IF(Q318&lt;=0.5,"Moderate ",IF(Q318&lt;=0.75,"High ","Very High ")))</f>
        <v xml:space="preserve">Moderate </v>
      </c>
      <c r="S318">
        <v>0.1045</v>
      </c>
      <c r="T318" t="str">
        <f>IF(S318&lt;=0.15,"Calm",IF(S318&lt;=0.3,"Light Wind",IF(S318&lt;=0.45,"Moderate Wind","Strong Wind")))</f>
        <v>Calm</v>
      </c>
      <c r="U318">
        <v>3</v>
      </c>
      <c r="V318">
        <v>87</v>
      </c>
      <c r="W318">
        <v>90</v>
      </c>
      <c r="X318" t="str">
        <f>IF(W318&lt;=75,"Low Demand",IF(W318&lt;=150,"Medium Demand",IF(W318&lt;=225,"High Demand","Very High Demand")))</f>
        <v>Medium Demand</v>
      </c>
    </row>
    <row r="319" spans="1:24" x14ac:dyDescent="0.25">
      <c r="A319">
        <v>318</v>
      </c>
      <c r="B319" s="2">
        <v>40557</v>
      </c>
      <c r="C319">
        <v>1</v>
      </c>
      <c r="D319">
        <v>0</v>
      </c>
      <c r="E319">
        <v>1</v>
      </c>
      <c r="F319">
        <v>17</v>
      </c>
      <c r="G319" t="str">
        <f>IF(F319&lt;6,"Night",IF(F319&lt;12,"Morning",IF(F319&lt;18,"Afternoon","Evening")))</f>
        <v>Afternoon</v>
      </c>
      <c r="H319">
        <v>0</v>
      </c>
      <c r="I319">
        <v>5</v>
      </c>
      <c r="J319" t="str">
        <f>CHOOSE(I319+1,"Monday","Tuesday","Wednesday","Thursday","Friday","Saturday","Sunday")</f>
        <v>Saturday</v>
      </c>
      <c r="K319">
        <v>1</v>
      </c>
      <c r="L319" t="str">
        <f>CHOOSE(K319+1,"error","Clear","Misty","Rainy","Severe heater")</f>
        <v>Clear</v>
      </c>
      <c r="M319">
        <v>0.22</v>
      </c>
      <c r="N319" t="str">
        <f>IF(M319&lt;=0.2,"Low",IF(M319&lt;=0.4,"Mid","High"))</f>
        <v>Mid</v>
      </c>
      <c r="O319">
        <v>0.2273</v>
      </c>
      <c r="P319" t="str">
        <f>IF(O319&lt;=0.15,"Very Cold",IF(O319&lt;=0.3,"Cold",IF(O319&lt;=0.45,"Pleasant","Hot")))</f>
        <v>Cold</v>
      </c>
      <c r="Q319">
        <v>0.41</v>
      </c>
      <c r="R319" t="str">
        <f>IF(Q319&lt;=0.25,"Low ",IF(Q319&lt;=0.5,"Moderate ",IF(Q319&lt;=0.75,"High ","Very High ")))</f>
        <v xml:space="preserve">Moderate </v>
      </c>
      <c r="S319">
        <v>0.16420000000000001</v>
      </c>
      <c r="T319" t="str">
        <f>IF(S319&lt;=0.15,"Calm",IF(S319&lt;=0.3,"Light Wind",IF(S319&lt;=0.45,"Moderate Wind","Strong Wind")))</f>
        <v>Light Wind</v>
      </c>
      <c r="U319">
        <v>4</v>
      </c>
      <c r="V319">
        <v>155</v>
      </c>
      <c r="W319">
        <v>159</v>
      </c>
      <c r="X319" t="str">
        <f>IF(W319&lt;=75,"Low Demand",IF(W319&lt;=150,"Medium Demand",IF(W319&lt;=225,"High Demand","Very High Demand")))</f>
        <v>High Demand</v>
      </c>
    </row>
    <row r="320" spans="1:24" x14ac:dyDescent="0.25">
      <c r="A320">
        <v>319</v>
      </c>
      <c r="B320" s="2">
        <v>40557</v>
      </c>
      <c r="C320">
        <v>1</v>
      </c>
      <c r="D320">
        <v>0</v>
      </c>
      <c r="E320">
        <v>1</v>
      </c>
      <c r="F320">
        <v>18</v>
      </c>
      <c r="G320" t="str">
        <f>IF(F320&lt;6,"Night",IF(F320&lt;12,"Morning",IF(F320&lt;18,"Afternoon","Evening")))</f>
        <v>Evening</v>
      </c>
      <c r="H320">
        <v>0</v>
      </c>
      <c r="I320">
        <v>5</v>
      </c>
      <c r="J320" t="str">
        <f>CHOOSE(I320+1,"Monday","Tuesday","Wednesday","Thursday","Friday","Saturday","Sunday")</f>
        <v>Saturday</v>
      </c>
      <c r="K320">
        <v>1</v>
      </c>
      <c r="L320" t="str">
        <f>CHOOSE(K320+1,"error","Clear","Misty","Rainy","Severe heater")</f>
        <v>Clear</v>
      </c>
      <c r="M320">
        <v>0.2</v>
      </c>
      <c r="N320" t="str">
        <f>IF(M320&lt;=0.2,"Low",IF(M320&lt;=0.4,"Mid","High"))</f>
        <v>Low</v>
      </c>
      <c r="O320">
        <v>0.2576</v>
      </c>
      <c r="P320" t="str">
        <f>IF(O320&lt;=0.15,"Very Cold",IF(O320&lt;=0.3,"Cold",IF(O320&lt;=0.45,"Pleasant","Hot")))</f>
        <v>Cold</v>
      </c>
      <c r="Q320">
        <v>0.47</v>
      </c>
      <c r="R320" t="str">
        <f>IF(Q320&lt;=0.25,"Low ",IF(Q320&lt;=0.5,"Moderate ",IF(Q320&lt;=0.75,"High ","Very High ")))</f>
        <v xml:space="preserve">Moderate </v>
      </c>
      <c r="S320">
        <v>0</v>
      </c>
      <c r="T320" t="str">
        <f>IF(S320&lt;=0.15,"Calm",IF(S320&lt;=0.3,"Light Wind",IF(S320&lt;=0.45,"Moderate Wind","Strong Wind")))</f>
        <v>Calm</v>
      </c>
      <c r="U320">
        <v>5</v>
      </c>
      <c r="V320">
        <v>134</v>
      </c>
      <c r="W320">
        <v>139</v>
      </c>
      <c r="X320" t="str">
        <f>IF(W320&lt;=75,"Low Demand",IF(W320&lt;=150,"Medium Demand",IF(W320&lt;=225,"High Demand","Very High Demand")))</f>
        <v>Medium Demand</v>
      </c>
    </row>
    <row r="321" spans="1:24" x14ac:dyDescent="0.25">
      <c r="A321">
        <v>320</v>
      </c>
      <c r="B321" s="2">
        <v>40557</v>
      </c>
      <c r="C321">
        <v>1</v>
      </c>
      <c r="D321">
        <v>0</v>
      </c>
      <c r="E321">
        <v>1</v>
      </c>
      <c r="F321">
        <v>19</v>
      </c>
      <c r="G321" t="str">
        <f>IF(F321&lt;6,"Night",IF(F321&lt;12,"Morning",IF(F321&lt;18,"Afternoon","Evening")))</f>
        <v>Evening</v>
      </c>
      <c r="H321">
        <v>0</v>
      </c>
      <c r="I321">
        <v>5</v>
      </c>
      <c r="J321" t="str">
        <f>CHOOSE(I321+1,"Monday","Tuesday","Wednesday","Thursday","Friday","Saturday","Sunday")</f>
        <v>Saturday</v>
      </c>
      <c r="K321">
        <v>1</v>
      </c>
      <c r="L321" t="str">
        <f>CHOOSE(K321+1,"error","Clear","Misty","Rainy","Severe heater")</f>
        <v>Clear</v>
      </c>
      <c r="M321">
        <v>0.16</v>
      </c>
      <c r="N321" t="str">
        <f>IF(M321&lt;=0.2,"Low",IF(M321&lt;=0.4,"Mid","High"))</f>
        <v>Low</v>
      </c>
      <c r="O321">
        <v>0.19700000000000001</v>
      </c>
      <c r="P321" t="str">
        <f>IF(O321&lt;=0.15,"Very Cold",IF(O321&lt;=0.3,"Cold",IF(O321&lt;=0.45,"Pleasant","Hot")))</f>
        <v>Cold</v>
      </c>
      <c r="Q321">
        <v>0.59</v>
      </c>
      <c r="R321" t="str">
        <f>IF(Q321&lt;=0.25,"Low ",IF(Q321&lt;=0.5,"Moderate ",IF(Q321&lt;=0.75,"High ","Very High ")))</f>
        <v xml:space="preserve">High </v>
      </c>
      <c r="S321">
        <v>8.9599999999999999E-2</v>
      </c>
      <c r="T321" t="str">
        <f>IF(S321&lt;=0.15,"Calm",IF(S321&lt;=0.3,"Light Wind",IF(S321&lt;=0.45,"Moderate Wind","Strong Wind")))</f>
        <v>Calm</v>
      </c>
      <c r="U321">
        <v>3</v>
      </c>
      <c r="V321">
        <v>89</v>
      </c>
      <c r="W321">
        <v>92</v>
      </c>
      <c r="X321" t="str">
        <f>IF(W321&lt;=75,"Low Demand",IF(W321&lt;=150,"Medium Demand",IF(W321&lt;=225,"High Demand","Very High Demand")))</f>
        <v>Medium Demand</v>
      </c>
    </row>
    <row r="322" spans="1:24" x14ac:dyDescent="0.25">
      <c r="A322">
        <v>321</v>
      </c>
      <c r="B322" s="2">
        <v>40557</v>
      </c>
      <c r="C322">
        <v>1</v>
      </c>
      <c r="D322">
        <v>0</v>
      </c>
      <c r="E322">
        <v>1</v>
      </c>
      <c r="F322">
        <v>20</v>
      </c>
      <c r="G322" t="str">
        <f>IF(F322&lt;6,"Night",IF(F322&lt;12,"Morning",IF(F322&lt;18,"Afternoon","Evening")))</f>
        <v>Evening</v>
      </c>
      <c r="H322">
        <v>0</v>
      </c>
      <c r="I322">
        <v>5</v>
      </c>
      <c r="J322" t="str">
        <f>CHOOSE(I322+1,"Monday","Tuesday","Wednesday","Thursday","Friday","Saturday","Sunday")</f>
        <v>Saturday</v>
      </c>
      <c r="K322">
        <v>1</v>
      </c>
      <c r="L322" t="str">
        <f>CHOOSE(K322+1,"error","Clear","Misty","Rainy","Severe heater")</f>
        <v>Clear</v>
      </c>
      <c r="M322">
        <v>0.18</v>
      </c>
      <c r="N322" t="str">
        <f>IF(M322&lt;=0.2,"Low",IF(M322&lt;=0.4,"Mid","High"))</f>
        <v>Low</v>
      </c>
      <c r="O322">
        <v>0.2424</v>
      </c>
      <c r="P322" t="str">
        <f>IF(O322&lt;=0.15,"Very Cold",IF(O322&lt;=0.3,"Cold",IF(O322&lt;=0.45,"Pleasant","Hot")))</f>
        <v>Cold</v>
      </c>
      <c r="Q322">
        <v>0.59</v>
      </c>
      <c r="R322" t="str">
        <f>IF(Q322&lt;=0.25,"Low ",IF(Q322&lt;=0.5,"Moderate ",IF(Q322&lt;=0.75,"High ","Very High ")))</f>
        <v xml:space="preserve">High </v>
      </c>
      <c r="S322">
        <v>0</v>
      </c>
      <c r="T322" t="str">
        <f>IF(S322&lt;=0.15,"Calm",IF(S322&lt;=0.3,"Light Wind",IF(S322&lt;=0.45,"Moderate Wind","Strong Wind")))</f>
        <v>Calm</v>
      </c>
      <c r="U322">
        <v>0</v>
      </c>
      <c r="V322">
        <v>68</v>
      </c>
      <c r="W322">
        <v>68</v>
      </c>
      <c r="X322" t="str">
        <f>IF(W322&lt;=75,"Low Demand",IF(W322&lt;=150,"Medium Demand",IF(W322&lt;=225,"High Demand","Very High Demand")))</f>
        <v>Low Demand</v>
      </c>
    </row>
    <row r="323" spans="1:24" x14ac:dyDescent="0.25">
      <c r="A323">
        <v>322</v>
      </c>
      <c r="B323" s="2">
        <v>40557</v>
      </c>
      <c r="C323">
        <v>1</v>
      </c>
      <c r="D323">
        <v>0</v>
      </c>
      <c r="E323">
        <v>1</v>
      </c>
      <c r="F323">
        <v>21</v>
      </c>
      <c r="G323" t="str">
        <f>IF(F323&lt;6,"Night",IF(F323&lt;12,"Morning",IF(F323&lt;18,"Afternoon","Evening")))</f>
        <v>Evening</v>
      </c>
      <c r="H323">
        <v>0</v>
      </c>
      <c r="I323">
        <v>5</v>
      </c>
      <c r="J323" t="str">
        <f>CHOOSE(I323+1,"Monday","Tuesday","Wednesday","Thursday","Friday","Saturday","Sunday")</f>
        <v>Saturday</v>
      </c>
      <c r="K323">
        <v>1</v>
      </c>
      <c r="L323" t="str">
        <f>CHOOSE(K323+1,"error","Clear","Misty","Rainy","Severe heater")</f>
        <v>Clear</v>
      </c>
      <c r="M323">
        <v>0.16</v>
      </c>
      <c r="N323" t="str">
        <f>IF(M323&lt;=0.2,"Low",IF(M323&lt;=0.4,"Mid","High"))</f>
        <v>Low</v>
      </c>
      <c r="O323">
        <v>0.2273</v>
      </c>
      <c r="P323" t="str">
        <f>IF(O323&lt;=0.15,"Very Cold",IF(O323&lt;=0.3,"Cold",IF(O323&lt;=0.45,"Pleasant","Hot")))</f>
        <v>Cold</v>
      </c>
      <c r="Q323">
        <v>0.69</v>
      </c>
      <c r="R323" t="str">
        <f>IF(Q323&lt;=0.25,"Low ",IF(Q323&lt;=0.5,"Moderate ",IF(Q323&lt;=0.75,"High ","Very High ")))</f>
        <v xml:space="preserve">High </v>
      </c>
      <c r="S323">
        <v>0</v>
      </c>
      <c r="T323" t="str">
        <f>IF(S323&lt;=0.15,"Calm",IF(S323&lt;=0.3,"Light Wind",IF(S323&lt;=0.45,"Moderate Wind","Strong Wind")))</f>
        <v>Calm</v>
      </c>
      <c r="U323">
        <v>4</v>
      </c>
      <c r="V323">
        <v>48</v>
      </c>
      <c r="W323">
        <v>52</v>
      </c>
      <c r="X323" t="str">
        <f>IF(W323&lt;=75,"Low Demand",IF(W323&lt;=150,"Medium Demand",IF(W323&lt;=225,"High Demand","Very High Demand")))</f>
        <v>Low Demand</v>
      </c>
    </row>
    <row r="324" spans="1:24" x14ac:dyDescent="0.25">
      <c r="A324">
        <v>323</v>
      </c>
      <c r="B324" s="2">
        <v>40557</v>
      </c>
      <c r="C324">
        <v>1</v>
      </c>
      <c r="D324">
        <v>0</v>
      </c>
      <c r="E324">
        <v>1</v>
      </c>
      <c r="F324">
        <v>22</v>
      </c>
      <c r="G324" t="str">
        <f>IF(F324&lt;6,"Night",IF(F324&lt;12,"Morning",IF(F324&lt;18,"Afternoon","Evening")))</f>
        <v>Evening</v>
      </c>
      <c r="H324">
        <v>0</v>
      </c>
      <c r="I324">
        <v>5</v>
      </c>
      <c r="J324" t="str">
        <f>CHOOSE(I324+1,"Monday","Tuesday","Wednesday","Thursday","Friday","Saturday","Sunday")</f>
        <v>Saturday</v>
      </c>
      <c r="K324">
        <v>2</v>
      </c>
      <c r="L324" t="str">
        <f>CHOOSE(K324+1,"error","Clear","Misty","Rainy","Severe heater")</f>
        <v>Misty</v>
      </c>
      <c r="M324">
        <v>0.16</v>
      </c>
      <c r="N324" t="str">
        <f>IF(M324&lt;=0.2,"Low",IF(M324&lt;=0.4,"Mid","High"))</f>
        <v>Low</v>
      </c>
      <c r="O324">
        <v>0.2273</v>
      </c>
      <c r="P324" t="str">
        <f>IF(O324&lt;=0.15,"Very Cold",IF(O324&lt;=0.3,"Cold",IF(O324&lt;=0.45,"Pleasant","Hot")))</f>
        <v>Cold</v>
      </c>
      <c r="Q324">
        <v>0.69</v>
      </c>
      <c r="R324" t="str">
        <f>IF(Q324&lt;=0.25,"Low ",IF(Q324&lt;=0.5,"Moderate ",IF(Q324&lt;=0.75,"High ","Very High ")))</f>
        <v xml:space="preserve">High </v>
      </c>
      <c r="S324">
        <v>0</v>
      </c>
      <c r="T324" t="str">
        <f>IF(S324&lt;=0.15,"Calm",IF(S324&lt;=0.3,"Light Wind",IF(S324&lt;=0.45,"Moderate Wind","Strong Wind")))</f>
        <v>Calm</v>
      </c>
      <c r="U324">
        <v>2</v>
      </c>
      <c r="V324">
        <v>34</v>
      </c>
      <c r="W324">
        <v>36</v>
      </c>
      <c r="X324" t="str">
        <f>IF(W324&lt;=75,"Low Demand",IF(W324&lt;=150,"Medium Demand",IF(W324&lt;=225,"High Demand","Very High Demand")))</f>
        <v>Low Demand</v>
      </c>
    </row>
    <row r="325" spans="1:24" x14ac:dyDescent="0.25">
      <c r="A325">
        <v>324</v>
      </c>
      <c r="B325" s="2">
        <v>40557</v>
      </c>
      <c r="C325">
        <v>1</v>
      </c>
      <c r="D325">
        <v>0</v>
      </c>
      <c r="E325">
        <v>1</v>
      </c>
      <c r="F325">
        <v>23</v>
      </c>
      <c r="G325" t="str">
        <f>IF(F325&lt;6,"Night",IF(F325&lt;12,"Morning",IF(F325&lt;18,"Afternoon","Evening")))</f>
        <v>Evening</v>
      </c>
      <c r="H325">
        <v>0</v>
      </c>
      <c r="I325">
        <v>5</v>
      </c>
      <c r="J325" t="str">
        <f>CHOOSE(I325+1,"Monday","Tuesday","Wednesday","Thursday","Friday","Saturday","Sunday")</f>
        <v>Saturday</v>
      </c>
      <c r="K325">
        <v>2</v>
      </c>
      <c r="L325" t="str">
        <f>CHOOSE(K325+1,"error","Clear","Misty","Rainy","Severe heater")</f>
        <v>Misty</v>
      </c>
      <c r="M325">
        <v>0.18</v>
      </c>
      <c r="N325" t="str">
        <f>IF(M325&lt;=0.2,"Low",IF(M325&lt;=0.4,"Mid","High"))</f>
        <v>Low</v>
      </c>
      <c r="O325">
        <v>0.2424</v>
      </c>
      <c r="P325" t="str">
        <f>IF(O325&lt;=0.15,"Very Cold",IF(O325&lt;=0.3,"Cold",IF(O325&lt;=0.45,"Pleasant","Hot")))</f>
        <v>Cold</v>
      </c>
      <c r="Q325">
        <v>0.55000000000000004</v>
      </c>
      <c r="R325" t="str">
        <f>IF(Q325&lt;=0.25,"Low ",IF(Q325&lt;=0.5,"Moderate ",IF(Q325&lt;=0.75,"High ","Very High ")))</f>
        <v xml:space="preserve">High </v>
      </c>
      <c r="S325">
        <v>0</v>
      </c>
      <c r="T325" t="str">
        <f>IF(S325&lt;=0.15,"Calm",IF(S325&lt;=0.3,"Light Wind",IF(S325&lt;=0.45,"Moderate Wind","Strong Wind")))</f>
        <v>Calm</v>
      </c>
      <c r="U325">
        <v>1</v>
      </c>
      <c r="V325">
        <v>26</v>
      </c>
      <c r="W325">
        <v>27</v>
      </c>
      <c r="X325" t="str">
        <f>IF(W325&lt;=75,"Low Demand",IF(W325&lt;=150,"Medium Demand",IF(W325&lt;=225,"High Demand","Very High Demand")))</f>
        <v>Low Demand</v>
      </c>
    </row>
    <row r="326" spans="1:24" x14ac:dyDescent="0.25">
      <c r="A326">
        <v>325</v>
      </c>
      <c r="B326" s="2">
        <v>40558</v>
      </c>
      <c r="C326">
        <v>1</v>
      </c>
      <c r="D326">
        <v>0</v>
      </c>
      <c r="E326">
        <v>1</v>
      </c>
      <c r="F326">
        <v>0</v>
      </c>
      <c r="G326" t="str">
        <f>IF(F326&lt;6,"Night",IF(F326&lt;12,"Morning",IF(F326&lt;18,"Afternoon","Evening")))</f>
        <v>Night</v>
      </c>
      <c r="H326">
        <v>0</v>
      </c>
      <c r="I326">
        <v>6</v>
      </c>
      <c r="J326" t="str">
        <f>CHOOSE(I326+1,"Monday","Tuesday","Wednesday","Thursday","Friday","Saturday","Sunday")</f>
        <v>Sunday</v>
      </c>
      <c r="K326">
        <v>1</v>
      </c>
      <c r="L326" t="str">
        <f>CHOOSE(K326+1,"error","Clear","Misty","Rainy","Severe heater")</f>
        <v>Clear</v>
      </c>
      <c r="M326">
        <v>0.18</v>
      </c>
      <c r="N326" t="str">
        <f>IF(M326&lt;=0.2,"Low",IF(M326&lt;=0.4,"Mid","High"))</f>
        <v>Low</v>
      </c>
      <c r="O326">
        <v>0.2424</v>
      </c>
      <c r="P326" t="str">
        <f>IF(O326&lt;=0.15,"Very Cold",IF(O326&lt;=0.3,"Cold",IF(O326&lt;=0.45,"Pleasant","Hot")))</f>
        <v>Cold</v>
      </c>
      <c r="Q326">
        <v>0.55000000000000004</v>
      </c>
      <c r="R326" t="str">
        <f>IF(Q326&lt;=0.25,"Low ",IF(Q326&lt;=0.5,"Moderate ",IF(Q326&lt;=0.75,"High ","Very High ")))</f>
        <v xml:space="preserve">High </v>
      </c>
      <c r="S326">
        <v>0</v>
      </c>
      <c r="T326" t="str">
        <f>IF(S326&lt;=0.15,"Calm",IF(S326&lt;=0.3,"Light Wind",IF(S326&lt;=0.45,"Moderate Wind","Strong Wind")))</f>
        <v>Calm</v>
      </c>
      <c r="U326">
        <v>3</v>
      </c>
      <c r="V326">
        <v>25</v>
      </c>
      <c r="W326">
        <v>28</v>
      </c>
      <c r="X326" t="str">
        <f>IF(W326&lt;=75,"Low Demand",IF(W326&lt;=150,"Medium Demand",IF(W326&lt;=225,"High Demand","Very High Demand")))</f>
        <v>Low Demand</v>
      </c>
    </row>
    <row r="327" spans="1:24" x14ac:dyDescent="0.25">
      <c r="A327">
        <v>326</v>
      </c>
      <c r="B327" s="2">
        <v>40558</v>
      </c>
      <c r="C327">
        <v>1</v>
      </c>
      <c r="D327">
        <v>0</v>
      </c>
      <c r="E327">
        <v>1</v>
      </c>
      <c r="F327">
        <v>1</v>
      </c>
      <c r="G327" t="str">
        <f>IF(F327&lt;6,"Night",IF(F327&lt;12,"Morning",IF(F327&lt;18,"Afternoon","Evening")))</f>
        <v>Night</v>
      </c>
      <c r="H327">
        <v>0</v>
      </c>
      <c r="I327">
        <v>6</v>
      </c>
      <c r="J327" t="str">
        <f>CHOOSE(I327+1,"Monday","Tuesday","Wednesday","Thursday","Friday","Saturday","Sunday")</f>
        <v>Sunday</v>
      </c>
      <c r="K327">
        <v>2</v>
      </c>
      <c r="L327" t="str">
        <f>CHOOSE(K327+1,"error","Clear","Misty","Rainy","Severe heater")</f>
        <v>Misty</v>
      </c>
      <c r="M327">
        <v>0.16</v>
      </c>
      <c r="N327" t="str">
        <f>IF(M327&lt;=0.2,"Low",IF(M327&lt;=0.4,"Mid","High"))</f>
        <v>Low</v>
      </c>
      <c r="O327">
        <v>0.19700000000000001</v>
      </c>
      <c r="P327" t="str">
        <f>IF(O327&lt;=0.15,"Very Cold",IF(O327&lt;=0.3,"Cold",IF(O327&lt;=0.45,"Pleasant","Hot")))</f>
        <v>Cold</v>
      </c>
      <c r="Q327">
        <v>0.59</v>
      </c>
      <c r="R327" t="str">
        <f>IF(Q327&lt;=0.25,"Low ",IF(Q327&lt;=0.5,"Moderate ",IF(Q327&lt;=0.75,"High ","Very High ")))</f>
        <v xml:space="preserve">High </v>
      </c>
      <c r="S327">
        <v>8.9599999999999999E-2</v>
      </c>
      <c r="T327" t="str">
        <f>IF(S327&lt;=0.15,"Calm",IF(S327&lt;=0.3,"Light Wind",IF(S327&lt;=0.45,"Moderate Wind","Strong Wind")))</f>
        <v>Calm</v>
      </c>
      <c r="U327">
        <v>2</v>
      </c>
      <c r="V327">
        <v>18</v>
      </c>
      <c r="W327">
        <v>20</v>
      </c>
      <c r="X327" t="str">
        <f>IF(W327&lt;=75,"Low Demand",IF(W327&lt;=150,"Medium Demand",IF(W327&lt;=225,"High Demand","Very High Demand")))</f>
        <v>Low Demand</v>
      </c>
    </row>
    <row r="328" spans="1:24" x14ac:dyDescent="0.25">
      <c r="A328">
        <v>327</v>
      </c>
      <c r="B328" s="2">
        <v>40558</v>
      </c>
      <c r="C328">
        <v>1</v>
      </c>
      <c r="D328">
        <v>0</v>
      </c>
      <c r="E328">
        <v>1</v>
      </c>
      <c r="F328">
        <v>2</v>
      </c>
      <c r="G328" t="str">
        <f>IF(F328&lt;6,"Night",IF(F328&lt;12,"Morning",IF(F328&lt;18,"Afternoon","Evening")))</f>
        <v>Night</v>
      </c>
      <c r="H328">
        <v>0</v>
      </c>
      <c r="I328">
        <v>6</v>
      </c>
      <c r="J328" t="str">
        <f>CHOOSE(I328+1,"Monday","Tuesday","Wednesday","Thursday","Friday","Saturday","Sunday")</f>
        <v>Sunday</v>
      </c>
      <c r="K328">
        <v>2</v>
      </c>
      <c r="L328" t="str">
        <f>CHOOSE(K328+1,"error","Clear","Misty","Rainy","Severe heater")</f>
        <v>Misty</v>
      </c>
      <c r="M328">
        <v>0.16</v>
      </c>
      <c r="N328" t="str">
        <f>IF(M328&lt;=0.2,"Low",IF(M328&lt;=0.4,"Mid","High"))</f>
        <v>Low</v>
      </c>
      <c r="O328">
        <v>0.19700000000000001</v>
      </c>
      <c r="P328" t="str">
        <f>IF(O328&lt;=0.15,"Very Cold",IF(O328&lt;=0.3,"Cold",IF(O328&lt;=0.45,"Pleasant","Hot")))</f>
        <v>Cold</v>
      </c>
      <c r="Q328">
        <v>0.59</v>
      </c>
      <c r="R328" t="str">
        <f>IF(Q328&lt;=0.25,"Low ",IF(Q328&lt;=0.5,"Moderate ",IF(Q328&lt;=0.75,"High ","Very High ")))</f>
        <v xml:space="preserve">High </v>
      </c>
      <c r="S328">
        <v>8.9599999999999999E-2</v>
      </c>
      <c r="T328" t="str">
        <f>IF(S328&lt;=0.15,"Calm",IF(S328&lt;=0.3,"Light Wind",IF(S328&lt;=0.45,"Moderate Wind","Strong Wind")))</f>
        <v>Calm</v>
      </c>
      <c r="U328">
        <v>0</v>
      </c>
      <c r="V328">
        <v>12</v>
      </c>
      <c r="W328">
        <v>12</v>
      </c>
      <c r="X328" t="str">
        <f>IF(W328&lt;=75,"Low Demand",IF(W328&lt;=150,"Medium Demand",IF(W328&lt;=225,"High Demand","Very High Demand")))</f>
        <v>Low Demand</v>
      </c>
    </row>
    <row r="329" spans="1:24" x14ac:dyDescent="0.25">
      <c r="A329">
        <v>328</v>
      </c>
      <c r="B329" s="2">
        <v>40558</v>
      </c>
      <c r="C329">
        <v>1</v>
      </c>
      <c r="D329">
        <v>0</v>
      </c>
      <c r="E329">
        <v>1</v>
      </c>
      <c r="F329">
        <v>3</v>
      </c>
      <c r="G329" t="str">
        <f>IF(F329&lt;6,"Night",IF(F329&lt;12,"Morning",IF(F329&lt;18,"Afternoon","Evening")))</f>
        <v>Night</v>
      </c>
      <c r="H329">
        <v>0</v>
      </c>
      <c r="I329">
        <v>6</v>
      </c>
      <c r="J329" t="str">
        <f>CHOOSE(I329+1,"Monday","Tuesday","Wednesday","Thursday","Friday","Saturday","Sunday")</f>
        <v>Sunday</v>
      </c>
      <c r="K329">
        <v>2</v>
      </c>
      <c r="L329" t="str">
        <f>CHOOSE(K329+1,"error","Clear","Misty","Rainy","Severe heater")</f>
        <v>Misty</v>
      </c>
      <c r="M329">
        <v>0.16</v>
      </c>
      <c r="N329" t="str">
        <f>IF(M329&lt;=0.2,"Low",IF(M329&lt;=0.4,"Mid","High"))</f>
        <v>Low</v>
      </c>
      <c r="O329">
        <v>0.2273</v>
      </c>
      <c r="P329" t="str">
        <f>IF(O329&lt;=0.15,"Very Cold",IF(O329&lt;=0.3,"Cold",IF(O329&lt;=0.45,"Pleasant","Hot")))</f>
        <v>Cold</v>
      </c>
      <c r="Q329">
        <v>0.59</v>
      </c>
      <c r="R329" t="str">
        <f>IF(Q329&lt;=0.25,"Low ",IF(Q329&lt;=0.5,"Moderate ",IF(Q329&lt;=0.75,"High ","Very High ")))</f>
        <v xml:space="preserve">High </v>
      </c>
      <c r="S329">
        <v>0</v>
      </c>
      <c r="T329" t="str">
        <f>IF(S329&lt;=0.15,"Calm",IF(S329&lt;=0.3,"Light Wind",IF(S329&lt;=0.45,"Moderate Wind","Strong Wind")))</f>
        <v>Calm</v>
      </c>
      <c r="U329">
        <v>1</v>
      </c>
      <c r="V329">
        <v>7</v>
      </c>
      <c r="W329">
        <v>8</v>
      </c>
      <c r="X329" t="str">
        <f>IF(W329&lt;=75,"Low Demand",IF(W329&lt;=150,"Medium Demand",IF(W329&lt;=225,"High Demand","Very High Demand")))</f>
        <v>Low Demand</v>
      </c>
    </row>
    <row r="330" spans="1:24" x14ac:dyDescent="0.25">
      <c r="A330">
        <v>329</v>
      </c>
      <c r="B330" s="2">
        <v>40558</v>
      </c>
      <c r="C330">
        <v>1</v>
      </c>
      <c r="D330">
        <v>0</v>
      </c>
      <c r="E330">
        <v>1</v>
      </c>
      <c r="F330">
        <v>4</v>
      </c>
      <c r="G330" t="str">
        <f>IF(F330&lt;6,"Night",IF(F330&lt;12,"Morning",IF(F330&lt;18,"Afternoon","Evening")))</f>
        <v>Night</v>
      </c>
      <c r="H330">
        <v>0</v>
      </c>
      <c r="I330">
        <v>6</v>
      </c>
      <c r="J330" t="str">
        <f>CHOOSE(I330+1,"Monday","Tuesday","Wednesday","Thursday","Friday","Saturday","Sunday")</f>
        <v>Sunday</v>
      </c>
      <c r="K330">
        <v>2</v>
      </c>
      <c r="L330" t="str">
        <f>CHOOSE(K330+1,"error","Clear","Misty","Rainy","Severe heater")</f>
        <v>Misty</v>
      </c>
      <c r="M330">
        <v>0.16</v>
      </c>
      <c r="N330" t="str">
        <f>IF(M330&lt;=0.2,"Low",IF(M330&lt;=0.4,"Mid","High"))</f>
        <v>Low</v>
      </c>
      <c r="O330">
        <v>0.2273</v>
      </c>
      <c r="P330" t="str">
        <f>IF(O330&lt;=0.15,"Very Cold",IF(O330&lt;=0.3,"Cold",IF(O330&lt;=0.45,"Pleasant","Hot")))</f>
        <v>Cold</v>
      </c>
      <c r="Q330">
        <v>0.59</v>
      </c>
      <c r="R330" t="str">
        <f>IF(Q330&lt;=0.25,"Low ",IF(Q330&lt;=0.5,"Moderate ",IF(Q330&lt;=0.75,"High ","Very High ")))</f>
        <v xml:space="preserve">High </v>
      </c>
      <c r="S330">
        <v>0</v>
      </c>
      <c r="T330" t="str">
        <f>IF(S330&lt;=0.15,"Calm",IF(S330&lt;=0.3,"Light Wind",IF(S330&lt;=0.45,"Moderate Wind","Strong Wind")))</f>
        <v>Calm</v>
      </c>
      <c r="U330">
        <v>0</v>
      </c>
      <c r="V330">
        <v>5</v>
      </c>
      <c r="W330">
        <v>5</v>
      </c>
      <c r="X330" t="str">
        <f>IF(W330&lt;=75,"Low Demand",IF(W330&lt;=150,"Medium Demand",IF(W330&lt;=225,"High Demand","Very High Demand")))</f>
        <v>Low Demand</v>
      </c>
    </row>
    <row r="331" spans="1:24" x14ac:dyDescent="0.25">
      <c r="A331">
        <v>330</v>
      </c>
      <c r="B331" s="2">
        <v>40558</v>
      </c>
      <c r="C331">
        <v>1</v>
      </c>
      <c r="D331">
        <v>0</v>
      </c>
      <c r="E331">
        <v>1</v>
      </c>
      <c r="F331">
        <v>5</v>
      </c>
      <c r="G331" t="str">
        <f>IF(F331&lt;6,"Night",IF(F331&lt;12,"Morning",IF(F331&lt;18,"Afternoon","Evening")))</f>
        <v>Night</v>
      </c>
      <c r="H331">
        <v>0</v>
      </c>
      <c r="I331">
        <v>6</v>
      </c>
      <c r="J331" t="str">
        <f>CHOOSE(I331+1,"Monday","Tuesday","Wednesday","Thursday","Friday","Saturday","Sunday")</f>
        <v>Sunday</v>
      </c>
      <c r="K331">
        <v>1</v>
      </c>
      <c r="L331" t="str">
        <f>CHOOSE(K331+1,"error","Clear","Misty","Rainy","Severe heater")</f>
        <v>Clear</v>
      </c>
      <c r="M331">
        <v>0.16</v>
      </c>
      <c r="N331" t="str">
        <f>IF(M331&lt;=0.2,"Low",IF(M331&lt;=0.4,"Mid","High"))</f>
        <v>Low</v>
      </c>
      <c r="O331">
        <v>0.2273</v>
      </c>
      <c r="P331" t="str">
        <f>IF(O331&lt;=0.15,"Very Cold",IF(O331&lt;=0.3,"Cold",IF(O331&lt;=0.45,"Pleasant","Hot")))</f>
        <v>Cold</v>
      </c>
      <c r="Q331">
        <v>0.59</v>
      </c>
      <c r="R331" t="str">
        <f>IF(Q331&lt;=0.25,"Low ",IF(Q331&lt;=0.5,"Moderate ",IF(Q331&lt;=0.75,"High ","Very High ")))</f>
        <v xml:space="preserve">High </v>
      </c>
      <c r="S331">
        <v>0</v>
      </c>
      <c r="T331" t="str">
        <f>IF(S331&lt;=0.15,"Calm",IF(S331&lt;=0.3,"Light Wind",IF(S331&lt;=0.45,"Moderate Wind","Strong Wind")))</f>
        <v>Calm</v>
      </c>
      <c r="U331">
        <v>0</v>
      </c>
      <c r="V331">
        <v>1</v>
      </c>
      <c r="W331">
        <v>1</v>
      </c>
      <c r="X331" t="str">
        <f>IF(W331&lt;=75,"Low Demand",IF(W331&lt;=150,"Medium Demand",IF(W331&lt;=225,"High Demand","Very High Demand")))</f>
        <v>Low Demand</v>
      </c>
    </row>
    <row r="332" spans="1:24" x14ac:dyDescent="0.25">
      <c r="A332">
        <v>331</v>
      </c>
      <c r="B332" s="2">
        <v>40558</v>
      </c>
      <c r="C332">
        <v>1</v>
      </c>
      <c r="D332">
        <v>0</v>
      </c>
      <c r="E332">
        <v>1</v>
      </c>
      <c r="F332">
        <v>6</v>
      </c>
      <c r="G332" t="str">
        <f>IF(F332&lt;6,"Night",IF(F332&lt;12,"Morning",IF(F332&lt;18,"Afternoon","Evening")))</f>
        <v>Morning</v>
      </c>
      <c r="H332">
        <v>0</v>
      </c>
      <c r="I332">
        <v>6</v>
      </c>
      <c r="J332" t="str">
        <f>CHOOSE(I332+1,"Monday","Tuesday","Wednesday","Thursday","Friday","Saturday","Sunday")</f>
        <v>Sunday</v>
      </c>
      <c r="K332">
        <v>1</v>
      </c>
      <c r="L332" t="str">
        <f>CHOOSE(K332+1,"error","Clear","Misty","Rainy","Severe heater")</f>
        <v>Clear</v>
      </c>
      <c r="M332">
        <v>0.14000000000000001</v>
      </c>
      <c r="N332" t="str">
        <f>IF(M332&lt;=0.2,"Low",IF(M332&lt;=0.4,"Mid","High"))</f>
        <v>Low</v>
      </c>
      <c r="O332">
        <v>0.16669999999999999</v>
      </c>
      <c r="P332" t="str">
        <f>IF(O332&lt;=0.15,"Very Cold",IF(O332&lt;=0.3,"Cold",IF(O332&lt;=0.45,"Pleasant","Hot")))</f>
        <v>Cold</v>
      </c>
      <c r="Q332">
        <v>0.63</v>
      </c>
      <c r="R332" t="str">
        <f>IF(Q332&lt;=0.25,"Low ",IF(Q332&lt;=0.5,"Moderate ",IF(Q332&lt;=0.75,"High ","Very High ")))</f>
        <v xml:space="preserve">High </v>
      </c>
      <c r="S332">
        <v>0.1045</v>
      </c>
      <c r="T332" t="str">
        <f>IF(S332&lt;=0.15,"Calm",IF(S332&lt;=0.3,"Light Wind",IF(S332&lt;=0.45,"Moderate Wind","Strong Wind")))</f>
        <v>Calm</v>
      </c>
      <c r="U332">
        <v>1</v>
      </c>
      <c r="V332">
        <v>2</v>
      </c>
      <c r="W332">
        <v>3</v>
      </c>
      <c r="X332" t="str">
        <f>IF(W332&lt;=75,"Low Demand",IF(W332&lt;=150,"Medium Demand",IF(W332&lt;=225,"High Demand","Very High Demand")))</f>
        <v>Low Demand</v>
      </c>
    </row>
    <row r="333" spans="1:24" x14ac:dyDescent="0.25">
      <c r="A333">
        <v>332</v>
      </c>
      <c r="B333" s="2">
        <v>40558</v>
      </c>
      <c r="C333">
        <v>1</v>
      </c>
      <c r="D333">
        <v>0</v>
      </c>
      <c r="E333">
        <v>1</v>
      </c>
      <c r="F333">
        <v>7</v>
      </c>
      <c r="G333" t="str">
        <f>IF(F333&lt;6,"Night",IF(F333&lt;12,"Morning",IF(F333&lt;18,"Afternoon","Evening")))</f>
        <v>Morning</v>
      </c>
      <c r="H333">
        <v>0</v>
      </c>
      <c r="I333">
        <v>6</v>
      </c>
      <c r="J333" t="str">
        <f>CHOOSE(I333+1,"Monday","Tuesday","Wednesday","Thursday","Friday","Saturday","Sunday")</f>
        <v>Sunday</v>
      </c>
      <c r="K333">
        <v>1</v>
      </c>
      <c r="L333" t="str">
        <f>CHOOSE(K333+1,"error","Clear","Misty","Rainy","Severe heater")</f>
        <v>Clear</v>
      </c>
      <c r="M333">
        <v>0.14000000000000001</v>
      </c>
      <c r="N333" t="str">
        <f>IF(M333&lt;=0.2,"Low",IF(M333&lt;=0.4,"Mid","High"))</f>
        <v>Low</v>
      </c>
      <c r="O333">
        <v>0.21210000000000001</v>
      </c>
      <c r="P333" t="str">
        <f>IF(O333&lt;=0.15,"Very Cold",IF(O333&lt;=0.3,"Cold",IF(O333&lt;=0.45,"Pleasant","Hot")))</f>
        <v>Cold</v>
      </c>
      <c r="Q333">
        <v>0.63</v>
      </c>
      <c r="R333" t="str">
        <f>IF(Q333&lt;=0.25,"Low ",IF(Q333&lt;=0.5,"Moderate ",IF(Q333&lt;=0.75,"High ","Very High ")))</f>
        <v xml:space="preserve">High </v>
      </c>
      <c r="S333">
        <v>0</v>
      </c>
      <c r="T333" t="str">
        <f>IF(S333&lt;=0.15,"Calm",IF(S333&lt;=0.3,"Light Wind",IF(S333&lt;=0.45,"Moderate Wind","Strong Wind")))</f>
        <v>Calm</v>
      </c>
      <c r="U333">
        <v>1</v>
      </c>
      <c r="V333">
        <v>9</v>
      </c>
      <c r="W333">
        <v>10</v>
      </c>
      <c r="X333" t="str">
        <f>IF(W333&lt;=75,"Low Demand",IF(W333&lt;=150,"Medium Demand",IF(W333&lt;=225,"High Demand","Very High Demand")))</f>
        <v>Low Demand</v>
      </c>
    </row>
    <row r="334" spans="1:24" x14ac:dyDescent="0.25">
      <c r="A334">
        <v>333</v>
      </c>
      <c r="B334" s="2">
        <v>40558</v>
      </c>
      <c r="C334">
        <v>1</v>
      </c>
      <c r="D334">
        <v>0</v>
      </c>
      <c r="E334">
        <v>1</v>
      </c>
      <c r="F334">
        <v>8</v>
      </c>
      <c r="G334" t="str">
        <f>IF(F334&lt;6,"Night",IF(F334&lt;12,"Morning",IF(F334&lt;18,"Afternoon","Evening")))</f>
        <v>Morning</v>
      </c>
      <c r="H334">
        <v>0</v>
      </c>
      <c r="I334">
        <v>6</v>
      </c>
      <c r="J334" t="str">
        <f>CHOOSE(I334+1,"Monday","Tuesday","Wednesday","Thursday","Friday","Saturday","Sunday")</f>
        <v>Sunday</v>
      </c>
      <c r="K334">
        <v>1</v>
      </c>
      <c r="L334" t="str">
        <f>CHOOSE(K334+1,"error","Clear","Misty","Rainy","Severe heater")</f>
        <v>Clear</v>
      </c>
      <c r="M334">
        <v>0.14000000000000001</v>
      </c>
      <c r="N334" t="str">
        <f>IF(M334&lt;=0.2,"Low",IF(M334&lt;=0.4,"Mid","High"))</f>
        <v>Low</v>
      </c>
      <c r="O334">
        <v>0.1515</v>
      </c>
      <c r="P334" t="str">
        <f>IF(O334&lt;=0.15,"Very Cold",IF(O334&lt;=0.3,"Cold",IF(O334&lt;=0.45,"Pleasant","Hot")))</f>
        <v>Cold</v>
      </c>
      <c r="Q334">
        <v>0.63</v>
      </c>
      <c r="R334" t="str">
        <f>IF(Q334&lt;=0.25,"Low ",IF(Q334&lt;=0.5,"Moderate ",IF(Q334&lt;=0.75,"High ","Very High ")))</f>
        <v xml:space="preserve">High </v>
      </c>
      <c r="S334">
        <v>0.1343</v>
      </c>
      <c r="T334" t="str">
        <f>IF(S334&lt;=0.15,"Calm",IF(S334&lt;=0.3,"Light Wind",IF(S334&lt;=0.45,"Moderate Wind","Strong Wind")))</f>
        <v>Calm</v>
      </c>
      <c r="U334">
        <v>1</v>
      </c>
      <c r="V334">
        <v>22</v>
      </c>
      <c r="W334">
        <v>23</v>
      </c>
      <c r="X334" t="str">
        <f>IF(W334&lt;=75,"Low Demand",IF(W334&lt;=150,"Medium Demand",IF(W334&lt;=225,"High Demand","Very High Demand")))</f>
        <v>Low Demand</v>
      </c>
    </row>
    <row r="335" spans="1:24" x14ac:dyDescent="0.25">
      <c r="A335">
        <v>334</v>
      </c>
      <c r="B335" s="2">
        <v>40558</v>
      </c>
      <c r="C335">
        <v>1</v>
      </c>
      <c r="D335">
        <v>0</v>
      </c>
      <c r="E335">
        <v>1</v>
      </c>
      <c r="F335">
        <v>9</v>
      </c>
      <c r="G335" t="str">
        <f>IF(F335&lt;6,"Night",IF(F335&lt;12,"Morning",IF(F335&lt;18,"Afternoon","Evening")))</f>
        <v>Morning</v>
      </c>
      <c r="H335">
        <v>0</v>
      </c>
      <c r="I335">
        <v>6</v>
      </c>
      <c r="J335" t="str">
        <f>CHOOSE(I335+1,"Monday","Tuesday","Wednesday","Thursday","Friday","Saturday","Sunday")</f>
        <v>Sunday</v>
      </c>
      <c r="K335">
        <v>1</v>
      </c>
      <c r="L335" t="str">
        <f>CHOOSE(K335+1,"error","Clear","Misty","Rainy","Severe heater")</f>
        <v>Clear</v>
      </c>
      <c r="M335">
        <v>0.16</v>
      </c>
      <c r="N335" t="str">
        <f>IF(M335&lt;=0.2,"Low",IF(M335&lt;=0.4,"Mid","High"))</f>
        <v>Low</v>
      </c>
      <c r="O335">
        <v>0.18179999999999999</v>
      </c>
      <c r="P335" t="str">
        <f>IF(O335&lt;=0.15,"Very Cold",IF(O335&lt;=0.3,"Cold",IF(O335&lt;=0.45,"Pleasant","Hot")))</f>
        <v>Cold</v>
      </c>
      <c r="Q335">
        <v>0.64</v>
      </c>
      <c r="R335" t="str">
        <f>IF(Q335&lt;=0.25,"Low ",IF(Q335&lt;=0.5,"Moderate ",IF(Q335&lt;=0.75,"High ","Very High ")))</f>
        <v xml:space="preserve">High </v>
      </c>
      <c r="S335">
        <v>0.1343</v>
      </c>
      <c r="T335" t="str">
        <f>IF(S335&lt;=0.15,"Calm",IF(S335&lt;=0.3,"Light Wind",IF(S335&lt;=0.45,"Moderate Wind","Strong Wind")))</f>
        <v>Calm</v>
      </c>
      <c r="U335">
        <v>2</v>
      </c>
      <c r="V335">
        <v>31</v>
      </c>
      <c r="W335">
        <v>33</v>
      </c>
      <c r="X335" t="str">
        <f>IF(W335&lt;=75,"Low Demand",IF(W335&lt;=150,"Medium Demand",IF(W335&lt;=225,"High Demand","Very High Demand")))</f>
        <v>Low Demand</v>
      </c>
    </row>
    <row r="336" spans="1:24" x14ac:dyDescent="0.25">
      <c r="A336">
        <v>335</v>
      </c>
      <c r="B336" s="2">
        <v>40558</v>
      </c>
      <c r="C336">
        <v>1</v>
      </c>
      <c r="D336">
        <v>0</v>
      </c>
      <c r="E336">
        <v>1</v>
      </c>
      <c r="F336">
        <v>10</v>
      </c>
      <c r="G336" t="str">
        <f>IF(F336&lt;6,"Night",IF(F336&lt;12,"Morning",IF(F336&lt;18,"Afternoon","Evening")))</f>
        <v>Morning</v>
      </c>
      <c r="H336">
        <v>0</v>
      </c>
      <c r="I336">
        <v>6</v>
      </c>
      <c r="J336" t="str">
        <f>CHOOSE(I336+1,"Monday","Tuesday","Wednesday","Thursday","Friday","Saturday","Sunday")</f>
        <v>Sunday</v>
      </c>
      <c r="K336">
        <v>1</v>
      </c>
      <c r="L336" t="str">
        <f>CHOOSE(K336+1,"error","Clear","Misty","Rainy","Severe heater")</f>
        <v>Clear</v>
      </c>
      <c r="M336">
        <v>0.18</v>
      </c>
      <c r="N336" t="str">
        <f>IF(M336&lt;=0.2,"Low",IF(M336&lt;=0.4,"Mid","High"))</f>
        <v>Low</v>
      </c>
      <c r="O336">
        <v>0.19700000000000001</v>
      </c>
      <c r="P336" t="str">
        <f>IF(O336&lt;=0.15,"Very Cold",IF(O336&lt;=0.3,"Cold",IF(O336&lt;=0.45,"Pleasant","Hot")))</f>
        <v>Cold</v>
      </c>
      <c r="Q336">
        <v>0.59</v>
      </c>
      <c r="R336" t="str">
        <f>IF(Q336&lt;=0.25,"Low ",IF(Q336&lt;=0.5,"Moderate ",IF(Q336&lt;=0.75,"High ","Very High ")))</f>
        <v xml:space="preserve">High </v>
      </c>
      <c r="S336">
        <v>0.16420000000000001</v>
      </c>
      <c r="T336" t="str">
        <f>IF(S336&lt;=0.15,"Calm",IF(S336&lt;=0.3,"Light Wind",IF(S336&lt;=0.45,"Moderate Wind","Strong Wind")))</f>
        <v>Light Wind</v>
      </c>
      <c r="U336">
        <v>2</v>
      </c>
      <c r="V336">
        <v>57</v>
      </c>
      <c r="W336">
        <v>59</v>
      </c>
      <c r="X336" t="str">
        <f>IF(W336&lt;=75,"Low Demand",IF(W336&lt;=150,"Medium Demand",IF(W336&lt;=225,"High Demand","Very High Demand")))</f>
        <v>Low Demand</v>
      </c>
    </row>
    <row r="337" spans="1:24" x14ac:dyDescent="0.25">
      <c r="A337">
        <v>336</v>
      </c>
      <c r="B337" s="2">
        <v>40558</v>
      </c>
      <c r="C337">
        <v>1</v>
      </c>
      <c r="D337">
        <v>0</v>
      </c>
      <c r="E337">
        <v>1</v>
      </c>
      <c r="F337">
        <v>11</v>
      </c>
      <c r="G337" t="str">
        <f>IF(F337&lt;6,"Night",IF(F337&lt;12,"Morning",IF(F337&lt;18,"Afternoon","Evening")))</f>
        <v>Morning</v>
      </c>
      <c r="H337">
        <v>0</v>
      </c>
      <c r="I337">
        <v>6</v>
      </c>
      <c r="J337" t="str">
        <f>CHOOSE(I337+1,"Monday","Tuesday","Wednesday","Thursday","Friday","Saturday","Sunday")</f>
        <v>Sunday</v>
      </c>
      <c r="K337">
        <v>1</v>
      </c>
      <c r="L337" t="str">
        <f>CHOOSE(K337+1,"error","Clear","Misty","Rainy","Severe heater")</f>
        <v>Clear</v>
      </c>
      <c r="M337">
        <v>0.2</v>
      </c>
      <c r="N337" t="str">
        <f>IF(M337&lt;=0.2,"Low",IF(M337&lt;=0.4,"Mid","High"))</f>
        <v>Low</v>
      </c>
      <c r="O337">
        <v>0.19700000000000001</v>
      </c>
      <c r="P337" t="str">
        <f>IF(O337&lt;=0.15,"Very Cold",IF(O337&lt;=0.3,"Cold",IF(O337&lt;=0.45,"Pleasant","Hot")))</f>
        <v>Cold</v>
      </c>
      <c r="Q337">
        <v>0.55000000000000004</v>
      </c>
      <c r="R337" t="str">
        <f>IF(Q337&lt;=0.25,"Low ",IF(Q337&lt;=0.5,"Moderate ",IF(Q337&lt;=0.75,"High ","Very High ")))</f>
        <v xml:space="preserve">High </v>
      </c>
      <c r="S337">
        <v>0.22389999999999999</v>
      </c>
      <c r="T337" t="str">
        <f>IF(S337&lt;=0.15,"Calm",IF(S337&lt;=0.3,"Light Wind",IF(S337&lt;=0.45,"Moderate Wind","Strong Wind")))</f>
        <v>Light Wind</v>
      </c>
      <c r="U337">
        <v>18</v>
      </c>
      <c r="V337">
        <v>54</v>
      </c>
      <c r="W337">
        <v>72</v>
      </c>
      <c r="X337" t="str">
        <f>IF(W337&lt;=75,"Low Demand",IF(W337&lt;=150,"Medium Demand",IF(W337&lt;=225,"High Demand","Very High Demand")))</f>
        <v>Low Demand</v>
      </c>
    </row>
    <row r="338" spans="1:24" x14ac:dyDescent="0.25">
      <c r="A338">
        <v>337</v>
      </c>
      <c r="B338" s="2">
        <v>40558</v>
      </c>
      <c r="C338">
        <v>1</v>
      </c>
      <c r="D338">
        <v>0</v>
      </c>
      <c r="E338">
        <v>1</v>
      </c>
      <c r="F338">
        <v>12</v>
      </c>
      <c r="G338" t="str">
        <f>IF(F338&lt;6,"Night",IF(F338&lt;12,"Morning",IF(F338&lt;18,"Afternoon","Evening")))</f>
        <v>Afternoon</v>
      </c>
      <c r="H338">
        <v>0</v>
      </c>
      <c r="I338">
        <v>6</v>
      </c>
      <c r="J338" t="str">
        <f>CHOOSE(I338+1,"Monday","Tuesday","Wednesday","Thursday","Friday","Saturday","Sunday")</f>
        <v>Sunday</v>
      </c>
      <c r="K338">
        <v>1</v>
      </c>
      <c r="L338" t="str">
        <f>CHOOSE(K338+1,"error","Clear","Misty","Rainy","Severe heater")</f>
        <v>Clear</v>
      </c>
      <c r="M338">
        <v>0.24</v>
      </c>
      <c r="N338" t="str">
        <f>IF(M338&lt;=0.2,"Low",IF(M338&lt;=0.4,"Mid","High"))</f>
        <v>Mid</v>
      </c>
      <c r="O338">
        <v>0.2273</v>
      </c>
      <c r="P338" t="str">
        <f>IF(O338&lt;=0.15,"Very Cold",IF(O338&lt;=0.3,"Cold",IF(O338&lt;=0.45,"Pleasant","Hot")))</f>
        <v>Cold</v>
      </c>
      <c r="Q338">
        <v>0.48</v>
      </c>
      <c r="R338" t="str">
        <f>IF(Q338&lt;=0.25,"Low ",IF(Q338&lt;=0.5,"Moderate ",IF(Q338&lt;=0.75,"High ","Very High ")))</f>
        <v xml:space="preserve">Moderate </v>
      </c>
      <c r="S338">
        <v>0.22389999999999999</v>
      </c>
      <c r="T338" t="str">
        <f>IF(S338&lt;=0.15,"Calm",IF(S338&lt;=0.3,"Light Wind",IF(S338&lt;=0.45,"Moderate Wind","Strong Wind")))</f>
        <v>Light Wind</v>
      </c>
      <c r="U338">
        <v>15</v>
      </c>
      <c r="V338">
        <v>74</v>
      </c>
      <c r="W338">
        <v>89</v>
      </c>
      <c r="X338" t="str">
        <f>IF(W338&lt;=75,"Low Demand",IF(W338&lt;=150,"Medium Demand",IF(W338&lt;=225,"High Demand","Very High Demand")))</f>
        <v>Medium Demand</v>
      </c>
    </row>
    <row r="339" spans="1:24" x14ac:dyDescent="0.25">
      <c r="A339">
        <v>338</v>
      </c>
      <c r="B339" s="2">
        <v>40558</v>
      </c>
      <c r="C339">
        <v>1</v>
      </c>
      <c r="D339">
        <v>0</v>
      </c>
      <c r="E339">
        <v>1</v>
      </c>
      <c r="F339">
        <v>13</v>
      </c>
      <c r="G339" t="str">
        <f>IF(F339&lt;6,"Night",IF(F339&lt;12,"Morning",IF(F339&lt;18,"Afternoon","Evening")))</f>
        <v>Afternoon</v>
      </c>
      <c r="H339">
        <v>0</v>
      </c>
      <c r="I339">
        <v>6</v>
      </c>
      <c r="J339" t="str">
        <f>CHOOSE(I339+1,"Monday","Tuesday","Wednesday","Thursday","Friday","Saturday","Sunday")</f>
        <v>Sunday</v>
      </c>
      <c r="K339">
        <v>1</v>
      </c>
      <c r="L339" t="str">
        <f>CHOOSE(K339+1,"error","Clear","Misty","Rainy","Severe heater")</f>
        <v>Clear</v>
      </c>
      <c r="M339">
        <v>0.28000000000000003</v>
      </c>
      <c r="N339" t="str">
        <f>IF(M339&lt;=0.2,"Low",IF(M339&lt;=0.4,"Mid","High"))</f>
        <v>Mid</v>
      </c>
      <c r="O339">
        <v>0.2576</v>
      </c>
      <c r="P339" t="str">
        <f>IF(O339&lt;=0.15,"Very Cold",IF(O339&lt;=0.3,"Cold",IF(O339&lt;=0.45,"Pleasant","Hot")))</f>
        <v>Cold</v>
      </c>
      <c r="Q339">
        <v>0.38</v>
      </c>
      <c r="R339" t="str">
        <f>IF(Q339&lt;=0.25,"Low ",IF(Q339&lt;=0.5,"Moderate ",IF(Q339&lt;=0.75,"High ","Very High ")))</f>
        <v xml:space="preserve">Moderate </v>
      </c>
      <c r="S339">
        <v>0.29849999999999999</v>
      </c>
      <c r="T339" t="str">
        <f>IF(S339&lt;=0.15,"Calm",IF(S339&lt;=0.3,"Light Wind",IF(S339&lt;=0.45,"Moderate Wind","Strong Wind")))</f>
        <v>Light Wind</v>
      </c>
      <c r="U339">
        <v>21</v>
      </c>
      <c r="V339">
        <v>80</v>
      </c>
      <c r="W339">
        <v>101</v>
      </c>
      <c r="X339" t="str">
        <f>IF(W339&lt;=75,"Low Demand",IF(W339&lt;=150,"Medium Demand",IF(W339&lt;=225,"High Demand","Very High Demand")))</f>
        <v>Medium Demand</v>
      </c>
    </row>
    <row r="340" spans="1:24" x14ac:dyDescent="0.25">
      <c r="A340">
        <v>339</v>
      </c>
      <c r="B340" s="2">
        <v>40558</v>
      </c>
      <c r="C340">
        <v>1</v>
      </c>
      <c r="D340">
        <v>0</v>
      </c>
      <c r="E340">
        <v>1</v>
      </c>
      <c r="F340">
        <v>14</v>
      </c>
      <c r="G340" t="str">
        <f>IF(F340&lt;6,"Night",IF(F340&lt;12,"Morning",IF(F340&lt;18,"Afternoon","Evening")))</f>
        <v>Afternoon</v>
      </c>
      <c r="H340">
        <v>0</v>
      </c>
      <c r="I340">
        <v>6</v>
      </c>
      <c r="J340" t="str">
        <f>CHOOSE(I340+1,"Monday","Tuesday","Wednesday","Thursday","Friday","Saturday","Sunday")</f>
        <v>Sunday</v>
      </c>
      <c r="K340">
        <v>1</v>
      </c>
      <c r="L340" t="str">
        <f>CHOOSE(K340+1,"error","Clear","Misty","Rainy","Severe heater")</f>
        <v>Clear</v>
      </c>
      <c r="M340">
        <v>0.3</v>
      </c>
      <c r="N340" t="str">
        <f>IF(M340&lt;=0.2,"Low",IF(M340&lt;=0.4,"Mid","High"))</f>
        <v>Mid</v>
      </c>
      <c r="O340">
        <v>0.28789999999999999</v>
      </c>
      <c r="P340" t="str">
        <f>IF(O340&lt;=0.15,"Very Cold",IF(O340&lt;=0.3,"Cold",IF(O340&lt;=0.45,"Pleasant","Hot")))</f>
        <v>Cold</v>
      </c>
      <c r="Q340">
        <v>0.39</v>
      </c>
      <c r="R340" t="str">
        <f>IF(Q340&lt;=0.25,"Low ",IF(Q340&lt;=0.5,"Moderate ",IF(Q340&lt;=0.75,"High ","Very High ")))</f>
        <v xml:space="preserve">Moderate </v>
      </c>
      <c r="S340">
        <v>0.28360000000000002</v>
      </c>
      <c r="T340" t="str">
        <f>IF(S340&lt;=0.15,"Calm",IF(S340&lt;=0.3,"Light Wind",IF(S340&lt;=0.45,"Moderate Wind","Strong Wind")))</f>
        <v>Light Wind</v>
      </c>
      <c r="U340">
        <v>26</v>
      </c>
      <c r="V340">
        <v>92</v>
      </c>
      <c r="W340">
        <v>118</v>
      </c>
      <c r="X340" t="str">
        <f>IF(W340&lt;=75,"Low Demand",IF(W340&lt;=150,"Medium Demand",IF(W340&lt;=225,"High Demand","Very High Demand")))</f>
        <v>Medium Demand</v>
      </c>
    </row>
    <row r="341" spans="1:24" x14ac:dyDescent="0.25">
      <c r="A341">
        <v>340</v>
      </c>
      <c r="B341" s="2">
        <v>40558</v>
      </c>
      <c r="C341">
        <v>1</v>
      </c>
      <c r="D341">
        <v>0</v>
      </c>
      <c r="E341">
        <v>1</v>
      </c>
      <c r="F341">
        <v>15</v>
      </c>
      <c r="G341" t="str">
        <f>IF(F341&lt;6,"Night",IF(F341&lt;12,"Morning",IF(F341&lt;18,"Afternoon","Evening")))</f>
        <v>Afternoon</v>
      </c>
      <c r="H341">
        <v>0</v>
      </c>
      <c r="I341">
        <v>6</v>
      </c>
      <c r="J341" t="str">
        <f>CHOOSE(I341+1,"Monday","Tuesday","Wednesday","Thursday","Friday","Saturday","Sunday")</f>
        <v>Sunday</v>
      </c>
      <c r="K341">
        <v>2</v>
      </c>
      <c r="L341" t="str">
        <f>CHOOSE(K341+1,"error","Clear","Misty","Rainy","Severe heater")</f>
        <v>Misty</v>
      </c>
      <c r="M341">
        <v>0.32</v>
      </c>
      <c r="N341" t="str">
        <f>IF(M341&lt;=0.2,"Low",IF(M341&lt;=0.4,"Mid","High"))</f>
        <v>Mid</v>
      </c>
      <c r="O341">
        <v>0.31819999999999998</v>
      </c>
      <c r="P341" t="str">
        <f>IF(O341&lt;=0.15,"Very Cold",IF(O341&lt;=0.3,"Cold",IF(O341&lt;=0.45,"Pleasant","Hot")))</f>
        <v>Pleasant</v>
      </c>
      <c r="Q341">
        <v>0.36</v>
      </c>
      <c r="R341" t="str">
        <f>IF(Q341&lt;=0.25,"Low ",IF(Q341&lt;=0.5,"Moderate ",IF(Q341&lt;=0.75,"High ","Very High ")))</f>
        <v xml:space="preserve">Moderate </v>
      </c>
      <c r="S341">
        <v>0.19400000000000001</v>
      </c>
      <c r="T341" t="str">
        <f>IF(S341&lt;=0.15,"Calm",IF(S341&lt;=0.3,"Light Wind",IF(S341&lt;=0.45,"Moderate Wind","Strong Wind")))</f>
        <v>Light Wind</v>
      </c>
      <c r="U341">
        <v>21</v>
      </c>
      <c r="V341">
        <v>108</v>
      </c>
      <c r="W341">
        <v>129</v>
      </c>
      <c r="X341" t="str">
        <f>IF(W341&lt;=75,"Low Demand",IF(W341&lt;=150,"Medium Demand",IF(W341&lt;=225,"High Demand","Very High Demand")))</f>
        <v>Medium Demand</v>
      </c>
    </row>
    <row r="342" spans="1:24" x14ac:dyDescent="0.25">
      <c r="A342">
        <v>341</v>
      </c>
      <c r="B342" s="2">
        <v>40558</v>
      </c>
      <c r="C342">
        <v>1</v>
      </c>
      <c r="D342">
        <v>0</v>
      </c>
      <c r="E342">
        <v>1</v>
      </c>
      <c r="F342">
        <v>16</v>
      </c>
      <c r="G342" t="str">
        <f>IF(F342&lt;6,"Night",IF(F342&lt;12,"Morning",IF(F342&lt;18,"Afternoon","Evening")))</f>
        <v>Afternoon</v>
      </c>
      <c r="H342">
        <v>0</v>
      </c>
      <c r="I342">
        <v>6</v>
      </c>
      <c r="J342" t="str">
        <f>CHOOSE(I342+1,"Monday","Tuesday","Wednesday","Thursday","Friday","Saturday","Sunday")</f>
        <v>Sunday</v>
      </c>
      <c r="K342">
        <v>2</v>
      </c>
      <c r="L342" t="str">
        <f>CHOOSE(K342+1,"error","Clear","Misty","Rainy","Severe heater")</f>
        <v>Misty</v>
      </c>
      <c r="M342">
        <v>0.34</v>
      </c>
      <c r="N342" t="str">
        <f>IF(M342&lt;=0.2,"Low",IF(M342&lt;=0.4,"Mid","High"))</f>
        <v>Mid</v>
      </c>
      <c r="O342">
        <v>0.33329999999999999</v>
      </c>
      <c r="P342" t="str">
        <f>IF(O342&lt;=0.15,"Very Cold",IF(O342&lt;=0.3,"Cold",IF(O342&lt;=0.45,"Pleasant","Hot")))</f>
        <v>Pleasant</v>
      </c>
      <c r="Q342">
        <v>0.34</v>
      </c>
      <c r="R342" t="str">
        <f>IF(Q342&lt;=0.25,"Low ",IF(Q342&lt;=0.5,"Moderate ",IF(Q342&lt;=0.75,"High ","Very High ")))</f>
        <v xml:space="preserve">Moderate </v>
      </c>
      <c r="S342">
        <v>0.19400000000000001</v>
      </c>
      <c r="T342" t="str">
        <f>IF(S342&lt;=0.15,"Calm",IF(S342&lt;=0.3,"Light Wind",IF(S342&lt;=0.45,"Moderate Wind","Strong Wind")))</f>
        <v>Light Wind</v>
      </c>
      <c r="U342">
        <v>33</v>
      </c>
      <c r="V342">
        <v>95</v>
      </c>
      <c r="W342">
        <v>128</v>
      </c>
      <c r="X342" t="str">
        <f>IF(W342&lt;=75,"Low Demand",IF(W342&lt;=150,"Medium Demand",IF(W342&lt;=225,"High Demand","Very High Demand")))</f>
        <v>Medium Demand</v>
      </c>
    </row>
    <row r="343" spans="1:24" x14ac:dyDescent="0.25">
      <c r="A343">
        <v>342</v>
      </c>
      <c r="B343" s="2">
        <v>40558</v>
      </c>
      <c r="C343">
        <v>1</v>
      </c>
      <c r="D343">
        <v>0</v>
      </c>
      <c r="E343">
        <v>1</v>
      </c>
      <c r="F343">
        <v>17</v>
      </c>
      <c r="G343" t="str">
        <f>IF(F343&lt;6,"Night",IF(F343&lt;12,"Morning",IF(F343&lt;18,"Afternoon","Evening")))</f>
        <v>Afternoon</v>
      </c>
      <c r="H343">
        <v>0</v>
      </c>
      <c r="I343">
        <v>6</v>
      </c>
      <c r="J343" t="str">
        <f>CHOOSE(I343+1,"Monday","Tuesday","Wednesday","Thursday","Friday","Saturday","Sunday")</f>
        <v>Sunday</v>
      </c>
      <c r="K343">
        <v>2</v>
      </c>
      <c r="L343" t="str">
        <f>CHOOSE(K343+1,"error","Clear","Misty","Rainy","Severe heater")</f>
        <v>Misty</v>
      </c>
      <c r="M343">
        <v>0.32</v>
      </c>
      <c r="N343" t="str">
        <f>IF(M343&lt;=0.2,"Low",IF(M343&lt;=0.4,"Mid","High"))</f>
        <v>Mid</v>
      </c>
      <c r="O343">
        <v>0.30299999999999999</v>
      </c>
      <c r="P343" t="str">
        <f>IF(O343&lt;=0.15,"Very Cold",IF(O343&lt;=0.3,"Cold",IF(O343&lt;=0.45,"Pleasant","Hot")))</f>
        <v>Pleasant</v>
      </c>
      <c r="Q343">
        <v>0.36</v>
      </c>
      <c r="R343" t="str">
        <f>IF(Q343&lt;=0.25,"Low ",IF(Q343&lt;=0.5,"Moderate ",IF(Q343&lt;=0.75,"High ","Very High ")))</f>
        <v xml:space="preserve">Moderate </v>
      </c>
      <c r="S343">
        <v>0.28360000000000002</v>
      </c>
      <c r="T343" t="str">
        <f>IF(S343&lt;=0.15,"Calm",IF(S343&lt;=0.3,"Light Wind",IF(S343&lt;=0.45,"Moderate Wind","Strong Wind")))</f>
        <v>Light Wind</v>
      </c>
      <c r="U343">
        <v>29</v>
      </c>
      <c r="V343">
        <v>54</v>
      </c>
      <c r="W343">
        <v>83</v>
      </c>
      <c r="X343" t="str">
        <f>IF(W343&lt;=75,"Low Demand",IF(W343&lt;=150,"Medium Demand",IF(W343&lt;=225,"High Demand","Very High Demand")))</f>
        <v>Medium Demand</v>
      </c>
    </row>
    <row r="344" spans="1:24" x14ac:dyDescent="0.25">
      <c r="A344">
        <v>343</v>
      </c>
      <c r="B344" s="2">
        <v>40558</v>
      </c>
      <c r="C344">
        <v>1</v>
      </c>
      <c r="D344">
        <v>0</v>
      </c>
      <c r="E344">
        <v>1</v>
      </c>
      <c r="F344">
        <v>18</v>
      </c>
      <c r="G344" t="str">
        <f>IF(F344&lt;6,"Night",IF(F344&lt;12,"Morning",IF(F344&lt;18,"Afternoon","Evening")))</f>
        <v>Evening</v>
      </c>
      <c r="H344">
        <v>0</v>
      </c>
      <c r="I344">
        <v>6</v>
      </c>
      <c r="J344" t="str">
        <f>CHOOSE(I344+1,"Monday","Tuesday","Wednesday","Thursday","Friday","Saturday","Sunday")</f>
        <v>Sunday</v>
      </c>
      <c r="K344">
        <v>2</v>
      </c>
      <c r="L344" t="str">
        <f>CHOOSE(K344+1,"error","Clear","Misty","Rainy","Severe heater")</f>
        <v>Misty</v>
      </c>
      <c r="M344">
        <v>0.3</v>
      </c>
      <c r="N344" t="str">
        <f>IF(M344&lt;=0.2,"Low",IF(M344&lt;=0.4,"Mid","High"))</f>
        <v>Mid</v>
      </c>
      <c r="O344">
        <v>0.28789999999999999</v>
      </c>
      <c r="P344" t="str">
        <f>IF(O344&lt;=0.15,"Very Cold",IF(O344&lt;=0.3,"Cold",IF(O344&lt;=0.45,"Pleasant","Hot")))</f>
        <v>Cold</v>
      </c>
      <c r="Q344">
        <v>0.45</v>
      </c>
      <c r="R344" t="str">
        <f>IF(Q344&lt;=0.25,"Low ",IF(Q344&lt;=0.5,"Moderate ",IF(Q344&lt;=0.75,"High ","Very High ")))</f>
        <v xml:space="preserve">Moderate </v>
      </c>
      <c r="S344">
        <v>0.25369999999999998</v>
      </c>
      <c r="T344" t="str">
        <f>IF(S344&lt;=0.15,"Calm",IF(S344&lt;=0.3,"Light Wind",IF(S344&lt;=0.45,"Moderate Wind","Strong Wind")))</f>
        <v>Light Wind</v>
      </c>
      <c r="U344">
        <v>15</v>
      </c>
      <c r="V344">
        <v>69</v>
      </c>
      <c r="W344">
        <v>84</v>
      </c>
      <c r="X344" t="str">
        <f>IF(W344&lt;=75,"Low Demand",IF(W344&lt;=150,"Medium Demand",IF(W344&lt;=225,"High Demand","Very High Demand")))</f>
        <v>Medium Demand</v>
      </c>
    </row>
    <row r="345" spans="1:24" x14ac:dyDescent="0.25">
      <c r="A345">
        <v>344</v>
      </c>
      <c r="B345" s="2">
        <v>40558</v>
      </c>
      <c r="C345">
        <v>1</v>
      </c>
      <c r="D345">
        <v>0</v>
      </c>
      <c r="E345">
        <v>1</v>
      </c>
      <c r="F345">
        <v>19</v>
      </c>
      <c r="G345" t="str">
        <f>IF(F345&lt;6,"Night",IF(F345&lt;12,"Morning",IF(F345&lt;18,"Afternoon","Evening")))</f>
        <v>Evening</v>
      </c>
      <c r="H345">
        <v>0</v>
      </c>
      <c r="I345">
        <v>6</v>
      </c>
      <c r="J345" t="str">
        <f>CHOOSE(I345+1,"Monday","Tuesday","Wednesday","Thursday","Friday","Saturday","Sunday")</f>
        <v>Sunday</v>
      </c>
      <c r="K345">
        <v>2</v>
      </c>
      <c r="L345" t="str">
        <f>CHOOSE(K345+1,"error","Clear","Misty","Rainy","Severe heater")</f>
        <v>Misty</v>
      </c>
      <c r="M345">
        <v>0.32</v>
      </c>
      <c r="N345" t="str">
        <f>IF(M345&lt;=0.2,"Low",IF(M345&lt;=0.4,"Mid","High"))</f>
        <v>Mid</v>
      </c>
      <c r="O345">
        <v>0.30299999999999999</v>
      </c>
      <c r="P345" t="str">
        <f>IF(O345&lt;=0.15,"Very Cold",IF(O345&lt;=0.3,"Cold",IF(O345&lt;=0.45,"Pleasant","Hot")))</f>
        <v>Pleasant</v>
      </c>
      <c r="Q345">
        <v>0.39</v>
      </c>
      <c r="R345" t="str">
        <f>IF(Q345&lt;=0.25,"Low ",IF(Q345&lt;=0.5,"Moderate ",IF(Q345&lt;=0.75,"High ","Very High ")))</f>
        <v xml:space="preserve">Moderate </v>
      </c>
      <c r="S345">
        <v>0.25369999999999998</v>
      </c>
      <c r="T345" t="str">
        <f>IF(S345&lt;=0.15,"Calm",IF(S345&lt;=0.3,"Light Wind",IF(S345&lt;=0.45,"Moderate Wind","Strong Wind")))</f>
        <v>Light Wind</v>
      </c>
      <c r="U345">
        <v>14</v>
      </c>
      <c r="V345">
        <v>60</v>
      </c>
      <c r="W345">
        <v>74</v>
      </c>
      <c r="X345" t="str">
        <f>IF(W345&lt;=75,"Low Demand",IF(W345&lt;=150,"Medium Demand",IF(W345&lt;=225,"High Demand","Very High Demand")))</f>
        <v>Low Demand</v>
      </c>
    </row>
    <row r="346" spans="1:24" x14ac:dyDescent="0.25">
      <c r="A346">
        <v>345</v>
      </c>
      <c r="B346" s="2">
        <v>40558</v>
      </c>
      <c r="C346">
        <v>1</v>
      </c>
      <c r="D346">
        <v>0</v>
      </c>
      <c r="E346">
        <v>1</v>
      </c>
      <c r="F346">
        <v>20</v>
      </c>
      <c r="G346" t="str">
        <f>IF(F346&lt;6,"Night",IF(F346&lt;12,"Morning",IF(F346&lt;18,"Afternoon","Evening")))</f>
        <v>Evening</v>
      </c>
      <c r="H346">
        <v>0</v>
      </c>
      <c r="I346">
        <v>6</v>
      </c>
      <c r="J346" t="str">
        <f>CHOOSE(I346+1,"Monday","Tuesday","Wednesday","Thursday","Friday","Saturday","Sunday")</f>
        <v>Sunday</v>
      </c>
      <c r="K346">
        <v>2</v>
      </c>
      <c r="L346" t="str">
        <f>CHOOSE(K346+1,"error","Clear","Misty","Rainy","Severe heater")</f>
        <v>Misty</v>
      </c>
      <c r="M346">
        <v>0.32</v>
      </c>
      <c r="N346" t="str">
        <f>IF(M346&lt;=0.2,"Low",IF(M346&lt;=0.4,"Mid","High"))</f>
        <v>Mid</v>
      </c>
      <c r="O346">
        <v>0.30299999999999999</v>
      </c>
      <c r="P346" t="str">
        <f>IF(O346&lt;=0.15,"Very Cold",IF(O346&lt;=0.3,"Cold",IF(O346&lt;=0.45,"Pleasant","Hot")))</f>
        <v>Pleasant</v>
      </c>
      <c r="Q346">
        <v>0.39</v>
      </c>
      <c r="R346" t="str">
        <f>IF(Q346&lt;=0.25,"Low ",IF(Q346&lt;=0.5,"Moderate ",IF(Q346&lt;=0.75,"High ","Very High ")))</f>
        <v xml:space="preserve">Moderate </v>
      </c>
      <c r="S346">
        <v>0.25369999999999998</v>
      </c>
      <c r="T346" t="str">
        <f>IF(S346&lt;=0.15,"Calm",IF(S346&lt;=0.3,"Light Wind",IF(S346&lt;=0.45,"Moderate Wind","Strong Wind")))</f>
        <v>Light Wind</v>
      </c>
      <c r="U346">
        <v>6</v>
      </c>
      <c r="V346">
        <v>35</v>
      </c>
      <c r="W346">
        <v>41</v>
      </c>
      <c r="X346" t="str">
        <f>IF(W346&lt;=75,"Low Demand",IF(W346&lt;=150,"Medium Demand",IF(W346&lt;=225,"High Demand","Very High Demand")))</f>
        <v>Low Demand</v>
      </c>
    </row>
    <row r="347" spans="1:24" x14ac:dyDescent="0.25">
      <c r="A347">
        <v>346</v>
      </c>
      <c r="B347" s="2">
        <v>40558</v>
      </c>
      <c r="C347">
        <v>1</v>
      </c>
      <c r="D347">
        <v>0</v>
      </c>
      <c r="E347">
        <v>1</v>
      </c>
      <c r="F347">
        <v>21</v>
      </c>
      <c r="G347" t="str">
        <f>IF(F347&lt;6,"Night",IF(F347&lt;12,"Morning",IF(F347&lt;18,"Afternoon","Evening")))</f>
        <v>Evening</v>
      </c>
      <c r="H347">
        <v>0</v>
      </c>
      <c r="I347">
        <v>6</v>
      </c>
      <c r="J347" t="str">
        <f>CHOOSE(I347+1,"Monday","Tuesday","Wednesday","Thursday","Friday","Saturday","Sunday")</f>
        <v>Sunday</v>
      </c>
      <c r="K347">
        <v>2</v>
      </c>
      <c r="L347" t="str">
        <f>CHOOSE(K347+1,"error","Clear","Misty","Rainy","Severe heater")</f>
        <v>Misty</v>
      </c>
      <c r="M347">
        <v>0.32</v>
      </c>
      <c r="N347" t="str">
        <f>IF(M347&lt;=0.2,"Low",IF(M347&lt;=0.4,"Mid","High"))</f>
        <v>Mid</v>
      </c>
      <c r="O347">
        <v>0.30299999999999999</v>
      </c>
      <c r="P347" t="str">
        <f>IF(O347&lt;=0.15,"Very Cold",IF(O347&lt;=0.3,"Cold",IF(O347&lt;=0.45,"Pleasant","Hot")))</f>
        <v>Pleasant</v>
      </c>
      <c r="Q347">
        <v>0.39</v>
      </c>
      <c r="R347" t="str">
        <f>IF(Q347&lt;=0.25,"Low ",IF(Q347&lt;=0.5,"Moderate ",IF(Q347&lt;=0.75,"High ","Very High ")))</f>
        <v xml:space="preserve">Moderate </v>
      </c>
      <c r="S347">
        <v>0.22389999999999999</v>
      </c>
      <c r="T347" t="str">
        <f>IF(S347&lt;=0.15,"Calm",IF(S347&lt;=0.3,"Light Wind",IF(S347&lt;=0.45,"Moderate Wind","Strong Wind")))</f>
        <v>Light Wind</v>
      </c>
      <c r="U347">
        <v>6</v>
      </c>
      <c r="V347">
        <v>51</v>
      </c>
      <c r="W347">
        <v>57</v>
      </c>
      <c r="X347" t="str">
        <f>IF(W347&lt;=75,"Low Demand",IF(W347&lt;=150,"Medium Demand",IF(W347&lt;=225,"High Demand","Very High Demand")))</f>
        <v>Low Demand</v>
      </c>
    </row>
    <row r="348" spans="1:24" x14ac:dyDescent="0.25">
      <c r="A348">
        <v>347</v>
      </c>
      <c r="B348" s="2">
        <v>40558</v>
      </c>
      <c r="C348">
        <v>1</v>
      </c>
      <c r="D348">
        <v>0</v>
      </c>
      <c r="E348">
        <v>1</v>
      </c>
      <c r="F348">
        <v>22</v>
      </c>
      <c r="G348" t="str">
        <f>IF(F348&lt;6,"Night",IF(F348&lt;12,"Morning",IF(F348&lt;18,"Afternoon","Evening")))</f>
        <v>Evening</v>
      </c>
      <c r="H348">
        <v>0</v>
      </c>
      <c r="I348">
        <v>6</v>
      </c>
      <c r="J348" t="str">
        <f>CHOOSE(I348+1,"Monday","Tuesday","Wednesday","Thursday","Friday","Saturday","Sunday")</f>
        <v>Sunday</v>
      </c>
      <c r="K348">
        <v>2</v>
      </c>
      <c r="L348" t="str">
        <f>CHOOSE(K348+1,"error","Clear","Misty","Rainy","Severe heater")</f>
        <v>Misty</v>
      </c>
      <c r="M348">
        <v>0.3</v>
      </c>
      <c r="N348" t="str">
        <f>IF(M348&lt;=0.2,"Low",IF(M348&lt;=0.4,"Mid","High"))</f>
        <v>Mid</v>
      </c>
      <c r="O348">
        <v>0.31819999999999998</v>
      </c>
      <c r="P348" t="str">
        <f>IF(O348&lt;=0.15,"Very Cold",IF(O348&lt;=0.3,"Cold",IF(O348&lt;=0.45,"Pleasant","Hot")))</f>
        <v>Pleasant</v>
      </c>
      <c r="Q348">
        <v>0.42</v>
      </c>
      <c r="R348" t="str">
        <f>IF(Q348&lt;=0.25,"Low ",IF(Q348&lt;=0.5,"Moderate ",IF(Q348&lt;=0.75,"High ","Very High ")))</f>
        <v xml:space="preserve">Moderate </v>
      </c>
      <c r="S348">
        <v>0.1045</v>
      </c>
      <c r="T348" t="str">
        <f>IF(S348&lt;=0.15,"Calm",IF(S348&lt;=0.3,"Light Wind",IF(S348&lt;=0.45,"Moderate Wind","Strong Wind")))</f>
        <v>Calm</v>
      </c>
      <c r="U348">
        <v>0</v>
      </c>
      <c r="V348">
        <v>26</v>
      </c>
      <c r="W348">
        <v>26</v>
      </c>
      <c r="X348" t="str">
        <f>IF(W348&lt;=75,"Low Demand",IF(W348&lt;=150,"Medium Demand",IF(W348&lt;=225,"High Demand","Very High Demand")))</f>
        <v>Low Demand</v>
      </c>
    </row>
    <row r="349" spans="1:24" x14ac:dyDescent="0.25">
      <c r="A349">
        <v>348</v>
      </c>
      <c r="B349" s="2">
        <v>40558</v>
      </c>
      <c r="C349">
        <v>1</v>
      </c>
      <c r="D349">
        <v>0</v>
      </c>
      <c r="E349">
        <v>1</v>
      </c>
      <c r="F349">
        <v>23</v>
      </c>
      <c r="G349" t="str">
        <f>IF(F349&lt;6,"Night",IF(F349&lt;12,"Morning",IF(F349&lt;18,"Afternoon","Evening")))</f>
        <v>Evening</v>
      </c>
      <c r="H349">
        <v>0</v>
      </c>
      <c r="I349">
        <v>6</v>
      </c>
      <c r="J349" t="str">
        <f>CHOOSE(I349+1,"Monday","Tuesday","Wednesday","Thursday","Friday","Saturday","Sunday")</f>
        <v>Sunday</v>
      </c>
      <c r="K349">
        <v>1</v>
      </c>
      <c r="L349" t="str">
        <f>CHOOSE(K349+1,"error","Clear","Misty","Rainy","Severe heater")</f>
        <v>Clear</v>
      </c>
      <c r="M349">
        <v>0.3</v>
      </c>
      <c r="N349" t="str">
        <f>IF(M349&lt;=0.2,"Low",IF(M349&lt;=0.4,"Mid","High"))</f>
        <v>Mid</v>
      </c>
      <c r="O349">
        <v>0.28789999999999999</v>
      </c>
      <c r="P349" t="str">
        <f>IF(O349&lt;=0.15,"Very Cold",IF(O349&lt;=0.3,"Cold",IF(O349&lt;=0.45,"Pleasant","Hot")))</f>
        <v>Cold</v>
      </c>
      <c r="Q349">
        <v>0.45</v>
      </c>
      <c r="R349" t="str">
        <f>IF(Q349&lt;=0.25,"Low ",IF(Q349&lt;=0.5,"Moderate ",IF(Q349&lt;=0.75,"High ","Very High ")))</f>
        <v xml:space="preserve">Moderate </v>
      </c>
      <c r="S349">
        <v>0.28360000000000002</v>
      </c>
      <c r="T349" t="str">
        <f>IF(S349&lt;=0.15,"Calm",IF(S349&lt;=0.3,"Light Wind",IF(S349&lt;=0.45,"Moderate Wind","Strong Wind")))</f>
        <v>Light Wind</v>
      </c>
      <c r="U349">
        <v>5</v>
      </c>
      <c r="V349">
        <v>39</v>
      </c>
      <c r="W349">
        <v>44</v>
      </c>
      <c r="X349" t="str">
        <f>IF(W349&lt;=75,"Low Demand",IF(W349&lt;=150,"Medium Demand",IF(W349&lt;=225,"High Demand","Very High Demand")))</f>
        <v>Low Demand</v>
      </c>
    </row>
    <row r="350" spans="1:24" x14ac:dyDescent="0.25">
      <c r="A350">
        <v>349</v>
      </c>
      <c r="B350" s="2">
        <v>40559</v>
      </c>
      <c r="C350">
        <v>1</v>
      </c>
      <c r="D350">
        <v>0</v>
      </c>
      <c r="E350">
        <v>1</v>
      </c>
      <c r="F350">
        <v>0</v>
      </c>
      <c r="G350" t="str">
        <f>IF(F350&lt;6,"Night",IF(F350&lt;12,"Morning",IF(F350&lt;18,"Afternoon","Evening")))</f>
        <v>Night</v>
      </c>
      <c r="H350">
        <v>0</v>
      </c>
      <c r="I350">
        <v>0</v>
      </c>
      <c r="J350" t="str">
        <f>CHOOSE(I350+1,"Monday","Tuesday","Wednesday","Thursday","Friday","Saturday","Sunday")</f>
        <v>Monday</v>
      </c>
      <c r="K350">
        <v>1</v>
      </c>
      <c r="L350" t="str">
        <f>CHOOSE(K350+1,"error","Clear","Misty","Rainy","Severe heater")</f>
        <v>Clear</v>
      </c>
      <c r="M350">
        <v>0.26</v>
      </c>
      <c r="N350" t="str">
        <f>IF(M350&lt;=0.2,"Low",IF(M350&lt;=0.4,"Mid","High"))</f>
        <v>Mid</v>
      </c>
      <c r="O350">
        <v>0.30299999999999999</v>
      </c>
      <c r="P350" t="str">
        <f>IF(O350&lt;=0.15,"Very Cold",IF(O350&lt;=0.3,"Cold",IF(O350&lt;=0.45,"Pleasant","Hot")))</f>
        <v>Pleasant</v>
      </c>
      <c r="Q350">
        <v>0.56000000000000005</v>
      </c>
      <c r="R350" t="str">
        <f>IF(Q350&lt;=0.25,"Low ",IF(Q350&lt;=0.5,"Moderate ",IF(Q350&lt;=0.75,"High ","Very High ")))</f>
        <v xml:space="preserve">High </v>
      </c>
      <c r="S350">
        <v>0</v>
      </c>
      <c r="T350" t="str">
        <f>IF(S350&lt;=0.15,"Calm",IF(S350&lt;=0.3,"Light Wind",IF(S350&lt;=0.45,"Moderate Wind","Strong Wind")))</f>
        <v>Calm</v>
      </c>
      <c r="U350">
        <v>6</v>
      </c>
      <c r="V350">
        <v>33</v>
      </c>
      <c r="W350">
        <v>39</v>
      </c>
      <c r="X350" t="str">
        <f>IF(W350&lt;=75,"Low Demand",IF(W350&lt;=150,"Medium Demand",IF(W350&lt;=225,"High Demand","Very High Demand")))</f>
        <v>Low Demand</v>
      </c>
    </row>
    <row r="351" spans="1:24" x14ac:dyDescent="0.25">
      <c r="A351">
        <v>350</v>
      </c>
      <c r="B351" s="2">
        <v>40559</v>
      </c>
      <c r="C351">
        <v>1</v>
      </c>
      <c r="D351">
        <v>0</v>
      </c>
      <c r="E351">
        <v>1</v>
      </c>
      <c r="F351">
        <v>1</v>
      </c>
      <c r="G351" t="str">
        <f>IF(F351&lt;6,"Night",IF(F351&lt;12,"Morning",IF(F351&lt;18,"Afternoon","Evening")))</f>
        <v>Night</v>
      </c>
      <c r="H351">
        <v>0</v>
      </c>
      <c r="I351">
        <v>0</v>
      </c>
      <c r="J351" t="str">
        <f>CHOOSE(I351+1,"Monday","Tuesday","Wednesday","Thursday","Friday","Saturday","Sunday")</f>
        <v>Monday</v>
      </c>
      <c r="K351">
        <v>1</v>
      </c>
      <c r="L351" t="str">
        <f>CHOOSE(K351+1,"error","Clear","Misty","Rainy","Severe heater")</f>
        <v>Clear</v>
      </c>
      <c r="M351">
        <v>0.26</v>
      </c>
      <c r="N351" t="str">
        <f>IF(M351&lt;=0.2,"Low",IF(M351&lt;=0.4,"Mid","High"))</f>
        <v>Mid</v>
      </c>
      <c r="O351">
        <v>0.2727</v>
      </c>
      <c r="P351" t="str">
        <f>IF(O351&lt;=0.15,"Very Cold",IF(O351&lt;=0.3,"Cold",IF(O351&lt;=0.45,"Pleasant","Hot")))</f>
        <v>Cold</v>
      </c>
      <c r="Q351">
        <v>0.56000000000000005</v>
      </c>
      <c r="R351" t="str">
        <f>IF(Q351&lt;=0.25,"Low ",IF(Q351&lt;=0.5,"Moderate ",IF(Q351&lt;=0.75,"High ","Very High ")))</f>
        <v xml:space="preserve">High </v>
      </c>
      <c r="S351">
        <v>0.1343</v>
      </c>
      <c r="T351" t="str">
        <f>IF(S351&lt;=0.15,"Calm",IF(S351&lt;=0.3,"Light Wind",IF(S351&lt;=0.45,"Moderate Wind","Strong Wind")))</f>
        <v>Calm</v>
      </c>
      <c r="U351">
        <v>4</v>
      </c>
      <c r="V351">
        <v>19</v>
      </c>
      <c r="W351">
        <v>23</v>
      </c>
      <c r="X351" t="str">
        <f>IF(W351&lt;=75,"Low Demand",IF(W351&lt;=150,"Medium Demand",IF(W351&lt;=225,"High Demand","Very High Demand")))</f>
        <v>Low Demand</v>
      </c>
    </row>
    <row r="352" spans="1:24" x14ac:dyDescent="0.25">
      <c r="A352">
        <v>351</v>
      </c>
      <c r="B352" s="2">
        <v>40559</v>
      </c>
      <c r="C352">
        <v>1</v>
      </c>
      <c r="D352">
        <v>0</v>
      </c>
      <c r="E352">
        <v>1</v>
      </c>
      <c r="F352">
        <v>2</v>
      </c>
      <c r="G352" t="str">
        <f>IF(F352&lt;6,"Night",IF(F352&lt;12,"Morning",IF(F352&lt;18,"Afternoon","Evening")))</f>
        <v>Night</v>
      </c>
      <c r="H352">
        <v>0</v>
      </c>
      <c r="I352">
        <v>0</v>
      </c>
      <c r="J352" t="str">
        <f>CHOOSE(I352+1,"Monday","Tuesday","Wednesday","Thursday","Friday","Saturday","Sunday")</f>
        <v>Monday</v>
      </c>
      <c r="K352">
        <v>1</v>
      </c>
      <c r="L352" t="str">
        <f>CHOOSE(K352+1,"error","Clear","Misty","Rainy","Severe heater")</f>
        <v>Clear</v>
      </c>
      <c r="M352">
        <v>0.26</v>
      </c>
      <c r="N352" t="str">
        <f>IF(M352&lt;=0.2,"Low",IF(M352&lt;=0.4,"Mid","High"))</f>
        <v>Mid</v>
      </c>
      <c r="O352">
        <v>0.28789999999999999</v>
      </c>
      <c r="P352" t="str">
        <f>IF(O352&lt;=0.15,"Very Cold",IF(O352&lt;=0.3,"Cold",IF(O352&lt;=0.45,"Pleasant","Hot")))</f>
        <v>Cold</v>
      </c>
      <c r="Q352">
        <v>0.56000000000000005</v>
      </c>
      <c r="R352" t="str">
        <f>IF(Q352&lt;=0.25,"Low ",IF(Q352&lt;=0.5,"Moderate ",IF(Q352&lt;=0.75,"High ","Very High ")))</f>
        <v xml:space="preserve">High </v>
      </c>
      <c r="S352">
        <v>8.9599999999999999E-2</v>
      </c>
      <c r="T352" t="str">
        <f>IF(S352&lt;=0.15,"Calm",IF(S352&lt;=0.3,"Light Wind",IF(S352&lt;=0.45,"Moderate Wind","Strong Wind")))</f>
        <v>Calm</v>
      </c>
      <c r="U352">
        <v>3</v>
      </c>
      <c r="V352">
        <v>13</v>
      </c>
      <c r="W352">
        <v>16</v>
      </c>
      <c r="X352" t="str">
        <f>IF(W352&lt;=75,"Low Demand",IF(W352&lt;=150,"Medium Demand",IF(W352&lt;=225,"High Demand","Very High Demand")))</f>
        <v>Low Demand</v>
      </c>
    </row>
    <row r="353" spans="1:24" x14ac:dyDescent="0.25">
      <c r="A353">
        <v>352</v>
      </c>
      <c r="B353" s="2">
        <v>40559</v>
      </c>
      <c r="C353">
        <v>1</v>
      </c>
      <c r="D353">
        <v>0</v>
      </c>
      <c r="E353">
        <v>1</v>
      </c>
      <c r="F353">
        <v>3</v>
      </c>
      <c r="G353" t="str">
        <f>IF(F353&lt;6,"Night",IF(F353&lt;12,"Morning",IF(F353&lt;18,"Afternoon","Evening")))</f>
        <v>Night</v>
      </c>
      <c r="H353">
        <v>0</v>
      </c>
      <c r="I353">
        <v>0</v>
      </c>
      <c r="J353" t="str">
        <f>CHOOSE(I353+1,"Monday","Tuesday","Wednesday","Thursday","Friday","Saturday","Sunday")</f>
        <v>Monday</v>
      </c>
      <c r="K353">
        <v>1</v>
      </c>
      <c r="L353" t="str">
        <f>CHOOSE(K353+1,"error","Clear","Misty","Rainy","Severe heater")</f>
        <v>Clear</v>
      </c>
      <c r="M353">
        <v>0.22</v>
      </c>
      <c r="N353" t="str">
        <f>IF(M353&lt;=0.2,"Low",IF(M353&lt;=0.4,"Mid","High"))</f>
        <v>Mid</v>
      </c>
      <c r="O353">
        <v>0.2727</v>
      </c>
      <c r="P353" t="str">
        <f>IF(O353&lt;=0.15,"Very Cold",IF(O353&lt;=0.3,"Cold",IF(O353&lt;=0.45,"Pleasant","Hot")))</f>
        <v>Cold</v>
      </c>
      <c r="Q353">
        <v>0.69</v>
      </c>
      <c r="R353" t="str">
        <f>IF(Q353&lt;=0.25,"Low ",IF(Q353&lt;=0.5,"Moderate ",IF(Q353&lt;=0.75,"High ","Very High ")))</f>
        <v xml:space="preserve">High </v>
      </c>
      <c r="S353">
        <v>0</v>
      </c>
      <c r="T353" t="str">
        <f>IF(S353&lt;=0.15,"Calm",IF(S353&lt;=0.3,"Light Wind",IF(S353&lt;=0.45,"Moderate Wind","Strong Wind")))</f>
        <v>Calm</v>
      </c>
      <c r="U353">
        <v>9</v>
      </c>
      <c r="V353">
        <v>6</v>
      </c>
      <c r="W353">
        <v>15</v>
      </c>
      <c r="X353" t="str">
        <f>IF(W353&lt;=75,"Low Demand",IF(W353&lt;=150,"Medium Demand",IF(W353&lt;=225,"High Demand","Very High Demand")))</f>
        <v>Low Demand</v>
      </c>
    </row>
    <row r="354" spans="1:24" x14ac:dyDescent="0.25">
      <c r="A354">
        <v>353</v>
      </c>
      <c r="B354" s="2">
        <v>40559</v>
      </c>
      <c r="C354">
        <v>1</v>
      </c>
      <c r="D354">
        <v>0</v>
      </c>
      <c r="E354">
        <v>1</v>
      </c>
      <c r="F354">
        <v>4</v>
      </c>
      <c r="G354" t="str">
        <f>IF(F354&lt;6,"Night",IF(F354&lt;12,"Morning",IF(F354&lt;18,"Afternoon","Evening")))</f>
        <v>Night</v>
      </c>
      <c r="H354">
        <v>0</v>
      </c>
      <c r="I354">
        <v>0</v>
      </c>
      <c r="J354" t="str">
        <f>CHOOSE(I354+1,"Monday","Tuesday","Wednesday","Thursday","Friday","Saturday","Sunday")</f>
        <v>Monday</v>
      </c>
      <c r="K354">
        <v>1</v>
      </c>
      <c r="L354" t="str">
        <f>CHOOSE(K354+1,"error","Clear","Misty","Rainy","Severe heater")</f>
        <v>Clear</v>
      </c>
      <c r="M354">
        <v>0.26</v>
      </c>
      <c r="N354" t="str">
        <f>IF(M354&lt;=0.2,"Low",IF(M354&lt;=0.4,"Mid","High"))</f>
        <v>Mid</v>
      </c>
      <c r="O354">
        <v>0.2576</v>
      </c>
      <c r="P354" t="str">
        <f>IF(O354&lt;=0.15,"Very Cold",IF(O354&lt;=0.3,"Cold",IF(O354&lt;=0.45,"Pleasant","Hot")))</f>
        <v>Cold</v>
      </c>
      <c r="Q354">
        <v>0.56000000000000005</v>
      </c>
      <c r="R354" t="str">
        <f>IF(Q354&lt;=0.25,"Low ",IF(Q354&lt;=0.5,"Moderate ",IF(Q354&lt;=0.75,"High ","Very High ")))</f>
        <v xml:space="preserve">High </v>
      </c>
      <c r="S354">
        <v>0.16420000000000001</v>
      </c>
      <c r="T354" t="str">
        <f>IF(S354&lt;=0.15,"Calm",IF(S354&lt;=0.3,"Light Wind",IF(S354&lt;=0.45,"Moderate Wind","Strong Wind")))</f>
        <v>Light Wind</v>
      </c>
      <c r="U354">
        <v>0</v>
      </c>
      <c r="V354">
        <v>1</v>
      </c>
      <c r="W354">
        <v>1</v>
      </c>
      <c r="X354" t="str">
        <f>IF(W354&lt;=75,"Low Demand",IF(W354&lt;=150,"Medium Demand",IF(W354&lt;=225,"High Demand","Very High Demand")))</f>
        <v>Low Demand</v>
      </c>
    </row>
    <row r="355" spans="1:24" x14ac:dyDescent="0.25">
      <c r="A355">
        <v>354</v>
      </c>
      <c r="B355" s="2">
        <v>40559</v>
      </c>
      <c r="C355">
        <v>1</v>
      </c>
      <c r="D355">
        <v>0</v>
      </c>
      <c r="E355">
        <v>1</v>
      </c>
      <c r="F355">
        <v>5</v>
      </c>
      <c r="G355" t="str">
        <f>IF(F355&lt;6,"Night",IF(F355&lt;12,"Morning",IF(F355&lt;18,"Afternoon","Evening")))</f>
        <v>Night</v>
      </c>
      <c r="H355">
        <v>0</v>
      </c>
      <c r="I355">
        <v>0</v>
      </c>
      <c r="J355" t="str">
        <f>CHOOSE(I355+1,"Monday","Tuesday","Wednesday","Thursday","Friday","Saturday","Sunday")</f>
        <v>Monday</v>
      </c>
      <c r="K355">
        <v>2</v>
      </c>
      <c r="L355" t="str">
        <f>CHOOSE(K355+1,"error","Clear","Misty","Rainy","Severe heater")</f>
        <v>Misty</v>
      </c>
      <c r="M355">
        <v>0.26</v>
      </c>
      <c r="N355" t="str">
        <f>IF(M355&lt;=0.2,"Low",IF(M355&lt;=0.4,"Mid","High"))</f>
        <v>Mid</v>
      </c>
      <c r="O355">
        <v>0.2576</v>
      </c>
      <c r="P355" t="str">
        <f>IF(O355&lt;=0.15,"Very Cold",IF(O355&lt;=0.3,"Cold",IF(O355&lt;=0.45,"Pleasant","Hot")))</f>
        <v>Cold</v>
      </c>
      <c r="Q355">
        <v>0.56000000000000005</v>
      </c>
      <c r="R355" t="str">
        <f>IF(Q355&lt;=0.25,"Low ",IF(Q355&lt;=0.5,"Moderate ",IF(Q355&lt;=0.75,"High ","Very High ")))</f>
        <v xml:space="preserve">High </v>
      </c>
      <c r="S355">
        <v>0.16420000000000001</v>
      </c>
      <c r="T355" t="str">
        <f>IF(S355&lt;=0.15,"Calm",IF(S355&lt;=0.3,"Light Wind",IF(S355&lt;=0.45,"Moderate Wind","Strong Wind")))</f>
        <v>Light Wind</v>
      </c>
      <c r="U355">
        <v>1</v>
      </c>
      <c r="V355">
        <v>1</v>
      </c>
      <c r="W355">
        <v>2</v>
      </c>
      <c r="X355" t="str">
        <f>IF(W355&lt;=75,"Low Demand",IF(W355&lt;=150,"Medium Demand",IF(W355&lt;=225,"High Demand","Very High Demand")))</f>
        <v>Low Demand</v>
      </c>
    </row>
    <row r="356" spans="1:24" x14ac:dyDescent="0.25">
      <c r="A356">
        <v>355</v>
      </c>
      <c r="B356" s="2">
        <v>40559</v>
      </c>
      <c r="C356">
        <v>1</v>
      </c>
      <c r="D356">
        <v>0</v>
      </c>
      <c r="E356">
        <v>1</v>
      </c>
      <c r="F356">
        <v>6</v>
      </c>
      <c r="G356" t="str">
        <f>IF(F356&lt;6,"Night",IF(F356&lt;12,"Morning",IF(F356&lt;18,"Afternoon","Evening")))</f>
        <v>Morning</v>
      </c>
      <c r="H356">
        <v>0</v>
      </c>
      <c r="I356">
        <v>0</v>
      </c>
      <c r="J356" t="str">
        <f>CHOOSE(I356+1,"Monday","Tuesday","Wednesday","Thursday","Friday","Saturday","Sunday")</f>
        <v>Monday</v>
      </c>
      <c r="K356">
        <v>2</v>
      </c>
      <c r="L356" t="str">
        <f>CHOOSE(K356+1,"error","Clear","Misty","Rainy","Severe heater")</f>
        <v>Misty</v>
      </c>
      <c r="M356">
        <v>0.26</v>
      </c>
      <c r="N356" t="str">
        <f>IF(M356&lt;=0.2,"Low",IF(M356&lt;=0.4,"Mid","High"))</f>
        <v>Mid</v>
      </c>
      <c r="O356">
        <v>0.2576</v>
      </c>
      <c r="P356" t="str">
        <f>IF(O356&lt;=0.15,"Very Cold",IF(O356&lt;=0.3,"Cold",IF(O356&lt;=0.45,"Pleasant","Hot")))</f>
        <v>Cold</v>
      </c>
      <c r="Q356">
        <v>0.56000000000000005</v>
      </c>
      <c r="R356" t="str">
        <f>IF(Q356&lt;=0.25,"Low ",IF(Q356&lt;=0.5,"Moderate ",IF(Q356&lt;=0.75,"High ","Very High ")))</f>
        <v xml:space="preserve">High </v>
      </c>
      <c r="S356">
        <v>0.16420000000000001</v>
      </c>
      <c r="T356" t="str">
        <f>IF(S356&lt;=0.15,"Calm",IF(S356&lt;=0.3,"Light Wind",IF(S356&lt;=0.45,"Moderate Wind","Strong Wind")))</f>
        <v>Light Wind</v>
      </c>
      <c r="U356">
        <v>0</v>
      </c>
      <c r="V356">
        <v>1</v>
      </c>
      <c r="W356">
        <v>1</v>
      </c>
      <c r="X356" t="str">
        <f>IF(W356&lt;=75,"Low Demand",IF(W356&lt;=150,"Medium Demand",IF(W356&lt;=225,"High Demand","Very High Demand")))</f>
        <v>Low Demand</v>
      </c>
    </row>
    <row r="357" spans="1:24" x14ac:dyDescent="0.25">
      <c r="A357">
        <v>356</v>
      </c>
      <c r="B357" s="2">
        <v>40559</v>
      </c>
      <c r="C357">
        <v>1</v>
      </c>
      <c r="D357">
        <v>0</v>
      </c>
      <c r="E357">
        <v>1</v>
      </c>
      <c r="F357">
        <v>7</v>
      </c>
      <c r="G357" t="str">
        <f>IF(F357&lt;6,"Night",IF(F357&lt;12,"Morning",IF(F357&lt;18,"Afternoon","Evening")))</f>
        <v>Morning</v>
      </c>
      <c r="H357">
        <v>0</v>
      </c>
      <c r="I357">
        <v>0</v>
      </c>
      <c r="J357" t="str">
        <f>CHOOSE(I357+1,"Monday","Tuesday","Wednesday","Thursday","Friday","Saturday","Sunday")</f>
        <v>Monday</v>
      </c>
      <c r="K357">
        <v>2</v>
      </c>
      <c r="L357" t="str">
        <f>CHOOSE(K357+1,"error","Clear","Misty","Rainy","Severe heater")</f>
        <v>Misty</v>
      </c>
      <c r="M357">
        <v>0.24</v>
      </c>
      <c r="N357" t="str">
        <f>IF(M357&lt;=0.2,"Low",IF(M357&lt;=0.4,"Mid","High"))</f>
        <v>Mid</v>
      </c>
      <c r="O357">
        <v>0.21210000000000001</v>
      </c>
      <c r="P357" t="str">
        <f>IF(O357&lt;=0.15,"Very Cold",IF(O357&lt;=0.3,"Cold",IF(O357&lt;=0.45,"Pleasant","Hot")))</f>
        <v>Cold</v>
      </c>
      <c r="Q357">
        <v>0.56000000000000005</v>
      </c>
      <c r="R357" t="str">
        <f>IF(Q357&lt;=0.25,"Low ",IF(Q357&lt;=0.5,"Moderate ",IF(Q357&lt;=0.75,"High ","Very High ")))</f>
        <v xml:space="preserve">High </v>
      </c>
      <c r="S357">
        <v>0.29849999999999999</v>
      </c>
      <c r="T357" t="str">
        <f>IF(S357&lt;=0.15,"Calm",IF(S357&lt;=0.3,"Light Wind",IF(S357&lt;=0.45,"Moderate Wind","Strong Wind")))</f>
        <v>Light Wind</v>
      </c>
      <c r="U357">
        <v>0</v>
      </c>
      <c r="V357">
        <v>3</v>
      </c>
      <c r="W357">
        <v>3</v>
      </c>
      <c r="X357" t="str">
        <f>IF(W357&lt;=75,"Low Demand",IF(W357&lt;=150,"Medium Demand",IF(W357&lt;=225,"High Demand","Very High Demand")))</f>
        <v>Low Demand</v>
      </c>
    </row>
    <row r="358" spans="1:24" x14ac:dyDescent="0.25">
      <c r="A358">
        <v>357</v>
      </c>
      <c r="B358" s="2">
        <v>40559</v>
      </c>
      <c r="C358">
        <v>1</v>
      </c>
      <c r="D358">
        <v>0</v>
      </c>
      <c r="E358">
        <v>1</v>
      </c>
      <c r="F358">
        <v>8</v>
      </c>
      <c r="G358" t="str">
        <f>IF(F358&lt;6,"Night",IF(F358&lt;12,"Morning",IF(F358&lt;18,"Afternoon","Evening")))</f>
        <v>Morning</v>
      </c>
      <c r="H358">
        <v>0</v>
      </c>
      <c r="I358">
        <v>0</v>
      </c>
      <c r="J358" t="str">
        <f>CHOOSE(I358+1,"Monday","Tuesday","Wednesday","Thursday","Friday","Saturday","Sunday")</f>
        <v>Monday</v>
      </c>
      <c r="K358">
        <v>1</v>
      </c>
      <c r="L358" t="str">
        <f>CHOOSE(K358+1,"error","Clear","Misty","Rainy","Severe heater")</f>
        <v>Clear</v>
      </c>
      <c r="M358">
        <v>0.22</v>
      </c>
      <c r="N358" t="str">
        <f>IF(M358&lt;=0.2,"Low",IF(M358&lt;=0.4,"Mid","High"))</f>
        <v>Mid</v>
      </c>
      <c r="O358">
        <v>0.21210000000000001</v>
      </c>
      <c r="P358" t="str">
        <f>IF(O358&lt;=0.15,"Very Cold",IF(O358&lt;=0.3,"Cold",IF(O358&lt;=0.45,"Pleasant","Hot")))</f>
        <v>Cold</v>
      </c>
      <c r="Q358">
        <v>0.55000000000000004</v>
      </c>
      <c r="R358" t="str">
        <f>IF(Q358&lt;=0.25,"Low ",IF(Q358&lt;=0.5,"Moderate ",IF(Q358&lt;=0.75,"High ","Very High ")))</f>
        <v xml:space="preserve">High </v>
      </c>
      <c r="S358">
        <v>0.28360000000000002</v>
      </c>
      <c r="T358" t="str">
        <f>IF(S358&lt;=0.15,"Calm",IF(S358&lt;=0.3,"Light Wind",IF(S358&lt;=0.45,"Moderate Wind","Strong Wind")))</f>
        <v>Light Wind</v>
      </c>
      <c r="U358">
        <v>0</v>
      </c>
      <c r="V358">
        <v>18</v>
      </c>
      <c r="W358">
        <v>18</v>
      </c>
      <c r="X358" t="str">
        <f>IF(W358&lt;=75,"Low Demand",IF(W358&lt;=150,"Medium Demand",IF(W358&lt;=225,"High Demand","Very High Demand")))</f>
        <v>Low Demand</v>
      </c>
    </row>
    <row r="359" spans="1:24" x14ac:dyDescent="0.25">
      <c r="A359">
        <v>358</v>
      </c>
      <c r="B359" s="2">
        <v>40559</v>
      </c>
      <c r="C359">
        <v>1</v>
      </c>
      <c r="D359">
        <v>0</v>
      </c>
      <c r="E359">
        <v>1</v>
      </c>
      <c r="F359">
        <v>9</v>
      </c>
      <c r="G359" t="str">
        <f>IF(F359&lt;6,"Night",IF(F359&lt;12,"Morning",IF(F359&lt;18,"Afternoon","Evening")))</f>
        <v>Morning</v>
      </c>
      <c r="H359">
        <v>0</v>
      </c>
      <c r="I359">
        <v>0</v>
      </c>
      <c r="J359" t="str">
        <f>CHOOSE(I359+1,"Monday","Tuesday","Wednesday","Thursday","Friday","Saturday","Sunday")</f>
        <v>Monday</v>
      </c>
      <c r="K359">
        <v>1</v>
      </c>
      <c r="L359" t="str">
        <f>CHOOSE(K359+1,"error","Clear","Misty","Rainy","Severe heater")</f>
        <v>Clear</v>
      </c>
      <c r="M359">
        <v>0.22</v>
      </c>
      <c r="N359" t="str">
        <f>IF(M359&lt;=0.2,"Low",IF(M359&lt;=0.4,"Mid","High"))</f>
        <v>Mid</v>
      </c>
      <c r="O359">
        <v>0.21210000000000001</v>
      </c>
      <c r="P359" t="str">
        <f>IF(O359&lt;=0.15,"Very Cold",IF(O359&lt;=0.3,"Cold",IF(O359&lt;=0.45,"Pleasant","Hot")))</f>
        <v>Cold</v>
      </c>
      <c r="Q359">
        <v>0.51</v>
      </c>
      <c r="R359" t="str">
        <f>IF(Q359&lt;=0.25,"Low ",IF(Q359&lt;=0.5,"Moderate ",IF(Q359&lt;=0.75,"High ","Very High ")))</f>
        <v xml:space="preserve">High </v>
      </c>
      <c r="S359">
        <v>0.25369999999999998</v>
      </c>
      <c r="T359" t="str">
        <f>IF(S359&lt;=0.15,"Calm",IF(S359&lt;=0.3,"Light Wind",IF(S359&lt;=0.45,"Moderate Wind","Strong Wind")))</f>
        <v>Light Wind</v>
      </c>
      <c r="U359">
        <v>3</v>
      </c>
      <c r="V359">
        <v>29</v>
      </c>
      <c r="W359">
        <v>32</v>
      </c>
      <c r="X359" t="str">
        <f>IF(W359&lt;=75,"Low Demand",IF(W359&lt;=150,"Medium Demand",IF(W359&lt;=225,"High Demand","Very High Demand")))</f>
        <v>Low Demand</v>
      </c>
    </row>
    <row r="360" spans="1:24" x14ac:dyDescent="0.25">
      <c r="A360">
        <v>359</v>
      </c>
      <c r="B360" s="2">
        <v>40559</v>
      </c>
      <c r="C360">
        <v>1</v>
      </c>
      <c r="D360">
        <v>0</v>
      </c>
      <c r="E360">
        <v>1</v>
      </c>
      <c r="F360">
        <v>10</v>
      </c>
      <c r="G360" t="str">
        <f>IF(F360&lt;6,"Night",IF(F360&lt;12,"Morning",IF(F360&lt;18,"Afternoon","Evening")))</f>
        <v>Morning</v>
      </c>
      <c r="H360">
        <v>0</v>
      </c>
      <c r="I360">
        <v>0</v>
      </c>
      <c r="J360" t="str">
        <f>CHOOSE(I360+1,"Monday","Tuesday","Wednesday","Thursday","Friday","Saturday","Sunday")</f>
        <v>Monday</v>
      </c>
      <c r="K360">
        <v>1</v>
      </c>
      <c r="L360" t="str">
        <f>CHOOSE(K360+1,"error","Clear","Misty","Rainy","Severe heater")</f>
        <v>Clear</v>
      </c>
      <c r="M360">
        <v>0.22</v>
      </c>
      <c r="N360" t="str">
        <f>IF(M360&lt;=0.2,"Low",IF(M360&lt;=0.4,"Mid","High"))</f>
        <v>Mid</v>
      </c>
      <c r="O360">
        <v>0.21210000000000001</v>
      </c>
      <c r="P360" t="str">
        <f>IF(O360&lt;=0.15,"Very Cold",IF(O360&lt;=0.3,"Cold",IF(O360&lt;=0.45,"Pleasant","Hot")))</f>
        <v>Cold</v>
      </c>
      <c r="Q360">
        <v>0.51</v>
      </c>
      <c r="R360" t="str">
        <f>IF(Q360&lt;=0.25,"Low ",IF(Q360&lt;=0.5,"Moderate ",IF(Q360&lt;=0.75,"High ","Very High ")))</f>
        <v xml:space="preserve">High </v>
      </c>
      <c r="S360">
        <v>0.28360000000000002</v>
      </c>
      <c r="T360" t="str">
        <f>IF(S360&lt;=0.15,"Calm",IF(S360&lt;=0.3,"Light Wind",IF(S360&lt;=0.45,"Moderate Wind","Strong Wind")))</f>
        <v>Light Wind</v>
      </c>
      <c r="U360">
        <v>8</v>
      </c>
      <c r="V360">
        <v>71</v>
      </c>
      <c r="W360">
        <v>79</v>
      </c>
      <c r="X360" t="str">
        <f>IF(W360&lt;=75,"Low Demand",IF(W360&lt;=150,"Medium Demand",IF(W360&lt;=225,"High Demand","Very High Demand")))</f>
        <v>Medium Demand</v>
      </c>
    </row>
    <row r="361" spans="1:24" x14ac:dyDescent="0.25">
      <c r="A361">
        <v>360</v>
      </c>
      <c r="B361" s="2">
        <v>40559</v>
      </c>
      <c r="C361">
        <v>1</v>
      </c>
      <c r="D361">
        <v>0</v>
      </c>
      <c r="E361">
        <v>1</v>
      </c>
      <c r="F361">
        <v>11</v>
      </c>
      <c r="G361" t="str">
        <f>IF(F361&lt;6,"Night",IF(F361&lt;12,"Morning",IF(F361&lt;18,"Afternoon","Evening")))</f>
        <v>Morning</v>
      </c>
      <c r="H361">
        <v>0</v>
      </c>
      <c r="I361">
        <v>0</v>
      </c>
      <c r="J361" t="str">
        <f>CHOOSE(I361+1,"Monday","Tuesday","Wednesday","Thursday","Friday","Saturday","Sunday")</f>
        <v>Monday</v>
      </c>
      <c r="K361">
        <v>1</v>
      </c>
      <c r="L361" t="str">
        <f>CHOOSE(K361+1,"error","Clear","Misty","Rainy","Severe heater")</f>
        <v>Clear</v>
      </c>
      <c r="M361">
        <v>0.24</v>
      </c>
      <c r="N361" t="str">
        <f>IF(M361&lt;=0.2,"Low",IF(M361&lt;=0.4,"Mid","High"))</f>
        <v>Mid</v>
      </c>
      <c r="O361">
        <v>0.2273</v>
      </c>
      <c r="P361" t="str">
        <f>IF(O361&lt;=0.15,"Very Cold",IF(O361&lt;=0.3,"Cold",IF(O361&lt;=0.45,"Pleasant","Hot")))</f>
        <v>Cold</v>
      </c>
      <c r="Q361">
        <v>0.44</v>
      </c>
      <c r="R361" t="str">
        <f>IF(Q361&lt;=0.25,"Low ",IF(Q361&lt;=0.5,"Moderate ",IF(Q361&lt;=0.75,"High ","Very High ")))</f>
        <v xml:space="preserve">Moderate </v>
      </c>
      <c r="S361">
        <v>0.25369999999999998</v>
      </c>
      <c r="T361" t="str">
        <f>IF(S361&lt;=0.15,"Calm",IF(S361&lt;=0.3,"Light Wind",IF(S361&lt;=0.45,"Moderate Wind","Strong Wind")))</f>
        <v>Light Wind</v>
      </c>
      <c r="U361">
        <v>23</v>
      </c>
      <c r="V361">
        <v>70</v>
      </c>
      <c r="W361">
        <v>93</v>
      </c>
      <c r="X361" t="str">
        <f>IF(W361&lt;=75,"Low Demand",IF(W361&lt;=150,"Medium Demand",IF(W361&lt;=225,"High Demand","Very High Demand")))</f>
        <v>Medium Demand</v>
      </c>
    </row>
    <row r="362" spans="1:24" x14ac:dyDescent="0.25">
      <c r="A362">
        <v>361</v>
      </c>
      <c r="B362" s="2">
        <v>40559</v>
      </c>
      <c r="C362">
        <v>1</v>
      </c>
      <c r="D362">
        <v>0</v>
      </c>
      <c r="E362">
        <v>1</v>
      </c>
      <c r="F362">
        <v>12</v>
      </c>
      <c r="G362" t="str">
        <f>IF(F362&lt;6,"Night",IF(F362&lt;12,"Morning",IF(F362&lt;18,"Afternoon","Evening")))</f>
        <v>Afternoon</v>
      </c>
      <c r="H362">
        <v>0</v>
      </c>
      <c r="I362">
        <v>0</v>
      </c>
      <c r="J362" t="str">
        <f>CHOOSE(I362+1,"Monday","Tuesday","Wednesday","Thursday","Friday","Saturday","Sunday")</f>
        <v>Monday</v>
      </c>
      <c r="K362">
        <v>1</v>
      </c>
      <c r="L362" t="str">
        <f>CHOOSE(K362+1,"error","Clear","Misty","Rainy","Severe heater")</f>
        <v>Clear</v>
      </c>
      <c r="M362">
        <v>0.24</v>
      </c>
      <c r="N362" t="str">
        <f>IF(M362&lt;=0.2,"Low",IF(M362&lt;=0.4,"Mid","High"))</f>
        <v>Mid</v>
      </c>
      <c r="O362">
        <v>0.21210000000000001</v>
      </c>
      <c r="P362" t="str">
        <f>IF(O362&lt;=0.15,"Very Cold",IF(O362&lt;=0.3,"Cold",IF(O362&lt;=0.45,"Pleasant","Hot")))</f>
        <v>Cold</v>
      </c>
      <c r="Q362">
        <v>0.41</v>
      </c>
      <c r="R362" t="str">
        <f>IF(Q362&lt;=0.25,"Low ",IF(Q362&lt;=0.5,"Moderate ",IF(Q362&lt;=0.75,"High ","Very High ")))</f>
        <v xml:space="preserve">Moderate </v>
      </c>
      <c r="S362">
        <v>0.28360000000000002</v>
      </c>
      <c r="T362" t="str">
        <f>IF(S362&lt;=0.15,"Calm",IF(S362&lt;=0.3,"Light Wind",IF(S362&lt;=0.45,"Moderate Wind","Strong Wind")))</f>
        <v>Light Wind</v>
      </c>
      <c r="U362">
        <v>29</v>
      </c>
      <c r="V362">
        <v>75</v>
      </c>
      <c r="W362">
        <v>104</v>
      </c>
      <c r="X362" t="str">
        <f>IF(W362&lt;=75,"Low Demand",IF(W362&lt;=150,"Medium Demand",IF(W362&lt;=225,"High Demand","Very High Demand")))</f>
        <v>Medium Demand</v>
      </c>
    </row>
    <row r="363" spans="1:24" x14ac:dyDescent="0.25">
      <c r="A363">
        <v>362</v>
      </c>
      <c r="B363" s="2">
        <v>40559</v>
      </c>
      <c r="C363">
        <v>1</v>
      </c>
      <c r="D363">
        <v>0</v>
      </c>
      <c r="E363">
        <v>1</v>
      </c>
      <c r="F363">
        <v>13</v>
      </c>
      <c r="G363" t="str">
        <f>IF(F363&lt;6,"Night",IF(F363&lt;12,"Morning",IF(F363&lt;18,"Afternoon","Evening")))</f>
        <v>Afternoon</v>
      </c>
      <c r="H363">
        <v>0</v>
      </c>
      <c r="I363">
        <v>0</v>
      </c>
      <c r="J363" t="str">
        <f>CHOOSE(I363+1,"Monday","Tuesday","Wednesday","Thursday","Friday","Saturday","Sunday")</f>
        <v>Monday</v>
      </c>
      <c r="K363">
        <v>1</v>
      </c>
      <c r="L363" t="str">
        <f>CHOOSE(K363+1,"error","Clear","Misty","Rainy","Severe heater")</f>
        <v>Clear</v>
      </c>
      <c r="M363">
        <v>0.26</v>
      </c>
      <c r="N363" t="str">
        <f>IF(M363&lt;=0.2,"Low",IF(M363&lt;=0.4,"Mid","High"))</f>
        <v>Mid</v>
      </c>
      <c r="O363">
        <v>0.2273</v>
      </c>
      <c r="P363" t="str">
        <f>IF(O363&lt;=0.15,"Very Cold",IF(O363&lt;=0.3,"Cold",IF(O363&lt;=0.45,"Pleasant","Hot")))</f>
        <v>Cold</v>
      </c>
      <c r="Q363">
        <v>0.35</v>
      </c>
      <c r="R363" t="str">
        <f>IF(Q363&lt;=0.25,"Low ",IF(Q363&lt;=0.5,"Moderate ",IF(Q363&lt;=0.75,"High ","Very High ")))</f>
        <v xml:space="preserve">Moderate </v>
      </c>
      <c r="S363">
        <v>0.29849999999999999</v>
      </c>
      <c r="T363" t="str">
        <f>IF(S363&lt;=0.15,"Calm",IF(S363&lt;=0.3,"Light Wind",IF(S363&lt;=0.45,"Moderate Wind","Strong Wind")))</f>
        <v>Light Wind</v>
      </c>
      <c r="U363">
        <v>23</v>
      </c>
      <c r="V363">
        <v>95</v>
      </c>
      <c r="W363">
        <v>118</v>
      </c>
      <c r="X363" t="str">
        <f>IF(W363&lt;=75,"Low Demand",IF(W363&lt;=150,"Medium Demand",IF(W363&lt;=225,"High Demand","Very High Demand")))</f>
        <v>Medium Demand</v>
      </c>
    </row>
    <row r="364" spans="1:24" x14ac:dyDescent="0.25">
      <c r="A364">
        <v>363</v>
      </c>
      <c r="B364" s="2">
        <v>40559</v>
      </c>
      <c r="C364">
        <v>1</v>
      </c>
      <c r="D364">
        <v>0</v>
      </c>
      <c r="E364">
        <v>1</v>
      </c>
      <c r="F364">
        <v>14</v>
      </c>
      <c r="G364" t="str">
        <f>IF(F364&lt;6,"Night",IF(F364&lt;12,"Morning",IF(F364&lt;18,"Afternoon","Evening")))</f>
        <v>Afternoon</v>
      </c>
      <c r="H364">
        <v>0</v>
      </c>
      <c r="I364">
        <v>0</v>
      </c>
      <c r="J364" t="str">
        <f>CHOOSE(I364+1,"Monday","Tuesday","Wednesday","Thursday","Friday","Saturday","Sunday")</f>
        <v>Monday</v>
      </c>
      <c r="K364">
        <v>1</v>
      </c>
      <c r="L364" t="str">
        <f>CHOOSE(K364+1,"error","Clear","Misty","Rainy","Severe heater")</f>
        <v>Clear</v>
      </c>
      <c r="M364">
        <v>0.28000000000000003</v>
      </c>
      <c r="N364" t="str">
        <f>IF(M364&lt;=0.2,"Low",IF(M364&lt;=0.4,"Mid","High"))</f>
        <v>Mid</v>
      </c>
      <c r="O364">
        <v>0.2727</v>
      </c>
      <c r="P364" t="str">
        <f>IF(O364&lt;=0.15,"Very Cold",IF(O364&lt;=0.3,"Cold",IF(O364&lt;=0.45,"Pleasant","Hot")))</f>
        <v>Cold</v>
      </c>
      <c r="Q364">
        <v>0.36</v>
      </c>
      <c r="R364" t="str">
        <f>IF(Q364&lt;=0.25,"Low ",IF(Q364&lt;=0.5,"Moderate ",IF(Q364&lt;=0.75,"High ","Very High ")))</f>
        <v xml:space="preserve">Moderate </v>
      </c>
      <c r="S364">
        <v>0.25369999999999998</v>
      </c>
      <c r="T364" t="str">
        <f>IF(S364&lt;=0.15,"Calm",IF(S364&lt;=0.3,"Light Wind",IF(S364&lt;=0.45,"Moderate Wind","Strong Wind")))</f>
        <v>Light Wind</v>
      </c>
      <c r="U364">
        <v>22</v>
      </c>
      <c r="V364">
        <v>69</v>
      </c>
      <c r="W364">
        <v>91</v>
      </c>
      <c r="X364" t="str">
        <f>IF(W364&lt;=75,"Low Demand",IF(W364&lt;=150,"Medium Demand",IF(W364&lt;=225,"High Demand","Very High Demand")))</f>
        <v>Medium Demand</v>
      </c>
    </row>
    <row r="365" spans="1:24" x14ac:dyDescent="0.25">
      <c r="A365">
        <v>364</v>
      </c>
      <c r="B365" s="2">
        <v>40559</v>
      </c>
      <c r="C365">
        <v>1</v>
      </c>
      <c r="D365">
        <v>0</v>
      </c>
      <c r="E365">
        <v>1</v>
      </c>
      <c r="F365">
        <v>15</v>
      </c>
      <c r="G365" t="str">
        <f>IF(F365&lt;6,"Night",IF(F365&lt;12,"Morning",IF(F365&lt;18,"Afternoon","Evening")))</f>
        <v>Afternoon</v>
      </c>
      <c r="H365">
        <v>0</v>
      </c>
      <c r="I365">
        <v>0</v>
      </c>
      <c r="J365" t="str">
        <f>CHOOSE(I365+1,"Monday","Tuesday","Wednesday","Thursday","Friday","Saturday","Sunday")</f>
        <v>Monday</v>
      </c>
      <c r="K365">
        <v>1</v>
      </c>
      <c r="L365" t="str">
        <f>CHOOSE(K365+1,"error","Clear","Misty","Rainy","Severe heater")</f>
        <v>Clear</v>
      </c>
      <c r="M365">
        <v>0.26</v>
      </c>
      <c r="N365" t="str">
        <f>IF(M365&lt;=0.2,"Low",IF(M365&lt;=0.4,"Mid","High"))</f>
        <v>Mid</v>
      </c>
      <c r="O365">
        <v>0.2424</v>
      </c>
      <c r="P365" t="str">
        <f>IF(O365&lt;=0.15,"Very Cold",IF(O365&lt;=0.3,"Cold",IF(O365&lt;=0.45,"Pleasant","Hot")))</f>
        <v>Cold</v>
      </c>
      <c r="Q365">
        <v>0.38</v>
      </c>
      <c r="R365" t="str">
        <f>IF(Q365&lt;=0.25,"Low ",IF(Q365&lt;=0.5,"Moderate ",IF(Q365&lt;=0.75,"High ","Very High ")))</f>
        <v xml:space="preserve">Moderate </v>
      </c>
      <c r="S365">
        <v>0.25369999999999998</v>
      </c>
      <c r="T365" t="str">
        <f>IF(S365&lt;=0.15,"Calm",IF(S365&lt;=0.3,"Light Wind",IF(S365&lt;=0.45,"Moderate Wind","Strong Wind")))</f>
        <v>Light Wind</v>
      </c>
      <c r="U365">
        <v>35</v>
      </c>
      <c r="V365">
        <v>78</v>
      </c>
      <c r="W365">
        <v>113</v>
      </c>
      <c r="X365" t="str">
        <f>IF(W365&lt;=75,"Low Demand",IF(W365&lt;=150,"Medium Demand",IF(W365&lt;=225,"High Demand","Very High Demand")))</f>
        <v>Medium Demand</v>
      </c>
    </row>
    <row r="366" spans="1:24" x14ac:dyDescent="0.25">
      <c r="A366">
        <v>365</v>
      </c>
      <c r="B366" s="2">
        <v>40559</v>
      </c>
      <c r="C366">
        <v>1</v>
      </c>
      <c r="D366">
        <v>0</v>
      </c>
      <c r="E366">
        <v>1</v>
      </c>
      <c r="F366">
        <v>16</v>
      </c>
      <c r="G366" t="str">
        <f>IF(F366&lt;6,"Night",IF(F366&lt;12,"Morning",IF(F366&lt;18,"Afternoon","Evening")))</f>
        <v>Afternoon</v>
      </c>
      <c r="H366">
        <v>0</v>
      </c>
      <c r="I366">
        <v>0</v>
      </c>
      <c r="J366" t="str">
        <f>CHOOSE(I366+1,"Monday","Tuesday","Wednesday","Thursday","Friday","Saturday","Sunday")</f>
        <v>Monday</v>
      </c>
      <c r="K366">
        <v>1</v>
      </c>
      <c r="L366" t="str">
        <f>CHOOSE(K366+1,"error","Clear","Misty","Rainy","Severe heater")</f>
        <v>Clear</v>
      </c>
      <c r="M366">
        <v>0.24</v>
      </c>
      <c r="N366" t="str">
        <f>IF(M366&lt;=0.2,"Low",IF(M366&lt;=0.4,"Mid","High"))</f>
        <v>Mid</v>
      </c>
      <c r="O366">
        <v>0.2273</v>
      </c>
      <c r="P366" t="str">
        <f>IF(O366&lt;=0.15,"Very Cold",IF(O366&lt;=0.3,"Cold",IF(O366&lt;=0.45,"Pleasant","Hot")))</f>
        <v>Cold</v>
      </c>
      <c r="Q366">
        <v>0.38</v>
      </c>
      <c r="R366" t="str">
        <f>IF(Q366&lt;=0.25,"Low ",IF(Q366&lt;=0.5,"Moderate ",IF(Q366&lt;=0.75,"High ","Very High ")))</f>
        <v xml:space="preserve">Moderate </v>
      </c>
      <c r="S366">
        <v>0.22389999999999999</v>
      </c>
      <c r="T366" t="str">
        <f>IF(S366&lt;=0.15,"Calm",IF(S366&lt;=0.3,"Light Wind",IF(S366&lt;=0.45,"Moderate Wind","Strong Wind")))</f>
        <v>Light Wind</v>
      </c>
      <c r="U366">
        <v>22</v>
      </c>
      <c r="V366">
        <v>77</v>
      </c>
      <c r="W366">
        <v>99</v>
      </c>
      <c r="X366" t="str">
        <f>IF(W366&lt;=75,"Low Demand",IF(W366&lt;=150,"Medium Demand",IF(W366&lt;=225,"High Demand","Very High Demand")))</f>
        <v>Medium Demand</v>
      </c>
    </row>
    <row r="367" spans="1:24" x14ac:dyDescent="0.25">
      <c r="A367">
        <v>366</v>
      </c>
      <c r="B367" s="2">
        <v>40559</v>
      </c>
      <c r="C367">
        <v>1</v>
      </c>
      <c r="D367">
        <v>0</v>
      </c>
      <c r="E367">
        <v>1</v>
      </c>
      <c r="F367">
        <v>17</v>
      </c>
      <c r="G367" t="str">
        <f>IF(F367&lt;6,"Night",IF(F367&lt;12,"Morning",IF(F367&lt;18,"Afternoon","Evening")))</f>
        <v>Afternoon</v>
      </c>
      <c r="H367">
        <v>0</v>
      </c>
      <c r="I367">
        <v>0</v>
      </c>
      <c r="J367" t="str">
        <f>CHOOSE(I367+1,"Monday","Tuesday","Wednesday","Thursday","Friday","Saturday","Sunday")</f>
        <v>Monday</v>
      </c>
      <c r="K367">
        <v>1</v>
      </c>
      <c r="L367" t="str">
        <f>CHOOSE(K367+1,"error","Clear","Misty","Rainy","Severe heater")</f>
        <v>Clear</v>
      </c>
      <c r="M367">
        <v>0.22</v>
      </c>
      <c r="N367" t="str">
        <f>IF(M367&lt;=0.2,"Low",IF(M367&lt;=0.4,"Mid","High"))</f>
        <v>Mid</v>
      </c>
      <c r="O367">
        <v>0.21210000000000001</v>
      </c>
      <c r="P367" t="str">
        <f>IF(O367&lt;=0.15,"Very Cold",IF(O367&lt;=0.3,"Cold",IF(O367&lt;=0.45,"Pleasant","Hot")))</f>
        <v>Cold</v>
      </c>
      <c r="Q367">
        <v>0.37</v>
      </c>
      <c r="R367" t="str">
        <f>IF(Q367&lt;=0.25,"Low ",IF(Q367&lt;=0.5,"Moderate ",IF(Q367&lt;=0.75,"High ","Very High ")))</f>
        <v xml:space="preserve">Moderate </v>
      </c>
      <c r="S367">
        <v>0.25369999999999998</v>
      </c>
      <c r="T367" t="str">
        <f>IF(S367&lt;=0.15,"Calm",IF(S367&lt;=0.3,"Light Wind",IF(S367&lt;=0.45,"Moderate Wind","Strong Wind")))</f>
        <v>Light Wind</v>
      </c>
      <c r="U367">
        <v>23</v>
      </c>
      <c r="V367">
        <v>82</v>
      </c>
      <c r="W367">
        <v>105</v>
      </c>
      <c r="X367" t="str">
        <f>IF(W367&lt;=75,"Low Demand",IF(W367&lt;=150,"Medium Demand",IF(W367&lt;=225,"High Demand","Very High Demand")))</f>
        <v>Medium Demand</v>
      </c>
    </row>
    <row r="368" spans="1:24" x14ac:dyDescent="0.25">
      <c r="A368">
        <v>367</v>
      </c>
      <c r="B368" s="2">
        <v>40559</v>
      </c>
      <c r="C368">
        <v>1</v>
      </c>
      <c r="D368">
        <v>0</v>
      </c>
      <c r="E368">
        <v>1</v>
      </c>
      <c r="F368">
        <v>18</v>
      </c>
      <c r="G368" t="str">
        <f>IF(F368&lt;6,"Night",IF(F368&lt;12,"Morning",IF(F368&lt;18,"Afternoon","Evening")))</f>
        <v>Evening</v>
      </c>
      <c r="H368">
        <v>0</v>
      </c>
      <c r="I368">
        <v>0</v>
      </c>
      <c r="J368" t="str">
        <f>CHOOSE(I368+1,"Monday","Tuesday","Wednesday","Thursday","Friday","Saturday","Sunday")</f>
        <v>Monday</v>
      </c>
      <c r="K368">
        <v>1</v>
      </c>
      <c r="L368" t="str">
        <f>CHOOSE(K368+1,"error","Clear","Misty","Rainy","Severe heater")</f>
        <v>Clear</v>
      </c>
      <c r="M368">
        <v>0.2</v>
      </c>
      <c r="N368" t="str">
        <f>IF(M368&lt;=0.2,"Low",IF(M368&lt;=0.4,"Mid","High"))</f>
        <v>Low</v>
      </c>
      <c r="O368">
        <v>0.21210000000000001</v>
      </c>
      <c r="P368" t="str">
        <f>IF(O368&lt;=0.15,"Very Cold",IF(O368&lt;=0.3,"Cold",IF(O368&lt;=0.45,"Pleasant","Hot")))</f>
        <v>Cold</v>
      </c>
      <c r="Q368">
        <v>0.4</v>
      </c>
      <c r="R368" t="str">
        <f>IF(Q368&lt;=0.25,"Low ",IF(Q368&lt;=0.5,"Moderate ",IF(Q368&lt;=0.75,"High ","Very High ")))</f>
        <v xml:space="preserve">Moderate </v>
      </c>
      <c r="S368">
        <v>0.16420000000000001</v>
      </c>
      <c r="T368" t="str">
        <f>IF(S368&lt;=0.15,"Calm",IF(S368&lt;=0.3,"Light Wind",IF(S368&lt;=0.45,"Moderate Wind","Strong Wind")))</f>
        <v>Light Wind</v>
      </c>
      <c r="U368">
        <v>11</v>
      </c>
      <c r="V368">
        <v>56</v>
      </c>
      <c r="W368">
        <v>67</v>
      </c>
      <c r="X368" t="str">
        <f>IF(W368&lt;=75,"Low Demand",IF(W368&lt;=150,"Medium Demand",IF(W368&lt;=225,"High Demand","Very High Demand")))</f>
        <v>Low Demand</v>
      </c>
    </row>
    <row r="369" spans="1:24" x14ac:dyDescent="0.25">
      <c r="A369">
        <v>368</v>
      </c>
      <c r="B369" s="2">
        <v>40559</v>
      </c>
      <c r="C369">
        <v>1</v>
      </c>
      <c r="D369">
        <v>0</v>
      </c>
      <c r="E369">
        <v>1</v>
      </c>
      <c r="F369">
        <v>19</v>
      </c>
      <c r="G369" t="str">
        <f>IF(F369&lt;6,"Night",IF(F369&lt;12,"Morning",IF(F369&lt;18,"Afternoon","Evening")))</f>
        <v>Evening</v>
      </c>
      <c r="H369">
        <v>0</v>
      </c>
      <c r="I369">
        <v>0</v>
      </c>
      <c r="J369" t="str">
        <f>CHOOSE(I369+1,"Monday","Tuesday","Wednesday","Thursday","Friday","Saturday","Sunday")</f>
        <v>Monday</v>
      </c>
      <c r="K369">
        <v>1</v>
      </c>
      <c r="L369" t="str">
        <f>CHOOSE(K369+1,"error","Clear","Misty","Rainy","Severe heater")</f>
        <v>Clear</v>
      </c>
      <c r="M369">
        <v>0.18</v>
      </c>
      <c r="N369" t="str">
        <f>IF(M369&lt;=0.2,"Low",IF(M369&lt;=0.4,"Mid","High"))</f>
        <v>Low</v>
      </c>
      <c r="O369">
        <v>0.19700000000000001</v>
      </c>
      <c r="P369" t="str">
        <f>IF(O369&lt;=0.15,"Very Cold",IF(O369&lt;=0.3,"Cold",IF(O369&lt;=0.45,"Pleasant","Hot")))</f>
        <v>Cold</v>
      </c>
      <c r="Q369">
        <v>0.47</v>
      </c>
      <c r="R369" t="str">
        <f>IF(Q369&lt;=0.25,"Low ",IF(Q369&lt;=0.5,"Moderate ",IF(Q369&lt;=0.75,"High ","Very High ")))</f>
        <v xml:space="preserve">Moderate </v>
      </c>
      <c r="S369">
        <v>0.1343</v>
      </c>
      <c r="T369" t="str">
        <f>IF(S369&lt;=0.15,"Calm",IF(S369&lt;=0.3,"Light Wind",IF(S369&lt;=0.45,"Moderate Wind","Strong Wind")))</f>
        <v>Calm</v>
      </c>
      <c r="U369">
        <v>14</v>
      </c>
      <c r="V369">
        <v>47</v>
      </c>
      <c r="W369">
        <v>61</v>
      </c>
      <c r="X369" t="str">
        <f>IF(W369&lt;=75,"Low Demand",IF(W369&lt;=150,"Medium Demand",IF(W369&lt;=225,"High Demand","Very High Demand")))</f>
        <v>Low Demand</v>
      </c>
    </row>
    <row r="370" spans="1:24" x14ac:dyDescent="0.25">
      <c r="A370">
        <v>369</v>
      </c>
      <c r="B370" s="2">
        <v>40559</v>
      </c>
      <c r="C370">
        <v>1</v>
      </c>
      <c r="D370">
        <v>0</v>
      </c>
      <c r="E370">
        <v>1</v>
      </c>
      <c r="F370">
        <v>20</v>
      </c>
      <c r="G370" t="str">
        <f>IF(F370&lt;6,"Night",IF(F370&lt;12,"Morning",IF(F370&lt;18,"Afternoon","Evening")))</f>
        <v>Evening</v>
      </c>
      <c r="H370">
        <v>0</v>
      </c>
      <c r="I370">
        <v>0</v>
      </c>
      <c r="J370" t="str">
        <f>CHOOSE(I370+1,"Monday","Tuesday","Wednesday","Thursday","Friday","Saturday","Sunday")</f>
        <v>Monday</v>
      </c>
      <c r="K370">
        <v>1</v>
      </c>
      <c r="L370" t="str">
        <f>CHOOSE(K370+1,"error","Clear","Misty","Rainy","Severe heater")</f>
        <v>Clear</v>
      </c>
      <c r="M370">
        <v>0.18</v>
      </c>
      <c r="N370" t="str">
        <f>IF(M370&lt;=0.2,"Low",IF(M370&lt;=0.4,"Mid","High"))</f>
        <v>Low</v>
      </c>
      <c r="O370">
        <v>0.19700000000000001</v>
      </c>
      <c r="P370" t="str">
        <f>IF(O370&lt;=0.15,"Very Cold",IF(O370&lt;=0.3,"Cold",IF(O370&lt;=0.45,"Pleasant","Hot")))</f>
        <v>Cold</v>
      </c>
      <c r="Q370">
        <v>0.47</v>
      </c>
      <c r="R370" t="str">
        <f>IF(Q370&lt;=0.25,"Low ",IF(Q370&lt;=0.5,"Moderate ",IF(Q370&lt;=0.75,"High ","Very High ")))</f>
        <v xml:space="preserve">Moderate </v>
      </c>
      <c r="S370">
        <v>0.16420000000000001</v>
      </c>
      <c r="T370" t="str">
        <f>IF(S370&lt;=0.15,"Calm",IF(S370&lt;=0.3,"Light Wind",IF(S370&lt;=0.45,"Moderate Wind","Strong Wind")))</f>
        <v>Light Wind</v>
      </c>
      <c r="U370">
        <v>7</v>
      </c>
      <c r="V370">
        <v>50</v>
      </c>
      <c r="W370">
        <v>57</v>
      </c>
      <c r="X370" t="str">
        <f>IF(W370&lt;=75,"Low Demand",IF(W370&lt;=150,"Medium Demand",IF(W370&lt;=225,"High Demand","Very High Demand")))</f>
        <v>Low Demand</v>
      </c>
    </row>
    <row r="371" spans="1:24" x14ac:dyDescent="0.25">
      <c r="A371">
        <v>370</v>
      </c>
      <c r="B371" s="2">
        <v>40559</v>
      </c>
      <c r="C371">
        <v>1</v>
      </c>
      <c r="D371">
        <v>0</v>
      </c>
      <c r="E371">
        <v>1</v>
      </c>
      <c r="F371">
        <v>21</v>
      </c>
      <c r="G371" t="str">
        <f>IF(F371&lt;6,"Night",IF(F371&lt;12,"Morning",IF(F371&lt;18,"Afternoon","Evening")))</f>
        <v>Evening</v>
      </c>
      <c r="H371">
        <v>0</v>
      </c>
      <c r="I371">
        <v>0</v>
      </c>
      <c r="J371" t="str">
        <f>CHOOSE(I371+1,"Monday","Tuesday","Wednesday","Thursday","Friday","Saturday","Sunday")</f>
        <v>Monday</v>
      </c>
      <c r="K371">
        <v>1</v>
      </c>
      <c r="L371" t="str">
        <f>CHOOSE(K371+1,"error","Clear","Misty","Rainy","Severe heater")</f>
        <v>Clear</v>
      </c>
      <c r="M371">
        <v>0.18</v>
      </c>
      <c r="N371" t="str">
        <f>IF(M371&lt;=0.2,"Low",IF(M371&lt;=0.4,"Mid","High"))</f>
        <v>Low</v>
      </c>
      <c r="O371">
        <v>0.19700000000000001</v>
      </c>
      <c r="P371" t="str">
        <f>IF(O371&lt;=0.15,"Very Cold",IF(O371&lt;=0.3,"Cold",IF(O371&lt;=0.45,"Pleasant","Hot")))</f>
        <v>Cold</v>
      </c>
      <c r="Q371">
        <v>0.51</v>
      </c>
      <c r="R371" t="str">
        <f>IF(Q371&lt;=0.25,"Low ",IF(Q371&lt;=0.5,"Moderate ",IF(Q371&lt;=0.75,"High ","Very High ")))</f>
        <v xml:space="preserve">High </v>
      </c>
      <c r="S371">
        <v>0.16420000000000001</v>
      </c>
      <c r="T371" t="str">
        <f>IF(S371&lt;=0.15,"Calm",IF(S371&lt;=0.3,"Light Wind",IF(S371&lt;=0.45,"Moderate Wind","Strong Wind")))</f>
        <v>Light Wind</v>
      </c>
      <c r="U371">
        <v>6</v>
      </c>
      <c r="V371">
        <v>22</v>
      </c>
      <c r="W371">
        <v>28</v>
      </c>
      <c r="X371" t="str">
        <f>IF(W371&lt;=75,"Low Demand",IF(W371&lt;=150,"Medium Demand",IF(W371&lt;=225,"High Demand","Very High Demand")))</f>
        <v>Low Demand</v>
      </c>
    </row>
    <row r="372" spans="1:24" x14ac:dyDescent="0.25">
      <c r="A372">
        <v>371</v>
      </c>
      <c r="B372" s="2">
        <v>40559</v>
      </c>
      <c r="C372">
        <v>1</v>
      </c>
      <c r="D372">
        <v>0</v>
      </c>
      <c r="E372">
        <v>1</v>
      </c>
      <c r="F372">
        <v>22</v>
      </c>
      <c r="G372" t="str">
        <f>IF(F372&lt;6,"Night",IF(F372&lt;12,"Morning",IF(F372&lt;18,"Afternoon","Evening")))</f>
        <v>Evening</v>
      </c>
      <c r="H372">
        <v>0</v>
      </c>
      <c r="I372">
        <v>0</v>
      </c>
      <c r="J372" t="str">
        <f>CHOOSE(I372+1,"Monday","Tuesday","Wednesday","Thursday","Friday","Saturday","Sunday")</f>
        <v>Monday</v>
      </c>
      <c r="K372">
        <v>2</v>
      </c>
      <c r="L372" t="str">
        <f>CHOOSE(K372+1,"error","Clear","Misty","Rainy","Severe heater")</f>
        <v>Misty</v>
      </c>
      <c r="M372">
        <v>0.2</v>
      </c>
      <c r="N372" t="str">
        <f>IF(M372&lt;=0.2,"Low",IF(M372&lt;=0.4,"Mid","High"))</f>
        <v>Low</v>
      </c>
      <c r="O372">
        <v>0.21210000000000001</v>
      </c>
      <c r="P372" t="str">
        <f>IF(O372&lt;=0.15,"Very Cold",IF(O372&lt;=0.3,"Cold",IF(O372&lt;=0.45,"Pleasant","Hot")))</f>
        <v>Cold</v>
      </c>
      <c r="Q372">
        <v>0.49</v>
      </c>
      <c r="R372" t="str">
        <f>IF(Q372&lt;=0.25,"Low ",IF(Q372&lt;=0.5,"Moderate ",IF(Q372&lt;=0.75,"High ","Very High ")))</f>
        <v xml:space="preserve">Moderate </v>
      </c>
      <c r="S372">
        <v>0.1343</v>
      </c>
      <c r="T372" t="str">
        <f>IF(S372&lt;=0.15,"Calm",IF(S372&lt;=0.3,"Light Wind",IF(S372&lt;=0.45,"Moderate Wind","Strong Wind")))</f>
        <v>Calm</v>
      </c>
      <c r="U372">
        <v>2</v>
      </c>
      <c r="V372">
        <v>19</v>
      </c>
      <c r="W372">
        <v>21</v>
      </c>
      <c r="X372" t="str">
        <f>IF(W372&lt;=75,"Low Demand",IF(W372&lt;=150,"Medium Demand",IF(W372&lt;=225,"High Demand","Very High Demand")))</f>
        <v>Low Demand</v>
      </c>
    </row>
    <row r="373" spans="1:24" x14ac:dyDescent="0.25">
      <c r="A373">
        <v>372</v>
      </c>
      <c r="B373" s="2">
        <v>40559</v>
      </c>
      <c r="C373">
        <v>1</v>
      </c>
      <c r="D373">
        <v>0</v>
      </c>
      <c r="E373">
        <v>1</v>
      </c>
      <c r="F373">
        <v>23</v>
      </c>
      <c r="G373" t="str">
        <f>IF(F373&lt;6,"Night",IF(F373&lt;12,"Morning",IF(F373&lt;18,"Afternoon","Evening")))</f>
        <v>Evening</v>
      </c>
      <c r="H373">
        <v>0</v>
      </c>
      <c r="I373">
        <v>0</v>
      </c>
      <c r="J373" t="str">
        <f>CHOOSE(I373+1,"Monday","Tuesday","Wednesday","Thursday","Friday","Saturday","Sunday")</f>
        <v>Monday</v>
      </c>
      <c r="K373">
        <v>2</v>
      </c>
      <c r="L373" t="str">
        <f>CHOOSE(K373+1,"error","Clear","Misty","Rainy","Severe heater")</f>
        <v>Misty</v>
      </c>
      <c r="M373">
        <v>0.2</v>
      </c>
      <c r="N373" t="str">
        <f>IF(M373&lt;=0.2,"Low",IF(M373&lt;=0.4,"Mid","High"))</f>
        <v>Low</v>
      </c>
      <c r="O373">
        <v>0.2273</v>
      </c>
      <c r="P373" t="str">
        <f>IF(O373&lt;=0.15,"Very Cold",IF(O373&lt;=0.3,"Cold",IF(O373&lt;=0.45,"Pleasant","Hot")))</f>
        <v>Cold</v>
      </c>
      <c r="Q373">
        <v>0.4</v>
      </c>
      <c r="R373" t="str">
        <f>IF(Q373&lt;=0.25,"Low ",IF(Q373&lt;=0.5,"Moderate ",IF(Q373&lt;=0.75,"High ","Very High ")))</f>
        <v xml:space="preserve">Moderate </v>
      </c>
      <c r="S373">
        <v>0.1045</v>
      </c>
      <c r="T373" t="str">
        <f>IF(S373&lt;=0.15,"Calm",IF(S373&lt;=0.3,"Light Wind",IF(S373&lt;=0.45,"Moderate Wind","Strong Wind")))</f>
        <v>Calm</v>
      </c>
      <c r="U373">
        <v>0</v>
      </c>
      <c r="V373">
        <v>18</v>
      </c>
      <c r="W373">
        <v>18</v>
      </c>
      <c r="X373" t="str">
        <f>IF(W373&lt;=75,"Low Demand",IF(W373&lt;=150,"Medium Demand",IF(W373&lt;=225,"High Demand","Very High Demand")))</f>
        <v>Low Demand</v>
      </c>
    </row>
    <row r="374" spans="1:24" x14ac:dyDescent="0.25">
      <c r="A374">
        <v>373</v>
      </c>
      <c r="B374" s="2">
        <v>40560</v>
      </c>
      <c r="C374">
        <v>1</v>
      </c>
      <c r="D374">
        <v>0</v>
      </c>
      <c r="E374">
        <v>1</v>
      </c>
      <c r="F374">
        <v>0</v>
      </c>
      <c r="G374" t="str">
        <f>IF(F374&lt;6,"Night",IF(F374&lt;12,"Morning",IF(F374&lt;18,"Afternoon","Evening")))</f>
        <v>Night</v>
      </c>
      <c r="H374">
        <v>1</v>
      </c>
      <c r="I374">
        <v>1</v>
      </c>
      <c r="J374" t="str">
        <f>CHOOSE(I374+1,"Monday","Tuesday","Wednesday","Thursday","Friday","Saturday","Sunday")</f>
        <v>Tuesday</v>
      </c>
      <c r="K374">
        <v>2</v>
      </c>
      <c r="L374" t="str">
        <f>CHOOSE(K374+1,"error","Clear","Misty","Rainy","Severe heater")</f>
        <v>Misty</v>
      </c>
      <c r="M374">
        <v>0.2</v>
      </c>
      <c r="N374" t="str">
        <f>IF(M374&lt;=0.2,"Low",IF(M374&lt;=0.4,"Mid","High"))</f>
        <v>Low</v>
      </c>
      <c r="O374">
        <v>0.19700000000000001</v>
      </c>
      <c r="P374" t="str">
        <f>IF(O374&lt;=0.15,"Very Cold",IF(O374&lt;=0.3,"Cold",IF(O374&lt;=0.45,"Pleasant","Hot")))</f>
        <v>Cold</v>
      </c>
      <c r="Q374">
        <v>0.47</v>
      </c>
      <c r="R374" t="str">
        <f>IF(Q374&lt;=0.25,"Low ",IF(Q374&lt;=0.5,"Moderate ",IF(Q374&lt;=0.75,"High ","Very High ")))</f>
        <v xml:space="preserve">Moderate </v>
      </c>
      <c r="S374">
        <v>0.22389999999999999</v>
      </c>
      <c r="T374" t="str">
        <f>IF(S374&lt;=0.15,"Calm",IF(S374&lt;=0.3,"Light Wind",IF(S374&lt;=0.45,"Moderate Wind","Strong Wind")))</f>
        <v>Light Wind</v>
      </c>
      <c r="U374">
        <v>1</v>
      </c>
      <c r="V374">
        <v>16</v>
      </c>
      <c r="W374">
        <v>17</v>
      </c>
      <c r="X374" t="str">
        <f>IF(W374&lt;=75,"Low Demand",IF(W374&lt;=150,"Medium Demand",IF(W374&lt;=225,"High Demand","Very High Demand")))</f>
        <v>Low Demand</v>
      </c>
    </row>
    <row r="375" spans="1:24" x14ac:dyDescent="0.25">
      <c r="A375">
        <v>374</v>
      </c>
      <c r="B375" s="2">
        <v>40560</v>
      </c>
      <c r="C375">
        <v>1</v>
      </c>
      <c r="D375">
        <v>0</v>
      </c>
      <c r="E375">
        <v>1</v>
      </c>
      <c r="F375">
        <v>1</v>
      </c>
      <c r="G375" t="str">
        <f>IF(F375&lt;6,"Night",IF(F375&lt;12,"Morning",IF(F375&lt;18,"Afternoon","Evening")))</f>
        <v>Night</v>
      </c>
      <c r="H375">
        <v>1</v>
      </c>
      <c r="I375">
        <v>1</v>
      </c>
      <c r="J375" t="str">
        <f>CHOOSE(I375+1,"Monday","Tuesday","Wednesday","Thursday","Friday","Saturday","Sunday")</f>
        <v>Tuesday</v>
      </c>
      <c r="K375">
        <v>2</v>
      </c>
      <c r="L375" t="str">
        <f>CHOOSE(K375+1,"error","Clear","Misty","Rainy","Severe heater")</f>
        <v>Misty</v>
      </c>
      <c r="M375">
        <v>0.2</v>
      </c>
      <c r="N375" t="str">
        <f>IF(M375&lt;=0.2,"Low",IF(M375&lt;=0.4,"Mid","High"))</f>
        <v>Low</v>
      </c>
      <c r="O375">
        <v>0.19700000000000001</v>
      </c>
      <c r="P375" t="str">
        <f>IF(O375&lt;=0.15,"Very Cold",IF(O375&lt;=0.3,"Cold",IF(O375&lt;=0.45,"Pleasant","Hot")))</f>
        <v>Cold</v>
      </c>
      <c r="Q375">
        <v>0.44</v>
      </c>
      <c r="R375" t="str">
        <f>IF(Q375&lt;=0.25,"Low ",IF(Q375&lt;=0.5,"Moderate ",IF(Q375&lt;=0.75,"High ","Very High ")))</f>
        <v xml:space="preserve">Moderate </v>
      </c>
      <c r="S375">
        <v>0.19400000000000001</v>
      </c>
      <c r="T375" t="str">
        <f>IF(S375&lt;=0.15,"Calm",IF(S375&lt;=0.3,"Light Wind",IF(S375&lt;=0.45,"Moderate Wind","Strong Wind")))</f>
        <v>Light Wind</v>
      </c>
      <c r="U375">
        <v>1</v>
      </c>
      <c r="V375">
        <v>15</v>
      </c>
      <c r="W375">
        <v>16</v>
      </c>
      <c r="X375" t="str">
        <f>IF(W375&lt;=75,"Low Demand",IF(W375&lt;=150,"Medium Demand",IF(W375&lt;=225,"High Demand","Very High Demand")))</f>
        <v>Low Demand</v>
      </c>
    </row>
    <row r="376" spans="1:24" x14ac:dyDescent="0.25">
      <c r="A376">
        <v>375</v>
      </c>
      <c r="B376" s="2">
        <v>40560</v>
      </c>
      <c r="C376">
        <v>1</v>
      </c>
      <c r="D376">
        <v>0</v>
      </c>
      <c r="E376">
        <v>1</v>
      </c>
      <c r="F376">
        <v>2</v>
      </c>
      <c r="G376" t="str">
        <f>IF(F376&lt;6,"Night",IF(F376&lt;12,"Morning",IF(F376&lt;18,"Afternoon","Evening")))</f>
        <v>Night</v>
      </c>
      <c r="H376">
        <v>1</v>
      </c>
      <c r="I376">
        <v>1</v>
      </c>
      <c r="J376" t="str">
        <f>CHOOSE(I376+1,"Monday","Tuesday","Wednesday","Thursday","Friday","Saturday","Sunday")</f>
        <v>Tuesday</v>
      </c>
      <c r="K376">
        <v>2</v>
      </c>
      <c r="L376" t="str">
        <f>CHOOSE(K376+1,"error","Clear","Misty","Rainy","Severe heater")</f>
        <v>Misty</v>
      </c>
      <c r="M376">
        <v>0.18</v>
      </c>
      <c r="N376" t="str">
        <f>IF(M376&lt;=0.2,"Low",IF(M376&lt;=0.4,"Mid","High"))</f>
        <v>Low</v>
      </c>
      <c r="O376">
        <v>0.16669999999999999</v>
      </c>
      <c r="P376" t="str">
        <f>IF(O376&lt;=0.15,"Very Cold",IF(O376&lt;=0.3,"Cold",IF(O376&lt;=0.45,"Pleasant","Hot")))</f>
        <v>Cold</v>
      </c>
      <c r="Q376">
        <v>0.43</v>
      </c>
      <c r="R376" t="str">
        <f>IF(Q376&lt;=0.25,"Low ",IF(Q376&lt;=0.5,"Moderate ",IF(Q376&lt;=0.75,"High ","Very High ")))</f>
        <v xml:space="preserve">Moderate </v>
      </c>
      <c r="S376">
        <v>0.25369999999999998</v>
      </c>
      <c r="T376" t="str">
        <f>IF(S376&lt;=0.15,"Calm",IF(S376&lt;=0.3,"Light Wind",IF(S376&lt;=0.45,"Moderate Wind","Strong Wind")))</f>
        <v>Light Wind</v>
      </c>
      <c r="U376">
        <v>0</v>
      </c>
      <c r="V376">
        <v>8</v>
      </c>
      <c r="W376">
        <v>8</v>
      </c>
      <c r="X376" t="str">
        <f>IF(W376&lt;=75,"Low Demand",IF(W376&lt;=150,"Medium Demand",IF(W376&lt;=225,"High Demand","Very High Demand")))</f>
        <v>Low Demand</v>
      </c>
    </row>
    <row r="377" spans="1:24" x14ac:dyDescent="0.25">
      <c r="A377">
        <v>376</v>
      </c>
      <c r="B377" s="2">
        <v>40560</v>
      </c>
      <c r="C377">
        <v>1</v>
      </c>
      <c r="D377">
        <v>0</v>
      </c>
      <c r="E377">
        <v>1</v>
      </c>
      <c r="F377">
        <v>3</v>
      </c>
      <c r="G377" t="str">
        <f>IF(F377&lt;6,"Night",IF(F377&lt;12,"Morning",IF(F377&lt;18,"Afternoon","Evening")))</f>
        <v>Night</v>
      </c>
      <c r="H377">
        <v>1</v>
      </c>
      <c r="I377">
        <v>1</v>
      </c>
      <c r="J377" t="str">
        <f>CHOOSE(I377+1,"Monday","Tuesday","Wednesday","Thursday","Friday","Saturday","Sunday")</f>
        <v>Tuesday</v>
      </c>
      <c r="K377">
        <v>2</v>
      </c>
      <c r="L377" t="str">
        <f>CHOOSE(K377+1,"error","Clear","Misty","Rainy","Severe heater")</f>
        <v>Misty</v>
      </c>
      <c r="M377">
        <v>0.18</v>
      </c>
      <c r="N377" t="str">
        <f>IF(M377&lt;=0.2,"Low",IF(M377&lt;=0.4,"Mid","High"))</f>
        <v>Low</v>
      </c>
      <c r="O377">
        <v>0.18179999999999999</v>
      </c>
      <c r="P377" t="str">
        <f>IF(O377&lt;=0.15,"Very Cold",IF(O377&lt;=0.3,"Cold",IF(O377&lt;=0.45,"Pleasant","Hot")))</f>
        <v>Cold</v>
      </c>
      <c r="Q377">
        <v>0.43</v>
      </c>
      <c r="R377" t="str">
        <f>IF(Q377&lt;=0.25,"Low ",IF(Q377&lt;=0.5,"Moderate ",IF(Q377&lt;=0.75,"High ","Very High ")))</f>
        <v xml:space="preserve">Moderate </v>
      </c>
      <c r="S377">
        <v>0.19400000000000001</v>
      </c>
      <c r="T377" t="str">
        <f>IF(S377&lt;=0.15,"Calm",IF(S377&lt;=0.3,"Light Wind",IF(S377&lt;=0.45,"Moderate Wind","Strong Wind")))</f>
        <v>Light Wind</v>
      </c>
      <c r="U377">
        <v>0</v>
      </c>
      <c r="V377">
        <v>2</v>
      </c>
      <c r="W377">
        <v>2</v>
      </c>
      <c r="X377" t="str">
        <f>IF(W377&lt;=75,"Low Demand",IF(W377&lt;=150,"Medium Demand",IF(W377&lt;=225,"High Demand","Very High Demand")))</f>
        <v>Low Demand</v>
      </c>
    </row>
    <row r="378" spans="1:24" x14ac:dyDescent="0.25">
      <c r="A378">
        <v>377</v>
      </c>
      <c r="B378" s="2">
        <v>40560</v>
      </c>
      <c r="C378">
        <v>1</v>
      </c>
      <c r="D378">
        <v>0</v>
      </c>
      <c r="E378">
        <v>1</v>
      </c>
      <c r="F378">
        <v>4</v>
      </c>
      <c r="G378" t="str">
        <f>IF(F378&lt;6,"Night",IF(F378&lt;12,"Morning",IF(F378&lt;18,"Afternoon","Evening")))</f>
        <v>Night</v>
      </c>
      <c r="H378">
        <v>1</v>
      </c>
      <c r="I378">
        <v>1</v>
      </c>
      <c r="J378" t="str">
        <f>CHOOSE(I378+1,"Monday","Tuesday","Wednesday","Thursday","Friday","Saturday","Sunday")</f>
        <v>Tuesday</v>
      </c>
      <c r="K378">
        <v>2</v>
      </c>
      <c r="L378" t="str">
        <f>CHOOSE(K378+1,"error","Clear","Misty","Rainy","Severe heater")</f>
        <v>Misty</v>
      </c>
      <c r="M378">
        <v>0.18</v>
      </c>
      <c r="N378" t="str">
        <f>IF(M378&lt;=0.2,"Low",IF(M378&lt;=0.4,"Mid","High"))</f>
        <v>Low</v>
      </c>
      <c r="O378">
        <v>0.19700000000000001</v>
      </c>
      <c r="P378" t="str">
        <f>IF(O378&lt;=0.15,"Very Cold",IF(O378&lt;=0.3,"Cold",IF(O378&lt;=0.45,"Pleasant","Hot")))</f>
        <v>Cold</v>
      </c>
      <c r="Q378">
        <v>0.43</v>
      </c>
      <c r="R378" t="str">
        <f>IF(Q378&lt;=0.25,"Low ",IF(Q378&lt;=0.5,"Moderate ",IF(Q378&lt;=0.75,"High ","Very High ")))</f>
        <v xml:space="preserve">Moderate </v>
      </c>
      <c r="S378">
        <v>0.1343</v>
      </c>
      <c r="T378" t="str">
        <f>IF(S378&lt;=0.15,"Calm",IF(S378&lt;=0.3,"Light Wind",IF(S378&lt;=0.45,"Moderate Wind","Strong Wind")))</f>
        <v>Calm</v>
      </c>
      <c r="U378">
        <v>1</v>
      </c>
      <c r="V378">
        <v>2</v>
      </c>
      <c r="W378">
        <v>3</v>
      </c>
      <c r="X378" t="str">
        <f>IF(W378&lt;=75,"Low Demand",IF(W378&lt;=150,"Medium Demand",IF(W378&lt;=225,"High Demand","Very High Demand")))</f>
        <v>Low Demand</v>
      </c>
    </row>
    <row r="379" spans="1:24" x14ac:dyDescent="0.25">
      <c r="A379">
        <v>378</v>
      </c>
      <c r="B379" s="2">
        <v>40560</v>
      </c>
      <c r="C379">
        <v>1</v>
      </c>
      <c r="D379">
        <v>0</v>
      </c>
      <c r="E379">
        <v>1</v>
      </c>
      <c r="F379">
        <v>5</v>
      </c>
      <c r="G379" t="str">
        <f>IF(F379&lt;6,"Night",IF(F379&lt;12,"Morning",IF(F379&lt;18,"Afternoon","Evening")))</f>
        <v>Night</v>
      </c>
      <c r="H379">
        <v>1</v>
      </c>
      <c r="I379">
        <v>1</v>
      </c>
      <c r="J379" t="str">
        <f>CHOOSE(I379+1,"Monday","Tuesday","Wednesday","Thursday","Friday","Saturday","Sunday")</f>
        <v>Tuesday</v>
      </c>
      <c r="K379">
        <v>2</v>
      </c>
      <c r="L379" t="str">
        <f>CHOOSE(K379+1,"error","Clear","Misty","Rainy","Severe heater")</f>
        <v>Misty</v>
      </c>
      <c r="M379">
        <v>0.18</v>
      </c>
      <c r="N379" t="str">
        <f>IF(M379&lt;=0.2,"Low",IF(M379&lt;=0.4,"Mid","High"))</f>
        <v>Low</v>
      </c>
      <c r="O379">
        <v>0.19700000000000001</v>
      </c>
      <c r="P379" t="str">
        <f>IF(O379&lt;=0.15,"Very Cold",IF(O379&lt;=0.3,"Cold",IF(O379&lt;=0.45,"Pleasant","Hot")))</f>
        <v>Cold</v>
      </c>
      <c r="Q379">
        <v>0.43</v>
      </c>
      <c r="R379" t="str">
        <f>IF(Q379&lt;=0.25,"Low ",IF(Q379&lt;=0.5,"Moderate ",IF(Q379&lt;=0.75,"High ","Very High ")))</f>
        <v xml:space="preserve">Moderate </v>
      </c>
      <c r="S379">
        <v>0.16420000000000001</v>
      </c>
      <c r="T379" t="str">
        <f>IF(S379&lt;=0.15,"Calm",IF(S379&lt;=0.3,"Light Wind",IF(S379&lt;=0.45,"Moderate Wind","Strong Wind")))</f>
        <v>Light Wind</v>
      </c>
      <c r="U379">
        <v>0</v>
      </c>
      <c r="V379">
        <v>1</v>
      </c>
      <c r="W379">
        <v>1</v>
      </c>
      <c r="X379" t="str">
        <f>IF(W379&lt;=75,"Low Demand",IF(W379&lt;=150,"Medium Demand",IF(W379&lt;=225,"High Demand","Very High Demand")))</f>
        <v>Low Demand</v>
      </c>
    </row>
    <row r="380" spans="1:24" x14ac:dyDescent="0.25">
      <c r="A380">
        <v>379</v>
      </c>
      <c r="B380" s="2">
        <v>40560</v>
      </c>
      <c r="C380">
        <v>1</v>
      </c>
      <c r="D380">
        <v>0</v>
      </c>
      <c r="E380">
        <v>1</v>
      </c>
      <c r="F380">
        <v>6</v>
      </c>
      <c r="G380" t="str">
        <f>IF(F380&lt;6,"Night",IF(F380&lt;12,"Morning",IF(F380&lt;18,"Afternoon","Evening")))</f>
        <v>Morning</v>
      </c>
      <c r="H380">
        <v>1</v>
      </c>
      <c r="I380">
        <v>1</v>
      </c>
      <c r="J380" t="str">
        <f>CHOOSE(I380+1,"Monday","Tuesday","Wednesday","Thursday","Friday","Saturday","Sunday")</f>
        <v>Tuesday</v>
      </c>
      <c r="K380">
        <v>2</v>
      </c>
      <c r="L380" t="str">
        <f>CHOOSE(K380+1,"error","Clear","Misty","Rainy","Severe heater")</f>
        <v>Misty</v>
      </c>
      <c r="M380">
        <v>0.18</v>
      </c>
      <c r="N380" t="str">
        <f>IF(M380&lt;=0.2,"Low",IF(M380&lt;=0.4,"Mid","High"))</f>
        <v>Low</v>
      </c>
      <c r="O380">
        <v>0.18179999999999999</v>
      </c>
      <c r="P380" t="str">
        <f>IF(O380&lt;=0.15,"Very Cold",IF(O380&lt;=0.3,"Cold",IF(O380&lt;=0.45,"Pleasant","Hot")))</f>
        <v>Cold</v>
      </c>
      <c r="Q380">
        <v>0.43</v>
      </c>
      <c r="R380" t="str">
        <f>IF(Q380&lt;=0.25,"Low ",IF(Q380&lt;=0.5,"Moderate ",IF(Q380&lt;=0.75,"High ","Very High ")))</f>
        <v xml:space="preserve">Moderate </v>
      </c>
      <c r="S380">
        <v>0.19400000000000001</v>
      </c>
      <c r="T380" t="str">
        <f>IF(S380&lt;=0.15,"Calm",IF(S380&lt;=0.3,"Light Wind",IF(S380&lt;=0.45,"Moderate Wind","Strong Wind")))</f>
        <v>Light Wind</v>
      </c>
      <c r="U380">
        <v>0</v>
      </c>
      <c r="V380">
        <v>5</v>
      </c>
      <c r="W380">
        <v>5</v>
      </c>
      <c r="X380" t="str">
        <f>IF(W380&lt;=75,"Low Demand",IF(W380&lt;=150,"Medium Demand",IF(W380&lt;=225,"High Demand","Very High Demand")))</f>
        <v>Low Demand</v>
      </c>
    </row>
    <row r="381" spans="1:24" x14ac:dyDescent="0.25">
      <c r="A381">
        <v>380</v>
      </c>
      <c r="B381" s="2">
        <v>40560</v>
      </c>
      <c r="C381">
        <v>1</v>
      </c>
      <c r="D381">
        <v>0</v>
      </c>
      <c r="E381">
        <v>1</v>
      </c>
      <c r="F381">
        <v>7</v>
      </c>
      <c r="G381" t="str">
        <f>IF(F381&lt;6,"Night",IF(F381&lt;12,"Morning",IF(F381&lt;18,"Afternoon","Evening")))</f>
        <v>Morning</v>
      </c>
      <c r="H381">
        <v>1</v>
      </c>
      <c r="I381">
        <v>1</v>
      </c>
      <c r="J381" t="str">
        <f>CHOOSE(I381+1,"Monday","Tuesday","Wednesday","Thursday","Friday","Saturday","Sunday")</f>
        <v>Tuesday</v>
      </c>
      <c r="K381">
        <v>2</v>
      </c>
      <c r="L381" t="str">
        <f>CHOOSE(K381+1,"error","Clear","Misty","Rainy","Severe heater")</f>
        <v>Misty</v>
      </c>
      <c r="M381">
        <v>0.16</v>
      </c>
      <c r="N381" t="str">
        <f>IF(M381&lt;=0.2,"Low",IF(M381&lt;=0.4,"Mid","High"))</f>
        <v>Low</v>
      </c>
      <c r="O381">
        <v>0.18179999999999999</v>
      </c>
      <c r="P381" t="str">
        <f>IF(O381&lt;=0.15,"Very Cold",IF(O381&lt;=0.3,"Cold",IF(O381&lt;=0.45,"Pleasant","Hot")))</f>
        <v>Cold</v>
      </c>
      <c r="Q381">
        <v>0.5</v>
      </c>
      <c r="R381" t="str">
        <f>IF(Q381&lt;=0.25,"Low ",IF(Q381&lt;=0.5,"Moderate ",IF(Q381&lt;=0.75,"High ","Very High ")))</f>
        <v xml:space="preserve">Moderate </v>
      </c>
      <c r="S381">
        <v>0.1343</v>
      </c>
      <c r="T381" t="str">
        <f>IF(S381&lt;=0.15,"Calm",IF(S381&lt;=0.3,"Light Wind",IF(S381&lt;=0.45,"Moderate Wind","Strong Wind")))</f>
        <v>Calm</v>
      </c>
      <c r="U381">
        <v>4</v>
      </c>
      <c r="V381">
        <v>9</v>
      </c>
      <c r="W381">
        <v>13</v>
      </c>
      <c r="X381" t="str">
        <f>IF(W381&lt;=75,"Low Demand",IF(W381&lt;=150,"Medium Demand",IF(W381&lt;=225,"High Demand","Very High Demand")))</f>
        <v>Low Demand</v>
      </c>
    </row>
    <row r="382" spans="1:24" x14ac:dyDescent="0.25">
      <c r="A382">
        <v>381</v>
      </c>
      <c r="B382" s="2">
        <v>40560</v>
      </c>
      <c r="C382">
        <v>1</v>
      </c>
      <c r="D382">
        <v>0</v>
      </c>
      <c r="E382">
        <v>1</v>
      </c>
      <c r="F382">
        <v>8</v>
      </c>
      <c r="G382" t="str">
        <f>IF(F382&lt;6,"Night",IF(F382&lt;12,"Morning",IF(F382&lt;18,"Afternoon","Evening")))</f>
        <v>Morning</v>
      </c>
      <c r="H382">
        <v>1</v>
      </c>
      <c r="I382">
        <v>1</v>
      </c>
      <c r="J382" t="str">
        <f>CHOOSE(I382+1,"Monday","Tuesday","Wednesday","Thursday","Friday","Saturday","Sunday")</f>
        <v>Tuesday</v>
      </c>
      <c r="K382">
        <v>2</v>
      </c>
      <c r="L382" t="str">
        <f>CHOOSE(K382+1,"error","Clear","Misty","Rainy","Severe heater")</f>
        <v>Misty</v>
      </c>
      <c r="M382">
        <v>0.16</v>
      </c>
      <c r="N382" t="str">
        <f>IF(M382&lt;=0.2,"Low",IF(M382&lt;=0.4,"Mid","High"))</f>
        <v>Low</v>
      </c>
      <c r="O382">
        <v>0.1515</v>
      </c>
      <c r="P382" t="str">
        <f>IF(O382&lt;=0.15,"Very Cold",IF(O382&lt;=0.3,"Cold",IF(O382&lt;=0.45,"Pleasant","Hot")))</f>
        <v>Cold</v>
      </c>
      <c r="Q382">
        <v>0.47</v>
      </c>
      <c r="R382" t="str">
        <f>IF(Q382&lt;=0.25,"Low ",IF(Q382&lt;=0.5,"Moderate ",IF(Q382&lt;=0.75,"High ","Very High ")))</f>
        <v xml:space="preserve">Moderate </v>
      </c>
      <c r="S382">
        <v>0.22389999999999999</v>
      </c>
      <c r="T382" t="str">
        <f>IF(S382&lt;=0.15,"Calm",IF(S382&lt;=0.3,"Light Wind",IF(S382&lt;=0.45,"Moderate Wind","Strong Wind")))</f>
        <v>Light Wind</v>
      </c>
      <c r="U382">
        <v>3</v>
      </c>
      <c r="V382">
        <v>30</v>
      </c>
      <c r="W382">
        <v>33</v>
      </c>
      <c r="X382" t="str">
        <f>IF(W382&lt;=75,"Low Demand",IF(W382&lt;=150,"Medium Demand",IF(W382&lt;=225,"High Demand","Very High Demand")))</f>
        <v>Low Demand</v>
      </c>
    </row>
    <row r="383" spans="1:24" x14ac:dyDescent="0.25">
      <c r="A383">
        <v>382</v>
      </c>
      <c r="B383" s="2">
        <v>40560</v>
      </c>
      <c r="C383">
        <v>1</v>
      </c>
      <c r="D383">
        <v>0</v>
      </c>
      <c r="E383">
        <v>1</v>
      </c>
      <c r="F383">
        <v>9</v>
      </c>
      <c r="G383" t="str">
        <f>IF(F383&lt;6,"Night",IF(F383&lt;12,"Morning",IF(F383&lt;18,"Afternoon","Evening")))</f>
        <v>Morning</v>
      </c>
      <c r="H383">
        <v>1</v>
      </c>
      <c r="I383">
        <v>1</v>
      </c>
      <c r="J383" t="str">
        <f>CHOOSE(I383+1,"Monday","Tuesday","Wednesday","Thursday","Friday","Saturday","Sunday")</f>
        <v>Tuesday</v>
      </c>
      <c r="K383">
        <v>2</v>
      </c>
      <c r="L383" t="str">
        <f>CHOOSE(K383+1,"error","Clear","Misty","Rainy","Severe heater")</f>
        <v>Misty</v>
      </c>
      <c r="M383">
        <v>0.16</v>
      </c>
      <c r="N383" t="str">
        <f>IF(M383&lt;=0.2,"Low",IF(M383&lt;=0.4,"Mid","High"))</f>
        <v>Low</v>
      </c>
      <c r="O383">
        <v>0.1515</v>
      </c>
      <c r="P383" t="str">
        <f>IF(O383&lt;=0.15,"Very Cold",IF(O383&lt;=0.3,"Cold",IF(O383&lt;=0.45,"Pleasant","Hot")))</f>
        <v>Cold</v>
      </c>
      <c r="Q383">
        <v>0.47</v>
      </c>
      <c r="R383" t="str">
        <f>IF(Q383&lt;=0.25,"Low ",IF(Q383&lt;=0.5,"Moderate ",IF(Q383&lt;=0.75,"High ","Very High ")))</f>
        <v xml:space="preserve">Moderate </v>
      </c>
      <c r="S383">
        <v>0.22389999999999999</v>
      </c>
      <c r="T383" t="str">
        <f>IF(S383&lt;=0.15,"Calm",IF(S383&lt;=0.3,"Light Wind",IF(S383&lt;=0.45,"Moderate Wind","Strong Wind")))</f>
        <v>Light Wind</v>
      </c>
      <c r="U383">
        <v>8</v>
      </c>
      <c r="V383">
        <v>39</v>
      </c>
      <c r="W383">
        <v>47</v>
      </c>
      <c r="X383" t="str">
        <f>IF(W383&lt;=75,"Low Demand",IF(W383&lt;=150,"Medium Demand",IF(W383&lt;=225,"High Demand","Very High Demand")))</f>
        <v>Low Demand</v>
      </c>
    </row>
    <row r="384" spans="1:24" x14ac:dyDescent="0.25">
      <c r="A384">
        <v>383</v>
      </c>
      <c r="B384" s="2">
        <v>40560</v>
      </c>
      <c r="C384">
        <v>1</v>
      </c>
      <c r="D384">
        <v>0</v>
      </c>
      <c r="E384">
        <v>1</v>
      </c>
      <c r="F384">
        <v>10</v>
      </c>
      <c r="G384" t="str">
        <f>IF(F384&lt;6,"Night",IF(F384&lt;12,"Morning",IF(F384&lt;18,"Afternoon","Evening")))</f>
        <v>Morning</v>
      </c>
      <c r="H384">
        <v>1</v>
      </c>
      <c r="I384">
        <v>1</v>
      </c>
      <c r="J384" t="str">
        <f>CHOOSE(I384+1,"Monday","Tuesday","Wednesday","Thursday","Friday","Saturday","Sunday")</f>
        <v>Tuesday</v>
      </c>
      <c r="K384">
        <v>2</v>
      </c>
      <c r="L384" t="str">
        <f>CHOOSE(K384+1,"error","Clear","Misty","Rainy","Severe heater")</f>
        <v>Misty</v>
      </c>
      <c r="M384">
        <v>0.16</v>
      </c>
      <c r="N384" t="str">
        <f>IF(M384&lt;=0.2,"Low",IF(M384&lt;=0.4,"Mid","High"))</f>
        <v>Low</v>
      </c>
      <c r="O384">
        <v>0.1515</v>
      </c>
      <c r="P384" t="str">
        <f>IF(O384&lt;=0.15,"Very Cold",IF(O384&lt;=0.3,"Cold",IF(O384&lt;=0.45,"Pleasant","Hot")))</f>
        <v>Cold</v>
      </c>
      <c r="Q384">
        <v>0.5</v>
      </c>
      <c r="R384" t="str">
        <f>IF(Q384&lt;=0.25,"Low ",IF(Q384&lt;=0.5,"Moderate ",IF(Q384&lt;=0.75,"High ","Very High ")))</f>
        <v xml:space="preserve">Moderate </v>
      </c>
      <c r="S384">
        <v>0.25369999999999998</v>
      </c>
      <c r="T384" t="str">
        <f>IF(S384&lt;=0.15,"Calm",IF(S384&lt;=0.3,"Light Wind",IF(S384&lt;=0.45,"Moderate Wind","Strong Wind")))</f>
        <v>Light Wind</v>
      </c>
      <c r="U384">
        <v>7</v>
      </c>
      <c r="V384">
        <v>50</v>
      </c>
      <c r="W384">
        <v>57</v>
      </c>
      <c r="X384" t="str">
        <f>IF(W384&lt;=75,"Low Demand",IF(W384&lt;=150,"Medium Demand",IF(W384&lt;=225,"High Demand","Very High Demand")))</f>
        <v>Low Demand</v>
      </c>
    </row>
    <row r="385" spans="1:24" x14ac:dyDescent="0.25">
      <c r="A385">
        <v>384</v>
      </c>
      <c r="B385" s="2">
        <v>40560</v>
      </c>
      <c r="C385">
        <v>1</v>
      </c>
      <c r="D385">
        <v>0</v>
      </c>
      <c r="E385">
        <v>1</v>
      </c>
      <c r="F385">
        <v>11</v>
      </c>
      <c r="G385" t="str">
        <f>IF(F385&lt;6,"Night",IF(F385&lt;12,"Morning",IF(F385&lt;18,"Afternoon","Evening")))</f>
        <v>Morning</v>
      </c>
      <c r="H385">
        <v>1</v>
      </c>
      <c r="I385">
        <v>1</v>
      </c>
      <c r="J385" t="str">
        <f>CHOOSE(I385+1,"Monday","Tuesday","Wednesday","Thursday","Friday","Saturday","Sunday")</f>
        <v>Tuesday</v>
      </c>
      <c r="K385">
        <v>2</v>
      </c>
      <c r="L385" t="str">
        <f>CHOOSE(K385+1,"error","Clear","Misty","Rainy","Severe heater")</f>
        <v>Misty</v>
      </c>
      <c r="M385">
        <v>0.16</v>
      </c>
      <c r="N385" t="str">
        <f>IF(M385&lt;=0.2,"Low",IF(M385&lt;=0.4,"Mid","High"))</f>
        <v>Low</v>
      </c>
      <c r="O385">
        <v>0.1515</v>
      </c>
      <c r="P385" t="str">
        <f>IF(O385&lt;=0.15,"Very Cold",IF(O385&lt;=0.3,"Cold",IF(O385&lt;=0.45,"Pleasant","Hot")))</f>
        <v>Cold</v>
      </c>
      <c r="Q385">
        <v>0.55000000000000004</v>
      </c>
      <c r="R385" t="str">
        <f>IF(Q385&lt;=0.25,"Low ",IF(Q385&lt;=0.5,"Moderate ",IF(Q385&lt;=0.75,"High ","Very High ")))</f>
        <v xml:space="preserve">High </v>
      </c>
      <c r="S385">
        <v>0.19400000000000001</v>
      </c>
      <c r="T385" t="str">
        <f>IF(S385&lt;=0.15,"Calm",IF(S385&lt;=0.3,"Light Wind",IF(S385&lt;=0.45,"Moderate Wind","Strong Wind")))</f>
        <v>Light Wind</v>
      </c>
      <c r="U385">
        <v>9</v>
      </c>
      <c r="V385">
        <v>55</v>
      </c>
      <c r="W385">
        <v>64</v>
      </c>
      <c r="X385" t="str">
        <f>IF(W385&lt;=75,"Low Demand",IF(W385&lt;=150,"Medium Demand",IF(W385&lt;=225,"High Demand","Very High Demand")))</f>
        <v>Low Demand</v>
      </c>
    </row>
    <row r="386" spans="1:24" x14ac:dyDescent="0.25">
      <c r="A386">
        <v>385</v>
      </c>
      <c r="B386" s="2">
        <v>40560</v>
      </c>
      <c r="C386">
        <v>1</v>
      </c>
      <c r="D386">
        <v>0</v>
      </c>
      <c r="E386">
        <v>1</v>
      </c>
      <c r="F386">
        <v>12</v>
      </c>
      <c r="G386" t="str">
        <f>IF(F386&lt;6,"Night",IF(F386&lt;12,"Morning",IF(F386&lt;18,"Afternoon","Evening")))</f>
        <v>Afternoon</v>
      </c>
      <c r="H386">
        <v>1</v>
      </c>
      <c r="I386">
        <v>1</v>
      </c>
      <c r="J386" t="str">
        <f>CHOOSE(I386+1,"Monday","Tuesday","Wednesday","Thursday","Friday","Saturday","Sunday")</f>
        <v>Tuesday</v>
      </c>
      <c r="K386">
        <v>2</v>
      </c>
      <c r="L386" t="str">
        <f>CHOOSE(K386+1,"error","Clear","Misty","Rainy","Severe heater")</f>
        <v>Misty</v>
      </c>
      <c r="M386">
        <v>0.18</v>
      </c>
      <c r="N386" t="str">
        <f>IF(M386&lt;=0.2,"Low",IF(M386&lt;=0.4,"Mid","High"))</f>
        <v>Low</v>
      </c>
      <c r="O386">
        <v>0.19700000000000001</v>
      </c>
      <c r="P386" t="str">
        <f>IF(O386&lt;=0.15,"Very Cold",IF(O386&lt;=0.3,"Cold",IF(O386&lt;=0.45,"Pleasant","Hot")))</f>
        <v>Cold</v>
      </c>
      <c r="Q386">
        <v>0.47</v>
      </c>
      <c r="R386" t="str">
        <f>IF(Q386&lt;=0.25,"Low ",IF(Q386&lt;=0.5,"Moderate ",IF(Q386&lt;=0.75,"High ","Very High ")))</f>
        <v xml:space="preserve">Moderate </v>
      </c>
      <c r="S386">
        <v>0.1343</v>
      </c>
      <c r="T386" t="str">
        <f>IF(S386&lt;=0.15,"Calm",IF(S386&lt;=0.3,"Light Wind",IF(S386&lt;=0.45,"Moderate Wind","Strong Wind")))</f>
        <v>Calm</v>
      </c>
      <c r="U386">
        <v>10</v>
      </c>
      <c r="V386">
        <v>70</v>
      </c>
      <c r="W386">
        <v>80</v>
      </c>
      <c r="X386" t="str">
        <f>IF(W386&lt;=75,"Low Demand",IF(W386&lt;=150,"Medium Demand",IF(W386&lt;=225,"High Demand","Very High Demand")))</f>
        <v>Medium Demand</v>
      </c>
    </row>
    <row r="387" spans="1:24" x14ac:dyDescent="0.25">
      <c r="A387">
        <v>386</v>
      </c>
      <c r="B387" s="2">
        <v>40560</v>
      </c>
      <c r="C387">
        <v>1</v>
      </c>
      <c r="D387">
        <v>0</v>
      </c>
      <c r="E387">
        <v>1</v>
      </c>
      <c r="F387">
        <v>13</v>
      </c>
      <c r="G387" t="str">
        <f>IF(F387&lt;6,"Night",IF(F387&lt;12,"Morning",IF(F387&lt;18,"Afternoon","Evening")))</f>
        <v>Afternoon</v>
      </c>
      <c r="H387">
        <v>1</v>
      </c>
      <c r="I387">
        <v>1</v>
      </c>
      <c r="J387" t="str">
        <f>CHOOSE(I387+1,"Monday","Tuesday","Wednesday","Thursday","Friday","Saturday","Sunday")</f>
        <v>Tuesday</v>
      </c>
      <c r="K387">
        <v>2</v>
      </c>
      <c r="L387" t="str">
        <f>CHOOSE(K387+1,"error","Clear","Misty","Rainy","Severe heater")</f>
        <v>Misty</v>
      </c>
      <c r="M387">
        <v>0.18</v>
      </c>
      <c r="N387" t="str">
        <f>IF(M387&lt;=0.2,"Low",IF(M387&lt;=0.4,"Mid","High"))</f>
        <v>Low</v>
      </c>
      <c r="O387">
        <v>0.19700000000000001</v>
      </c>
      <c r="P387" t="str">
        <f>IF(O387&lt;=0.15,"Very Cold",IF(O387&lt;=0.3,"Cold",IF(O387&lt;=0.45,"Pleasant","Hot")))</f>
        <v>Cold</v>
      </c>
      <c r="Q387">
        <v>0.47</v>
      </c>
      <c r="R387" t="str">
        <f>IF(Q387&lt;=0.25,"Low ",IF(Q387&lt;=0.5,"Moderate ",IF(Q387&lt;=0.75,"High ","Very High ")))</f>
        <v xml:space="preserve">Moderate </v>
      </c>
      <c r="S387">
        <v>0.1343</v>
      </c>
      <c r="T387" t="str">
        <f>IF(S387&lt;=0.15,"Calm",IF(S387&lt;=0.3,"Light Wind",IF(S387&lt;=0.45,"Moderate Wind","Strong Wind")))</f>
        <v>Calm</v>
      </c>
      <c r="U387">
        <v>13</v>
      </c>
      <c r="V387">
        <v>80</v>
      </c>
      <c r="W387">
        <v>93</v>
      </c>
      <c r="X387" t="str">
        <f>IF(W387&lt;=75,"Low Demand",IF(W387&lt;=150,"Medium Demand",IF(W387&lt;=225,"High Demand","Very High Demand")))</f>
        <v>Medium Demand</v>
      </c>
    </row>
    <row r="388" spans="1:24" x14ac:dyDescent="0.25">
      <c r="A388">
        <v>387</v>
      </c>
      <c r="B388" s="2">
        <v>40560</v>
      </c>
      <c r="C388">
        <v>1</v>
      </c>
      <c r="D388">
        <v>0</v>
      </c>
      <c r="E388">
        <v>1</v>
      </c>
      <c r="F388">
        <v>14</v>
      </c>
      <c r="G388" t="str">
        <f>IF(F388&lt;6,"Night",IF(F388&lt;12,"Morning",IF(F388&lt;18,"Afternoon","Evening")))</f>
        <v>Afternoon</v>
      </c>
      <c r="H388">
        <v>1</v>
      </c>
      <c r="I388">
        <v>1</v>
      </c>
      <c r="J388" t="str">
        <f>CHOOSE(I388+1,"Monday","Tuesday","Wednesday","Thursday","Friday","Saturday","Sunday")</f>
        <v>Tuesday</v>
      </c>
      <c r="K388">
        <v>2</v>
      </c>
      <c r="L388" t="str">
        <f>CHOOSE(K388+1,"error","Clear","Misty","Rainy","Severe heater")</f>
        <v>Misty</v>
      </c>
      <c r="M388">
        <v>0.18</v>
      </c>
      <c r="N388" t="str">
        <f>IF(M388&lt;=0.2,"Low",IF(M388&lt;=0.4,"Mid","High"))</f>
        <v>Low</v>
      </c>
      <c r="O388">
        <v>0.21210000000000001</v>
      </c>
      <c r="P388" t="str">
        <f>IF(O388&lt;=0.15,"Very Cold",IF(O388&lt;=0.3,"Cold",IF(O388&lt;=0.45,"Pleasant","Hot")))</f>
        <v>Cold</v>
      </c>
      <c r="Q388">
        <v>0.43</v>
      </c>
      <c r="R388" t="str">
        <f>IF(Q388&lt;=0.25,"Low ",IF(Q388&lt;=0.5,"Moderate ",IF(Q388&lt;=0.75,"High ","Very High ")))</f>
        <v xml:space="preserve">Moderate </v>
      </c>
      <c r="S388">
        <v>0.1045</v>
      </c>
      <c r="T388" t="str">
        <f>IF(S388&lt;=0.15,"Calm",IF(S388&lt;=0.3,"Light Wind",IF(S388&lt;=0.45,"Moderate Wind","Strong Wind")))</f>
        <v>Calm</v>
      </c>
      <c r="U388">
        <v>12</v>
      </c>
      <c r="V388">
        <v>74</v>
      </c>
      <c r="W388">
        <v>86</v>
      </c>
      <c r="X388" t="str">
        <f>IF(W388&lt;=75,"Low Demand",IF(W388&lt;=150,"Medium Demand",IF(W388&lt;=225,"High Demand","Very High Demand")))</f>
        <v>Medium Demand</v>
      </c>
    </row>
    <row r="389" spans="1:24" x14ac:dyDescent="0.25">
      <c r="A389">
        <v>388</v>
      </c>
      <c r="B389" s="2">
        <v>40560</v>
      </c>
      <c r="C389">
        <v>1</v>
      </c>
      <c r="D389">
        <v>0</v>
      </c>
      <c r="E389">
        <v>1</v>
      </c>
      <c r="F389">
        <v>15</v>
      </c>
      <c r="G389" t="str">
        <f>IF(F389&lt;6,"Night",IF(F389&lt;12,"Morning",IF(F389&lt;18,"Afternoon","Evening")))</f>
        <v>Afternoon</v>
      </c>
      <c r="H389">
        <v>1</v>
      </c>
      <c r="I389">
        <v>1</v>
      </c>
      <c r="J389" t="str">
        <f>CHOOSE(I389+1,"Monday","Tuesday","Wednesday","Thursday","Friday","Saturday","Sunday")</f>
        <v>Tuesday</v>
      </c>
      <c r="K389">
        <v>2</v>
      </c>
      <c r="L389" t="str">
        <f>CHOOSE(K389+1,"error","Clear","Misty","Rainy","Severe heater")</f>
        <v>Misty</v>
      </c>
      <c r="M389">
        <v>0.2</v>
      </c>
      <c r="N389" t="str">
        <f>IF(M389&lt;=0.2,"Low",IF(M389&lt;=0.4,"Mid","High"))</f>
        <v>Low</v>
      </c>
      <c r="O389">
        <v>0.21210000000000001</v>
      </c>
      <c r="P389" t="str">
        <f>IF(O389&lt;=0.15,"Very Cold",IF(O389&lt;=0.3,"Cold",IF(O389&lt;=0.45,"Pleasant","Hot")))</f>
        <v>Cold</v>
      </c>
      <c r="Q389">
        <v>0.47</v>
      </c>
      <c r="R389" t="str">
        <f>IF(Q389&lt;=0.25,"Low ",IF(Q389&lt;=0.5,"Moderate ",IF(Q389&lt;=0.75,"High ","Very High ")))</f>
        <v xml:space="preserve">Moderate </v>
      </c>
      <c r="S389">
        <v>0.16420000000000001</v>
      </c>
      <c r="T389" t="str">
        <f>IF(S389&lt;=0.15,"Calm",IF(S389&lt;=0.3,"Light Wind",IF(S389&lt;=0.45,"Moderate Wind","Strong Wind")))</f>
        <v>Light Wind</v>
      </c>
      <c r="U389">
        <v>21</v>
      </c>
      <c r="V389">
        <v>72</v>
      </c>
      <c r="W389">
        <v>93</v>
      </c>
      <c r="X389" t="str">
        <f>IF(W389&lt;=75,"Low Demand",IF(W389&lt;=150,"Medium Demand",IF(W389&lt;=225,"High Demand","Very High Demand")))</f>
        <v>Medium Demand</v>
      </c>
    </row>
    <row r="390" spans="1:24" x14ac:dyDescent="0.25">
      <c r="A390">
        <v>389</v>
      </c>
      <c r="B390" s="2">
        <v>40560</v>
      </c>
      <c r="C390">
        <v>1</v>
      </c>
      <c r="D390">
        <v>0</v>
      </c>
      <c r="E390">
        <v>1</v>
      </c>
      <c r="F390">
        <v>16</v>
      </c>
      <c r="G390" t="str">
        <f>IF(F390&lt;6,"Night",IF(F390&lt;12,"Morning",IF(F390&lt;18,"Afternoon","Evening")))</f>
        <v>Afternoon</v>
      </c>
      <c r="H390">
        <v>1</v>
      </c>
      <c r="I390">
        <v>1</v>
      </c>
      <c r="J390" t="str">
        <f>CHOOSE(I390+1,"Monday","Tuesday","Wednesday","Thursday","Friday","Saturday","Sunday")</f>
        <v>Tuesday</v>
      </c>
      <c r="K390">
        <v>2</v>
      </c>
      <c r="L390" t="str">
        <f>CHOOSE(K390+1,"error","Clear","Misty","Rainy","Severe heater")</f>
        <v>Misty</v>
      </c>
      <c r="M390">
        <v>0.2</v>
      </c>
      <c r="N390" t="str">
        <f>IF(M390&lt;=0.2,"Low",IF(M390&lt;=0.4,"Mid","High"))</f>
        <v>Low</v>
      </c>
      <c r="O390">
        <v>0.21210000000000001</v>
      </c>
      <c r="P390" t="str">
        <f>IF(O390&lt;=0.15,"Very Cold",IF(O390&lt;=0.3,"Cold",IF(O390&lt;=0.45,"Pleasant","Hot")))</f>
        <v>Cold</v>
      </c>
      <c r="Q390">
        <v>0.47</v>
      </c>
      <c r="R390" t="str">
        <f>IF(Q390&lt;=0.25,"Low ",IF(Q390&lt;=0.5,"Moderate ",IF(Q390&lt;=0.75,"High ","Very High ")))</f>
        <v xml:space="preserve">Moderate </v>
      </c>
      <c r="S390">
        <v>0.16420000000000001</v>
      </c>
      <c r="T390" t="str">
        <f>IF(S390&lt;=0.15,"Calm",IF(S390&lt;=0.3,"Light Wind",IF(S390&lt;=0.45,"Moderate Wind","Strong Wind")))</f>
        <v>Light Wind</v>
      </c>
      <c r="U390">
        <v>6</v>
      </c>
      <c r="V390">
        <v>76</v>
      </c>
      <c r="W390">
        <v>82</v>
      </c>
      <c r="X390" t="str">
        <f>IF(W390&lt;=75,"Low Demand",IF(W390&lt;=150,"Medium Demand",IF(W390&lt;=225,"High Demand","Very High Demand")))</f>
        <v>Medium Demand</v>
      </c>
    </row>
    <row r="391" spans="1:24" x14ac:dyDescent="0.25">
      <c r="A391">
        <v>390</v>
      </c>
      <c r="B391" s="2">
        <v>40560</v>
      </c>
      <c r="C391">
        <v>1</v>
      </c>
      <c r="D391">
        <v>0</v>
      </c>
      <c r="E391">
        <v>1</v>
      </c>
      <c r="F391">
        <v>17</v>
      </c>
      <c r="G391" t="str">
        <f>IF(F391&lt;6,"Night",IF(F391&lt;12,"Morning",IF(F391&lt;18,"Afternoon","Evening")))</f>
        <v>Afternoon</v>
      </c>
      <c r="H391">
        <v>1</v>
      </c>
      <c r="I391">
        <v>1</v>
      </c>
      <c r="J391" t="str">
        <f>CHOOSE(I391+1,"Monday","Tuesday","Wednesday","Thursday","Friday","Saturday","Sunday")</f>
        <v>Tuesday</v>
      </c>
      <c r="K391">
        <v>1</v>
      </c>
      <c r="L391" t="str">
        <f>CHOOSE(K391+1,"error","Clear","Misty","Rainy","Severe heater")</f>
        <v>Clear</v>
      </c>
      <c r="M391">
        <v>0.2</v>
      </c>
      <c r="N391" t="str">
        <f>IF(M391&lt;=0.2,"Low",IF(M391&lt;=0.4,"Mid","High"))</f>
        <v>Low</v>
      </c>
      <c r="O391">
        <v>0.19700000000000001</v>
      </c>
      <c r="P391" t="str">
        <f>IF(O391&lt;=0.15,"Very Cold",IF(O391&lt;=0.3,"Cold",IF(O391&lt;=0.45,"Pleasant","Hot")))</f>
        <v>Cold</v>
      </c>
      <c r="Q391">
        <v>0.51</v>
      </c>
      <c r="R391" t="str">
        <f>IF(Q391&lt;=0.25,"Low ",IF(Q391&lt;=0.5,"Moderate ",IF(Q391&lt;=0.75,"High ","Very High ")))</f>
        <v xml:space="preserve">High </v>
      </c>
      <c r="S391">
        <v>0.19400000000000001</v>
      </c>
      <c r="T391" t="str">
        <f>IF(S391&lt;=0.15,"Calm",IF(S391&lt;=0.3,"Light Wind",IF(S391&lt;=0.45,"Moderate Wind","Strong Wind")))</f>
        <v>Light Wind</v>
      </c>
      <c r="U391">
        <v>4</v>
      </c>
      <c r="V391">
        <v>67</v>
      </c>
      <c r="W391">
        <v>71</v>
      </c>
      <c r="X391" t="str">
        <f>IF(W391&lt;=75,"Low Demand",IF(W391&lt;=150,"Medium Demand",IF(W391&lt;=225,"High Demand","Very High Demand")))</f>
        <v>Low Demand</v>
      </c>
    </row>
    <row r="392" spans="1:24" x14ac:dyDescent="0.25">
      <c r="A392">
        <v>391</v>
      </c>
      <c r="B392" s="2">
        <v>40560</v>
      </c>
      <c r="C392">
        <v>1</v>
      </c>
      <c r="D392">
        <v>0</v>
      </c>
      <c r="E392">
        <v>1</v>
      </c>
      <c r="F392">
        <v>18</v>
      </c>
      <c r="G392" t="str">
        <f>IF(F392&lt;6,"Night",IF(F392&lt;12,"Morning",IF(F392&lt;18,"Afternoon","Evening")))</f>
        <v>Evening</v>
      </c>
      <c r="H392">
        <v>1</v>
      </c>
      <c r="I392">
        <v>1</v>
      </c>
      <c r="J392" t="str">
        <f>CHOOSE(I392+1,"Monday","Tuesday","Wednesday","Thursday","Friday","Saturday","Sunday")</f>
        <v>Tuesday</v>
      </c>
      <c r="K392">
        <v>2</v>
      </c>
      <c r="L392" t="str">
        <f>CHOOSE(K392+1,"error","Clear","Misty","Rainy","Severe heater")</f>
        <v>Misty</v>
      </c>
      <c r="M392">
        <v>0.18</v>
      </c>
      <c r="N392" t="str">
        <f>IF(M392&lt;=0.2,"Low",IF(M392&lt;=0.4,"Mid","High"))</f>
        <v>Low</v>
      </c>
      <c r="O392">
        <v>0.16669999999999999</v>
      </c>
      <c r="P392" t="str">
        <f>IF(O392&lt;=0.15,"Very Cold",IF(O392&lt;=0.3,"Cold",IF(O392&lt;=0.45,"Pleasant","Hot")))</f>
        <v>Cold</v>
      </c>
      <c r="Q392">
        <v>0.55000000000000004</v>
      </c>
      <c r="R392" t="str">
        <f>IF(Q392&lt;=0.25,"Low ",IF(Q392&lt;=0.5,"Moderate ",IF(Q392&lt;=0.75,"High ","Very High ")))</f>
        <v xml:space="preserve">High </v>
      </c>
      <c r="S392">
        <v>0.25369999999999998</v>
      </c>
      <c r="T392" t="str">
        <f>IF(S392&lt;=0.15,"Calm",IF(S392&lt;=0.3,"Light Wind",IF(S392&lt;=0.45,"Moderate Wind","Strong Wind")))</f>
        <v>Light Wind</v>
      </c>
      <c r="U392">
        <v>7</v>
      </c>
      <c r="V392">
        <v>85</v>
      </c>
      <c r="W392">
        <v>92</v>
      </c>
      <c r="X392" t="str">
        <f>IF(W392&lt;=75,"Low Demand",IF(W392&lt;=150,"Medium Demand",IF(W392&lt;=225,"High Demand","Very High Demand")))</f>
        <v>Medium Demand</v>
      </c>
    </row>
    <row r="393" spans="1:24" x14ac:dyDescent="0.25">
      <c r="A393">
        <v>392</v>
      </c>
      <c r="B393" s="2">
        <v>40560</v>
      </c>
      <c r="C393">
        <v>1</v>
      </c>
      <c r="D393">
        <v>0</v>
      </c>
      <c r="E393">
        <v>1</v>
      </c>
      <c r="F393">
        <v>19</v>
      </c>
      <c r="G393" t="str">
        <f>IF(F393&lt;6,"Night",IF(F393&lt;12,"Morning",IF(F393&lt;18,"Afternoon","Evening")))</f>
        <v>Evening</v>
      </c>
      <c r="H393">
        <v>1</v>
      </c>
      <c r="I393">
        <v>1</v>
      </c>
      <c r="J393" t="str">
        <f>CHOOSE(I393+1,"Monday","Tuesday","Wednesday","Thursday","Friday","Saturday","Sunday")</f>
        <v>Tuesday</v>
      </c>
      <c r="K393">
        <v>3</v>
      </c>
      <c r="L393" t="str">
        <f>CHOOSE(K393+1,"error","Clear","Misty","Rainy","Severe heater")</f>
        <v>Rainy</v>
      </c>
      <c r="M393">
        <v>0.18</v>
      </c>
      <c r="N393" t="str">
        <f>IF(M393&lt;=0.2,"Low",IF(M393&lt;=0.4,"Mid","High"))</f>
        <v>Low</v>
      </c>
      <c r="O393">
        <v>0.18179999999999999</v>
      </c>
      <c r="P393" t="str">
        <f>IF(O393&lt;=0.15,"Very Cold",IF(O393&lt;=0.3,"Cold",IF(O393&lt;=0.45,"Pleasant","Hot")))</f>
        <v>Cold</v>
      </c>
      <c r="Q393">
        <v>0.59</v>
      </c>
      <c r="R393" t="str">
        <f>IF(Q393&lt;=0.25,"Low ",IF(Q393&lt;=0.5,"Moderate ",IF(Q393&lt;=0.75,"High ","Very High ")))</f>
        <v xml:space="preserve">High </v>
      </c>
      <c r="S393">
        <v>0.19400000000000001</v>
      </c>
      <c r="T393" t="str">
        <f>IF(S393&lt;=0.15,"Calm",IF(S393&lt;=0.3,"Light Wind",IF(S393&lt;=0.45,"Moderate Wind","Strong Wind")))</f>
        <v>Light Wind</v>
      </c>
      <c r="U393">
        <v>2</v>
      </c>
      <c r="V393">
        <v>58</v>
      </c>
      <c r="W393">
        <v>60</v>
      </c>
      <c r="X393" t="str">
        <f>IF(W393&lt;=75,"Low Demand",IF(W393&lt;=150,"Medium Demand",IF(W393&lt;=225,"High Demand","Very High Demand")))</f>
        <v>Low Demand</v>
      </c>
    </row>
    <row r="394" spans="1:24" x14ac:dyDescent="0.25">
      <c r="A394">
        <v>393</v>
      </c>
      <c r="B394" s="2">
        <v>40560</v>
      </c>
      <c r="C394">
        <v>1</v>
      </c>
      <c r="D394">
        <v>0</v>
      </c>
      <c r="E394">
        <v>1</v>
      </c>
      <c r="F394">
        <v>20</v>
      </c>
      <c r="G394" t="str">
        <f>IF(F394&lt;6,"Night",IF(F394&lt;12,"Morning",IF(F394&lt;18,"Afternoon","Evening")))</f>
        <v>Evening</v>
      </c>
      <c r="H394">
        <v>1</v>
      </c>
      <c r="I394">
        <v>1</v>
      </c>
      <c r="J394" t="str">
        <f>CHOOSE(I394+1,"Monday","Tuesday","Wednesday","Thursday","Friday","Saturday","Sunday")</f>
        <v>Tuesday</v>
      </c>
      <c r="K394">
        <v>3</v>
      </c>
      <c r="L394" t="str">
        <f>CHOOSE(K394+1,"error","Clear","Misty","Rainy","Severe heater")</f>
        <v>Rainy</v>
      </c>
      <c r="M394">
        <v>0.16</v>
      </c>
      <c r="N394" t="str">
        <f>IF(M394&lt;=0.2,"Low",IF(M394&lt;=0.4,"Mid","High"))</f>
        <v>Low</v>
      </c>
      <c r="O394">
        <v>0.1515</v>
      </c>
      <c r="P394" t="str">
        <f>IF(O394&lt;=0.15,"Very Cold",IF(O394&lt;=0.3,"Cold",IF(O394&lt;=0.45,"Pleasant","Hot")))</f>
        <v>Cold</v>
      </c>
      <c r="Q394">
        <v>0.8</v>
      </c>
      <c r="R394" t="str">
        <f>IF(Q394&lt;=0.25,"Low ",IF(Q394&lt;=0.5,"Moderate ",IF(Q394&lt;=0.75,"High ","Very High ")))</f>
        <v xml:space="preserve">Very High </v>
      </c>
      <c r="S394">
        <v>0.19400000000000001</v>
      </c>
      <c r="T394" t="str">
        <f>IF(S394&lt;=0.15,"Calm",IF(S394&lt;=0.3,"Light Wind",IF(S394&lt;=0.45,"Moderate Wind","Strong Wind")))</f>
        <v>Light Wind</v>
      </c>
      <c r="U394">
        <v>4</v>
      </c>
      <c r="V394">
        <v>29</v>
      </c>
      <c r="W394">
        <v>33</v>
      </c>
      <c r="X394" t="str">
        <f>IF(W394&lt;=75,"Low Demand",IF(W394&lt;=150,"Medium Demand",IF(W394&lt;=225,"High Demand","Very High Demand")))</f>
        <v>Low Demand</v>
      </c>
    </row>
    <row r="395" spans="1:24" x14ac:dyDescent="0.25">
      <c r="A395">
        <v>394</v>
      </c>
      <c r="B395" s="2">
        <v>40560</v>
      </c>
      <c r="C395">
        <v>1</v>
      </c>
      <c r="D395">
        <v>0</v>
      </c>
      <c r="E395">
        <v>1</v>
      </c>
      <c r="F395">
        <v>21</v>
      </c>
      <c r="G395" t="str">
        <f>IF(F395&lt;6,"Night",IF(F395&lt;12,"Morning",IF(F395&lt;18,"Afternoon","Evening")))</f>
        <v>Evening</v>
      </c>
      <c r="H395">
        <v>1</v>
      </c>
      <c r="I395">
        <v>1</v>
      </c>
      <c r="J395" t="str">
        <f>CHOOSE(I395+1,"Monday","Tuesday","Wednesday","Thursday","Friday","Saturday","Sunday")</f>
        <v>Tuesday</v>
      </c>
      <c r="K395">
        <v>3</v>
      </c>
      <c r="L395" t="str">
        <f>CHOOSE(K395+1,"error","Clear","Misty","Rainy","Severe heater")</f>
        <v>Rainy</v>
      </c>
      <c r="M395">
        <v>0.16</v>
      </c>
      <c r="N395" t="str">
        <f>IF(M395&lt;=0.2,"Low",IF(M395&lt;=0.4,"Mid","High"))</f>
        <v>Low</v>
      </c>
      <c r="O395">
        <v>0.1515</v>
      </c>
      <c r="P395" t="str">
        <f>IF(O395&lt;=0.15,"Very Cold",IF(O395&lt;=0.3,"Cold",IF(O395&lt;=0.45,"Pleasant","Hot")))</f>
        <v>Cold</v>
      </c>
      <c r="Q395">
        <v>0.8</v>
      </c>
      <c r="R395" t="str">
        <f>IF(Q395&lt;=0.25,"Low ",IF(Q395&lt;=0.5,"Moderate ",IF(Q395&lt;=0.75,"High ","Very High ")))</f>
        <v xml:space="preserve">Very High </v>
      </c>
      <c r="S395">
        <v>0.19400000000000001</v>
      </c>
      <c r="T395" t="str">
        <f>IF(S395&lt;=0.15,"Calm",IF(S395&lt;=0.3,"Light Wind",IF(S395&lt;=0.45,"Moderate Wind","Strong Wind")))</f>
        <v>Light Wind</v>
      </c>
      <c r="U395">
        <v>3</v>
      </c>
      <c r="V395">
        <v>24</v>
      </c>
      <c r="W395">
        <v>27</v>
      </c>
      <c r="X395" t="str">
        <f>IF(W395&lt;=75,"Low Demand",IF(W395&lt;=150,"Medium Demand",IF(W395&lt;=225,"High Demand","Very High Demand")))</f>
        <v>Low Demand</v>
      </c>
    </row>
    <row r="396" spans="1:24" x14ac:dyDescent="0.25">
      <c r="A396">
        <v>395</v>
      </c>
      <c r="B396" s="2">
        <v>40560</v>
      </c>
      <c r="C396">
        <v>1</v>
      </c>
      <c r="D396">
        <v>0</v>
      </c>
      <c r="E396">
        <v>1</v>
      </c>
      <c r="F396">
        <v>22</v>
      </c>
      <c r="G396" t="str">
        <f>IF(F396&lt;6,"Night",IF(F396&lt;12,"Morning",IF(F396&lt;18,"Afternoon","Evening")))</f>
        <v>Evening</v>
      </c>
      <c r="H396">
        <v>1</v>
      </c>
      <c r="I396">
        <v>1</v>
      </c>
      <c r="J396" t="str">
        <f>CHOOSE(I396+1,"Monday","Tuesday","Wednesday","Thursday","Friday","Saturday","Sunday")</f>
        <v>Tuesday</v>
      </c>
      <c r="K396">
        <v>3</v>
      </c>
      <c r="L396" t="str">
        <f>CHOOSE(K396+1,"error","Clear","Misty","Rainy","Severe heater")</f>
        <v>Rainy</v>
      </c>
      <c r="M396">
        <v>0.14000000000000001</v>
      </c>
      <c r="N396" t="str">
        <f>IF(M396&lt;=0.2,"Low",IF(M396&lt;=0.4,"Mid","High"))</f>
        <v>Low</v>
      </c>
      <c r="O396">
        <v>0.1212</v>
      </c>
      <c r="P396" t="str">
        <f>IF(O396&lt;=0.15,"Very Cold",IF(O396&lt;=0.3,"Cold",IF(O396&lt;=0.45,"Pleasant","Hot")))</f>
        <v>Very Cold</v>
      </c>
      <c r="Q396">
        <v>0.93</v>
      </c>
      <c r="R396" t="str">
        <f>IF(Q396&lt;=0.25,"Low ",IF(Q396&lt;=0.5,"Moderate ",IF(Q396&lt;=0.75,"High ","Very High ")))</f>
        <v xml:space="preserve">Very High </v>
      </c>
      <c r="S396">
        <v>0.25369999999999998</v>
      </c>
      <c r="T396" t="str">
        <f>IF(S396&lt;=0.15,"Calm",IF(S396&lt;=0.3,"Light Wind",IF(S396&lt;=0.45,"Moderate Wind","Strong Wind")))</f>
        <v>Light Wind</v>
      </c>
      <c r="U396">
        <v>0</v>
      </c>
      <c r="V396">
        <v>13</v>
      </c>
      <c r="W396">
        <v>13</v>
      </c>
      <c r="X396" t="str">
        <f>IF(W396&lt;=75,"Low Demand",IF(W396&lt;=150,"Medium Demand",IF(W396&lt;=225,"High Demand","Very High Demand")))</f>
        <v>Low Demand</v>
      </c>
    </row>
    <row r="397" spans="1:24" x14ac:dyDescent="0.25">
      <c r="A397">
        <v>396</v>
      </c>
      <c r="B397" s="2">
        <v>40560</v>
      </c>
      <c r="C397">
        <v>1</v>
      </c>
      <c r="D397">
        <v>0</v>
      </c>
      <c r="E397">
        <v>1</v>
      </c>
      <c r="F397">
        <v>23</v>
      </c>
      <c r="G397" t="str">
        <f>IF(F397&lt;6,"Night",IF(F397&lt;12,"Morning",IF(F397&lt;18,"Afternoon","Evening")))</f>
        <v>Evening</v>
      </c>
      <c r="H397">
        <v>1</v>
      </c>
      <c r="I397">
        <v>1</v>
      </c>
      <c r="J397" t="str">
        <f>CHOOSE(I397+1,"Monday","Tuesday","Wednesday","Thursday","Friday","Saturday","Sunday")</f>
        <v>Tuesday</v>
      </c>
      <c r="K397">
        <v>3</v>
      </c>
      <c r="L397" t="str">
        <f>CHOOSE(K397+1,"error","Clear","Misty","Rainy","Severe heater")</f>
        <v>Rainy</v>
      </c>
      <c r="M397">
        <v>0.16</v>
      </c>
      <c r="N397" t="str">
        <f>IF(M397&lt;=0.2,"Low",IF(M397&lt;=0.4,"Mid","High"))</f>
        <v>Low</v>
      </c>
      <c r="O397">
        <v>0.13639999999999999</v>
      </c>
      <c r="P397" t="str">
        <f>IF(O397&lt;=0.15,"Very Cold",IF(O397&lt;=0.3,"Cold",IF(O397&lt;=0.45,"Pleasant","Hot")))</f>
        <v>Very Cold</v>
      </c>
      <c r="Q397">
        <v>0.86</v>
      </c>
      <c r="R397" t="str">
        <f>IF(Q397&lt;=0.25,"Low ",IF(Q397&lt;=0.5,"Moderate ",IF(Q397&lt;=0.75,"High ","Very High ")))</f>
        <v xml:space="preserve">Very High </v>
      </c>
      <c r="S397">
        <v>0.28360000000000002</v>
      </c>
      <c r="T397" t="str">
        <f>IF(S397&lt;=0.15,"Calm",IF(S397&lt;=0.3,"Light Wind",IF(S397&lt;=0.45,"Moderate Wind","Strong Wind")))</f>
        <v>Light Wind</v>
      </c>
      <c r="U397">
        <v>1</v>
      </c>
      <c r="V397">
        <v>3</v>
      </c>
      <c r="W397">
        <v>4</v>
      </c>
      <c r="X397" t="str">
        <f>IF(W397&lt;=75,"Low Demand",IF(W397&lt;=150,"Medium Demand",IF(W397&lt;=225,"High Demand","Very High Demand")))</f>
        <v>Low Demand</v>
      </c>
    </row>
    <row r="398" spans="1:24" x14ac:dyDescent="0.25">
      <c r="A398">
        <v>397</v>
      </c>
      <c r="B398" s="2">
        <v>40561</v>
      </c>
      <c r="C398">
        <v>1</v>
      </c>
      <c r="D398">
        <v>0</v>
      </c>
      <c r="E398">
        <v>1</v>
      </c>
      <c r="F398">
        <v>12</v>
      </c>
      <c r="G398" t="str">
        <f>IF(F398&lt;6,"Night",IF(F398&lt;12,"Morning",IF(F398&lt;18,"Afternoon","Evening")))</f>
        <v>Afternoon</v>
      </c>
      <c r="H398">
        <v>0</v>
      </c>
      <c r="I398">
        <v>2</v>
      </c>
      <c r="J398" t="str">
        <f>CHOOSE(I398+1,"Monday","Tuesday","Wednesday","Thursday","Friday","Saturday","Sunday")</f>
        <v>Wednesday</v>
      </c>
      <c r="K398">
        <v>2</v>
      </c>
      <c r="L398" t="str">
        <f>CHOOSE(K398+1,"error","Clear","Misty","Rainy","Severe heater")</f>
        <v>Misty</v>
      </c>
      <c r="M398">
        <v>0.2</v>
      </c>
      <c r="N398" t="str">
        <f>IF(M398&lt;=0.2,"Low",IF(M398&lt;=0.4,"Mid","High"))</f>
        <v>Low</v>
      </c>
      <c r="O398">
        <v>0.18179999999999999</v>
      </c>
      <c r="P398" t="str">
        <f>IF(O398&lt;=0.15,"Very Cold",IF(O398&lt;=0.3,"Cold",IF(O398&lt;=0.45,"Pleasant","Hot")))</f>
        <v>Cold</v>
      </c>
      <c r="Q398">
        <v>0.86</v>
      </c>
      <c r="R398" t="str">
        <f>IF(Q398&lt;=0.25,"Low ",IF(Q398&lt;=0.5,"Moderate ",IF(Q398&lt;=0.75,"High ","Very High ")))</f>
        <v xml:space="preserve">Very High </v>
      </c>
      <c r="S398">
        <v>0.32840000000000003</v>
      </c>
      <c r="T398" t="str">
        <f>IF(S398&lt;=0.15,"Calm",IF(S398&lt;=0.3,"Light Wind",IF(S398&lt;=0.45,"Moderate Wind","Strong Wind")))</f>
        <v>Moderate Wind</v>
      </c>
      <c r="U398">
        <v>0</v>
      </c>
      <c r="V398">
        <v>3</v>
      </c>
      <c r="W398">
        <v>3</v>
      </c>
      <c r="X398" t="str">
        <f>IF(W398&lt;=75,"Low Demand",IF(W398&lt;=150,"Medium Demand",IF(W398&lt;=225,"High Demand","Very High Demand")))</f>
        <v>Low Demand</v>
      </c>
    </row>
    <row r="399" spans="1:24" x14ac:dyDescent="0.25">
      <c r="A399">
        <v>398</v>
      </c>
      <c r="B399" s="2">
        <v>40561</v>
      </c>
      <c r="C399">
        <v>1</v>
      </c>
      <c r="D399">
        <v>0</v>
      </c>
      <c r="E399">
        <v>1</v>
      </c>
      <c r="F399">
        <v>13</v>
      </c>
      <c r="G399" t="str">
        <f>IF(F399&lt;6,"Night",IF(F399&lt;12,"Morning",IF(F399&lt;18,"Afternoon","Evening")))</f>
        <v>Afternoon</v>
      </c>
      <c r="H399">
        <v>0</v>
      </c>
      <c r="I399">
        <v>2</v>
      </c>
      <c r="J399" t="str">
        <f>CHOOSE(I399+1,"Monday","Tuesday","Wednesday","Thursday","Friday","Saturday","Sunday")</f>
        <v>Wednesday</v>
      </c>
      <c r="K399">
        <v>2</v>
      </c>
      <c r="L399" t="str">
        <f>CHOOSE(K399+1,"error","Clear","Misty","Rainy","Severe heater")</f>
        <v>Misty</v>
      </c>
      <c r="M399">
        <v>0.2</v>
      </c>
      <c r="N399" t="str">
        <f>IF(M399&lt;=0.2,"Low",IF(M399&lt;=0.4,"Mid","High"))</f>
        <v>Low</v>
      </c>
      <c r="O399">
        <v>0.19700000000000001</v>
      </c>
      <c r="P399" t="str">
        <f>IF(O399&lt;=0.15,"Very Cold",IF(O399&lt;=0.3,"Cold",IF(O399&lt;=0.45,"Pleasant","Hot")))</f>
        <v>Cold</v>
      </c>
      <c r="Q399">
        <v>0.86</v>
      </c>
      <c r="R399" t="str">
        <f>IF(Q399&lt;=0.25,"Low ",IF(Q399&lt;=0.5,"Moderate ",IF(Q399&lt;=0.75,"High ","Very High ")))</f>
        <v xml:space="preserve">Very High </v>
      </c>
      <c r="S399">
        <v>0.22389999999999999</v>
      </c>
      <c r="T399" t="str">
        <f>IF(S399&lt;=0.15,"Calm",IF(S399&lt;=0.3,"Light Wind",IF(S399&lt;=0.45,"Moderate Wind","Strong Wind")))</f>
        <v>Light Wind</v>
      </c>
      <c r="U399">
        <v>0</v>
      </c>
      <c r="V399">
        <v>22</v>
      </c>
      <c r="W399">
        <v>22</v>
      </c>
      <c r="X399" t="str">
        <f>IF(W399&lt;=75,"Low Demand",IF(W399&lt;=150,"Medium Demand",IF(W399&lt;=225,"High Demand","Very High Demand")))</f>
        <v>Low Demand</v>
      </c>
    </row>
    <row r="400" spans="1:24" x14ac:dyDescent="0.25">
      <c r="A400">
        <v>399</v>
      </c>
      <c r="B400" s="2">
        <v>40561</v>
      </c>
      <c r="C400">
        <v>1</v>
      </c>
      <c r="D400">
        <v>0</v>
      </c>
      <c r="E400">
        <v>1</v>
      </c>
      <c r="F400">
        <v>14</v>
      </c>
      <c r="G400" t="str">
        <f>IF(F400&lt;6,"Night",IF(F400&lt;12,"Morning",IF(F400&lt;18,"Afternoon","Evening")))</f>
        <v>Afternoon</v>
      </c>
      <c r="H400">
        <v>0</v>
      </c>
      <c r="I400">
        <v>2</v>
      </c>
      <c r="J400" t="str">
        <f>CHOOSE(I400+1,"Monday","Tuesday","Wednesday","Thursday","Friday","Saturday","Sunday")</f>
        <v>Wednesday</v>
      </c>
      <c r="K400">
        <v>2</v>
      </c>
      <c r="L400" t="str">
        <f>CHOOSE(K400+1,"error","Clear","Misty","Rainy","Severe heater")</f>
        <v>Misty</v>
      </c>
      <c r="M400">
        <v>0.22</v>
      </c>
      <c r="N400" t="str">
        <f>IF(M400&lt;=0.2,"Low",IF(M400&lt;=0.4,"Mid","High"))</f>
        <v>Mid</v>
      </c>
      <c r="O400">
        <v>0.2273</v>
      </c>
      <c r="P400" t="str">
        <f>IF(O400&lt;=0.15,"Very Cold",IF(O400&lt;=0.3,"Cold",IF(O400&lt;=0.45,"Pleasant","Hot")))</f>
        <v>Cold</v>
      </c>
      <c r="Q400">
        <v>0.8</v>
      </c>
      <c r="R400" t="str">
        <f>IF(Q400&lt;=0.25,"Low ",IF(Q400&lt;=0.5,"Moderate ",IF(Q400&lt;=0.75,"High ","Very High ")))</f>
        <v xml:space="preserve">Very High </v>
      </c>
      <c r="S400">
        <v>0.16420000000000001</v>
      </c>
      <c r="T400" t="str">
        <f>IF(S400&lt;=0.15,"Calm",IF(S400&lt;=0.3,"Light Wind",IF(S400&lt;=0.45,"Moderate Wind","Strong Wind")))</f>
        <v>Light Wind</v>
      </c>
      <c r="U400">
        <v>2</v>
      </c>
      <c r="V400">
        <v>26</v>
      </c>
      <c r="W400">
        <v>28</v>
      </c>
      <c r="X400" t="str">
        <f>IF(W400&lt;=75,"Low Demand",IF(W400&lt;=150,"Medium Demand",IF(W400&lt;=225,"High Demand","Very High Demand")))</f>
        <v>Low Demand</v>
      </c>
    </row>
    <row r="401" spans="1:24" x14ac:dyDescent="0.25">
      <c r="A401">
        <v>400</v>
      </c>
      <c r="B401" s="2">
        <v>40561</v>
      </c>
      <c r="C401">
        <v>1</v>
      </c>
      <c r="D401">
        <v>0</v>
      </c>
      <c r="E401">
        <v>1</v>
      </c>
      <c r="F401">
        <v>15</v>
      </c>
      <c r="G401" t="str">
        <f>IF(F401&lt;6,"Night",IF(F401&lt;12,"Morning",IF(F401&lt;18,"Afternoon","Evening")))</f>
        <v>Afternoon</v>
      </c>
      <c r="H401">
        <v>0</v>
      </c>
      <c r="I401">
        <v>2</v>
      </c>
      <c r="J401" t="str">
        <f>CHOOSE(I401+1,"Monday","Tuesday","Wednesday","Thursday","Friday","Saturday","Sunday")</f>
        <v>Wednesday</v>
      </c>
      <c r="K401">
        <v>2</v>
      </c>
      <c r="L401" t="str">
        <f>CHOOSE(K401+1,"error","Clear","Misty","Rainy","Severe heater")</f>
        <v>Misty</v>
      </c>
      <c r="M401">
        <v>0.22</v>
      </c>
      <c r="N401" t="str">
        <f>IF(M401&lt;=0.2,"Low",IF(M401&lt;=0.4,"Mid","High"))</f>
        <v>Mid</v>
      </c>
      <c r="O401">
        <v>0.2273</v>
      </c>
      <c r="P401" t="str">
        <f>IF(O401&lt;=0.15,"Very Cold",IF(O401&lt;=0.3,"Cold",IF(O401&lt;=0.45,"Pleasant","Hot")))</f>
        <v>Cold</v>
      </c>
      <c r="Q401">
        <v>0.87</v>
      </c>
      <c r="R401" t="str">
        <f>IF(Q401&lt;=0.25,"Low ",IF(Q401&lt;=0.5,"Moderate ",IF(Q401&lt;=0.75,"High ","Very High ")))</f>
        <v xml:space="preserve">Very High </v>
      </c>
      <c r="S401">
        <v>0.16420000000000001</v>
      </c>
      <c r="T401" t="str">
        <f>IF(S401&lt;=0.15,"Calm",IF(S401&lt;=0.3,"Light Wind",IF(S401&lt;=0.45,"Moderate Wind","Strong Wind")))</f>
        <v>Light Wind</v>
      </c>
      <c r="U401">
        <v>3</v>
      </c>
      <c r="V401">
        <v>32</v>
      </c>
      <c r="W401">
        <v>35</v>
      </c>
      <c r="X401" t="str">
        <f>IF(W401&lt;=75,"Low Demand",IF(W401&lt;=150,"Medium Demand",IF(W401&lt;=225,"High Demand","Very High Demand")))</f>
        <v>Low Demand</v>
      </c>
    </row>
    <row r="402" spans="1:24" x14ac:dyDescent="0.25">
      <c r="A402">
        <v>401</v>
      </c>
      <c r="B402" s="2">
        <v>40561</v>
      </c>
      <c r="C402">
        <v>1</v>
      </c>
      <c r="D402">
        <v>0</v>
      </c>
      <c r="E402">
        <v>1</v>
      </c>
      <c r="F402">
        <v>16</v>
      </c>
      <c r="G402" t="str">
        <f>IF(F402&lt;6,"Night",IF(F402&lt;12,"Morning",IF(F402&lt;18,"Afternoon","Evening")))</f>
        <v>Afternoon</v>
      </c>
      <c r="H402">
        <v>0</v>
      </c>
      <c r="I402">
        <v>2</v>
      </c>
      <c r="J402" t="str">
        <f>CHOOSE(I402+1,"Monday","Tuesday","Wednesday","Thursday","Friday","Saturday","Sunday")</f>
        <v>Wednesday</v>
      </c>
      <c r="K402">
        <v>2</v>
      </c>
      <c r="L402" t="str">
        <f>CHOOSE(K402+1,"error","Clear","Misty","Rainy","Severe heater")</f>
        <v>Misty</v>
      </c>
      <c r="M402">
        <v>0.22</v>
      </c>
      <c r="N402" t="str">
        <f>IF(M402&lt;=0.2,"Low",IF(M402&lt;=0.4,"Mid","High"))</f>
        <v>Mid</v>
      </c>
      <c r="O402">
        <v>0.2273</v>
      </c>
      <c r="P402" t="str">
        <f>IF(O402&lt;=0.15,"Very Cold",IF(O402&lt;=0.3,"Cold",IF(O402&lt;=0.45,"Pleasant","Hot")))</f>
        <v>Cold</v>
      </c>
      <c r="Q402">
        <v>0.87</v>
      </c>
      <c r="R402" t="str">
        <f>IF(Q402&lt;=0.25,"Low ",IF(Q402&lt;=0.5,"Moderate ",IF(Q402&lt;=0.75,"High ","Very High ")))</f>
        <v xml:space="preserve">Very High </v>
      </c>
      <c r="S402">
        <v>0.19400000000000001</v>
      </c>
      <c r="T402" t="str">
        <f>IF(S402&lt;=0.15,"Calm",IF(S402&lt;=0.3,"Light Wind",IF(S402&lt;=0.45,"Moderate Wind","Strong Wind")))</f>
        <v>Light Wind</v>
      </c>
      <c r="U402">
        <v>0</v>
      </c>
      <c r="V402">
        <v>61</v>
      </c>
      <c r="W402">
        <v>61</v>
      </c>
      <c r="X402" t="str">
        <f>IF(W402&lt;=75,"Low Demand",IF(W402&lt;=150,"Medium Demand",IF(W402&lt;=225,"High Demand","Very High Demand")))</f>
        <v>Low Demand</v>
      </c>
    </row>
    <row r="403" spans="1:24" x14ac:dyDescent="0.25">
      <c r="A403">
        <v>402</v>
      </c>
      <c r="B403" s="2">
        <v>40561</v>
      </c>
      <c r="C403">
        <v>1</v>
      </c>
      <c r="D403">
        <v>0</v>
      </c>
      <c r="E403">
        <v>1</v>
      </c>
      <c r="F403">
        <v>17</v>
      </c>
      <c r="G403" t="str">
        <f>IF(F403&lt;6,"Night",IF(F403&lt;12,"Morning",IF(F403&lt;18,"Afternoon","Evening")))</f>
        <v>Afternoon</v>
      </c>
      <c r="H403">
        <v>0</v>
      </c>
      <c r="I403">
        <v>2</v>
      </c>
      <c r="J403" t="str">
        <f>CHOOSE(I403+1,"Monday","Tuesday","Wednesday","Thursday","Friday","Saturday","Sunday")</f>
        <v>Wednesday</v>
      </c>
      <c r="K403">
        <v>2</v>
      </c>
      <c r="L403" t="str">
        <f>CHOOSE(K403+1,"error","Clear","Misty","Rainy","Severe heater")</f>
        <v>Misty</v>
      </c>
      <c r="M403">
        <v>0.22</v>
      </c>
      <c r="N403" t="str">
        <f>IF(M403&lt;=0.2,"Low",IF(M403&lt;=0.4,"Mid","High"))</f>
        <v>Mid</v>
      </c>
      <c r="O403">
        <v>0.2273</v>
      </c>
      <c r="P403" t="str">
        <f>IF(O403&lt;=0.15,"Very Cold",IF(O403&lt;=0.3,"Cold",IF(O403&lt;=0.45,"Pleasant","Hot")))</f>
        <v>Cold</v>
      </c>
      <c r="Q403">
        <v>0.82</v>
      </c>
      <c r="R403" t="str">
        <f>IF(Q403&lt;=0.25,"Low ",IF(Q403&lt;=0.5,"Moderate ",IF(Q403&lt;=0.75,"High ","Very High ")))</f>
        <v xml:space="preserve">Very High </v>
      </c>
      <c r="S403">
        <v>0.19400000000000001</v>
      </c>
      <c r="T403" t="str">
        <f>IF(S403&lt;=0.15,"Calm",IF(S403&lt;=0.3,"Light Wind",IF(S403&lt;=0.45,"Moderate Wind","Strong Wind")))</f>
        <v>Light Wind</v>
      </c>
      <c r="U403">
        <v>1</v>
      </c>
      <c r="V403">
        <v>124</v>
      </c>
      <c r="W403">
        <v>125</v>
      </c>
      <c r="X403" t="str">
        <f>IF(W403&lt;=75,"Low Demand",IF(W403&lt;=150,"Medium Demand",IF(W403&lt;=225,"High Demand","Very High Demand")))</f>
        <v>Medium Demand</v>
      </c>
    </row>
    <row r="404" spans="1:24" x14ac:dyDescent="0.25">
      <c r="A404">
        <v>403</v>
      </c>
      <c r="B404" s="2">
        <v>40561</v>
      </c>
      <c r="C404">
        <v>1</v>
      </c>
      <c r="D404">
        <v>0</v>
      </c>
      <c r="E404">
        <v>1</v>
      </c>
      <c r="F404">
        <v>18</v>
      </c>
      <c r="G404" t="str">
        <f>IF(F404&lt;6,"Night",IF(F404&lt;12,"Morning",IF(F404&lt;18,"Afternoon","Evening")))</f>
        <v>Evening</v>
      </c>
      <c r="H404">
        <v>0</v>
      </c>
      <c r="I404">
        <v>2</v>
      </c>
      <c r="J404" t="str">
        <f>CHOOSE(I404+1,"Monday","Tuesday","Wednesday","Thursday","Friday","Saturday","Sunday")</f>
        <v>Wednesday</v>
      </c>
      <c r="K404">
        <v>2</v>
      </c>
      <c r="L404" t="str">
        <f>CHOOSE(K404+1,"error","Clear","Misty","Rainy","Severe heater")</f>
        <v>Misty</v>
      </c>
      <c r="M404">
        <v>0.22</v>
      </c>
      <c r="N404" t="str">
        <f>IF(M404&lt;=0.2,"Low",IF(M404&lt;=0.4,"Mid","High"))</f>
        <v>Mid</v>
      </c>
      <c r="O404">
        <v>0.2273</v>
      </c>
      <c r="P404" t="str">
        <f>IF(O404&lt;=0.15,"Very Cold",IF(O404&lt;=0.3,"Cold",IF(O404&lt;=0.45,"Pleasant","Hot")))</f>
        <v>Cold</v>
      </c>
      <c r="Q404">
        <v>0.8</v>
      </c>
      <c r="R404" t="str">
        <f>IF(Q404&lt;=0.25,"Low ",IF(Q404&lt;=0.5,"Moderate ",IF(Q404&lt;=0.75,"High ","Very High ")))</f>
        <v xml:space="preserve">Very High </v>
      </c>
      <c r="S404">
        <v>0.16420000000000001</v>
      </c>
      <c r="T404" t="str">
        <f>IF(S404&lt;=0.15,"Calm",IF(S404&lt;=0.3,"Light Wind",IF(S404&lt;=0.45,"Moderate Wind","Strong Wind")))</f>
        <v>Light Wind</v>
      </c>
      <c r="U404">
        <v>1</v>
      </c>
      <c r="V404">
        <v>132</v>
      </c>
      <c r="W404">
        <v>133</v>
      </c>
      <c r="X404" t="str">
        <f>IF(W404&lt;=75,"Low Demand",IF(W404&lt;=150,"Medium Demand",IF(W404&lt;=225,"High Demand","Very High Demand")))</f>
        <v>Medium Demand</v>
      </c>
    </row>
    <row r="405" spans="1:24" x14ac:dyDescent="0.25">
      <c r="A405">
        <v>404</v>
      </c>
      <c r="B405" s="2">
        <v>40561</v>
      </c>
      <c r="C405">
        <v>1</v>
      </c>
      <c r="D405">
        <v>0</v>
      </c>
      <c r="E405">
        <v>1</v>
      </c>
      <c r="F405">
        <v>19</v>
      </c>
      <c r="G405" t="str">
        <f>IF(F405&lt;6,"Night",IF(F405&lt;12,"Morning",IF(F405&lt;18,"Afternoon","Evening")))</f>
        <v>Evening</v>
      </c>
      <c r="H405">
        <v>0</v>
      </c>
      <c r="I405">
        <v>2</v>
      </c>
      <c r="J405" t="str">
        <f>CHOOSE(I405+1,"Monday","Tuesday","Wednesday","Thursday","Friday","Saturday","Sunday")</f>
        <v>Wednesday</v>
      </c>
      <c r="K405">
        <v>2</v>
      </c>
      <c r="L405" t="str">
        <f>CHOOSE(K405+1,"error","Clear","Misty","Rainy","Severe heater")</f>
        <v>Misty</v>
      </c>
      <c r="M405">
        <v>0.22</v>
      </c>
      <c r="N405" t="str">
        <f>IF(M405&lt;=0.2,"Low",IF(M405&lt;=0.4,"Mid","High"))</f>
        <v>Mid</v>
      </c>
      <c r="O405">
        <v>0.2273</v>
      </c>
      <c r="P405" t="str">
        <f>IF(O405&lt;=0.15,"Very Cold",IF(O405&lt;=0.3,"Cold",IF(O405&lt;=0.45,"Pleasant","Hot")))</f>
        <v>Cold</v>
      </c>
      <c r="Q405">
        <v>0.8</v>
      </c>
      <c r="R405" t="str">
        <f>IF(Q405&lt;=0.25,"Low ",IF(Q405&lt;=0.5,"Moderate ",IF(Q405&lt;=0.75,"High ","Very High ")))</f>
        <v xml:space="preserve">Very High </v>
      </c>
      <c r="S405">
        <v>0.1343</v>
      </c>
      <c r="T405" t="str">
        <f>IF(S405&lt;=0.15,"Calm",IF(S405&lt;=0.3,"Light Wind",IF(S405&lt;=0.45,"Moderate Wind","Strong Wind")))</f>
        <v>Calm</v>
      </c>
      <c r="U405">
        <v>1</v>
      </c>
      <c r="V405">
        <v>98</v>
      </c>
      <c r="W405">
        <v>99</v>
      </c>
      <c r="X405" t="str">
        <f>IF(W405&lt;=75,"Low Demand",IF(W405&lt;=150,"Medium Demand",IF(W405&lt;=225,"High Demand","Very High Demand")))</f>
        <v>Medium Demand</v>
      </c>
    </row>
    <row r="406" spans="1:24" x14ac:dyDescent="0.25">
      <c r="A406">
        <v>405</v>
      </c>
      <c r="B406" s="2">
        <v>40561</v>
      </c>
      <c r="C406">
        <v>1</v>
      </c>
      <c r="D406">
        <v>0</v>
      </c>
      <c r="E406">
        <v>1</v>
      </c>
      <c r="F406">
        <v>20</v>
      </c>
      <c r="G406" t="str">
        <f>IF(F406&lt;6,"Night",IF(F406&lt;12,"Morning",IF(F406&lt;18,"Afternoon","Evening")))</f>
        <v>Evening</v>
      </c>
      <c r="H406">
        <v>0</v>
      </c>
      <c r="I406">
        <v>2</v>
      </c>
      <c r="J406" t="str">
        <f>CHOOSE(I406+1,"Monday","Tuesday","Wednesday","Thursday","Friday","Saturday","Sunday")</f>
        <v>Wednesday</v>
      </c>
      <c r="K406">
        <v>2</v>
      </c>
      <c r="L406" t="str">
        <f>CHOOSE(K406+1,"error","Clear","Misty","Rainy","Severe heater")</f>
        <v>Misty</v>
      </c>
      <c r="M406">
        <v>0.22</v>
      </c>
      <c r="N406" t="str">
        <f>IF(M406&lt;=0.2,"Low",IF(M406&lt;=0.4,"Mid","High"))</f>
        <v>Mid</v>
      </c>
      <c r="O406">
        <v>0.2727</v>
      </c>
      <c r="P406" t="str">
        <f>IF(O406&lt;=0.15,"Very Cold",IF(O406&lt;=0.3,"Cold",IF(O406&lt;=0.45,"Pleasant","Hot")))</f>
        <v>Cold</v>
      </c>
      <c r="Q406">
        <v>0.87</v>
      </c>
      <c r="R406" t="str">
        <f>IF(Q406&lt;=0.25,"Low ",IF(Q406&lt;=0.5,"Moderate ",IF(Q406&lt;=0.75,"High ","Very High ")))</f>
        <v xml:space="preserve">Very High </v>
      </c>
      <c r="S406">
        <v>0</v>
      </c>
      <c r="T406" t="str">
        <f>IF(S406&lt;=0.15,"Calm",IF(S406&lt;=0.3,"Light Wind",IF(S406&lt;=0.45,"Moderate Wind","Strong Wind")))</f>
        <v>Calm</v>
      </c>
      <c r="U406">
        <v>0</v>
      </c>
      <c r="V406">
        <v>83</v>
      </c>
      <c r="W406">
        <v>83</v>
      </c>
      <c r="X406" t="str">
        <f>IF(W406&lt;=75,"Low Demand",IF(W406&lt;=150,"Medium Demand",IF(W406&lt;=225,"High Demand","Very High Demand")))</f>
        <v>Medium Demand</v>
      </c>
    </row>
    <row r="407" spans="1:24" x14ac:dyDescent="0.25">
      <c r="A407">
        <v>406</v>
      </c>
      <c r="B407" s="2">
        <v>40561</v>
      </c>
      <c r="C407">
        <v>1</v>
      </c>
      <c r="D407">
        <v>0</v>
      </c>
      <c r="E407">
        <v>1</v>
      </c>
      <c r="F407">
        <v>21</v>
      </c>
      <c r="G407" t="str">
        <f>IF(F407&lt;6,"Night",IF(F407&lt;12,"Morning",IF(F407&lt;18,"Afternoon","Evening")))</f>
        <v>Evening</v>
      </c>
      <c r="H407">
        <v>0</v>
      </c>
      <c r="I407">
        <v>2</v>
      </c>
      <c r="J407" t="str">
        <f>CHOOSE(I407+1,"Monday","Tuesday","Wednesday","Thursday","Friday","Saturday","Sunday")</f>
        <v>Wednesday</v>
      </c>
      <c r="K407">
        <v>2</v>
      </c>
      <c r="L407" t="str">
        <f>CHOOSE(K407+1,"error","Clear","Misty","Rainy","Severe heater")</f>
        <v>Misty</v>
      </c>
      <c r="M407">
        <v>0.22</v>
      </c>
      <c r="N407" t="str">
        <f>IF(M407&lt;=0.2,"Low",IF(M407&lt;=0.4,"Mid","High"))</f>
        <v>Mid</v>
      </c>
      <c r="O407">
        <v>0.2424</v>
      </c>
      <c r="P407" t="str">
        <f>IF(O407&lt;=0.15,"Very Cold",IF(O407&lt;=0.3,"Cold",IF(O407&lt;=0.45,"Pleasant","Hot")))</f>
        <v>Cold</v>
      </c>
      <c r="Q407">
        <v>0.93</v>
      </c>
      <c r="R407" t="str">
        <f>IF(Q407&lt;=0.25,"Low ",IF(Q407&lt;=0.5,"Moderate ",IF(Q407&lt;=0.75,"High ","Very High ")))</f>
        <v xml:space="preserve">Very High </v>
      </c>
      <c r="S407">
        <v>0.1045</v>
      </c>
      <c r="T407" t="str">
        <f>IF(S407&lt;=0.15,"Calm",IF(S407&lt;=0.3,"Light Wind",IF(S407&lt;=0.45,"Moderate Wind","Strong Wind")))</f>
        <v>Calm</v>
      </c>
      <c r="U407">
        <v>0</v>
      </c>
      <c r="V407">
        <v>41</v>
      </c>
      <c r="W407">
        <v>41</v>
      </c>
      <c r="X407" t="str">
        <f>IF(W407&lt;=75,"Low Demand",IF(W407&lt;=150,"Medium Demand",IF(W407&lt;=225,"High Demand","Very High Demand")))</f>
        <v>Low Demand</v>
      </c>
    </row>
    <row r="408" spans="1:24" x14ac:dyDescent="0.25">
      <c r="A408">
        <v>407</v>
      </c>
      <c r="B408" s="2">
        <v>40561</v>
      </c>
      <c r="C408">
        <v>1</v>
      </c>
      <c r="D408">
        <v>0</v>
      </c>
      <c r="E408">
        <v>1</v>
      </c>
      <c r="F408">
        <v>22</v>
      </c>
      <c r="G408" t="str">
        <f>IF(F408&lt;6,"Night",IF(F408&lt;12,"Morning",IF(F408&lt;18,"Afternoon","Evening")))</f>
        <v>Evening</v>
      </c>
      <c r="H408">
        <v>0</v>
      </c>
      <c r="I408">
        <v>2</v>
      </c>
      <c r="J408" t="str">
        <f>CHOOSE(I408+1,"Monday","Tuesday","Wednesday","Thursday","Friday","Saturday","Sunday")</f>
        <v>Wednesday</v>
      </c>
      <c r="K408">
        <v>2</v>
      </c>
      <c r="L408" t="str">
        <f>CHOOSE(K408+1,"error","Clear","Misty","Rainy","Severe heater")</f>
        <v>Misty</v>
      </c>
      <c r="M408">
        <v>0.22</v>
      </c>
      <c r="N408" t="str">
        <f>IF(M408&lt;=0.2,"Low",IF(M408&lt;=0.4,"Mid","High"))</f>
        <v>Mid</v>
      </c>
      <c r="O408">
        <v>0.2576</v>
      </c>
      <c r="P408" t="str">
        <f>IF(O408&lt;=0.15,"Very Cold",IF(O408&lt;=0.3,"Cold",IF(O408&lt;=0.45,"Pleasant","Hot")))</f>
        <v>Cold</v>
      </c>
      <c r="Q408">
        <v>0.93</v>
      </c>
      <c r="R408" t="str">
        <f>IF(Q408&lt;=0.25,"Low ",IF(Q408&lt;=0.5,"Moderate ",IF(Q408&lt;=0.75,"High ","Very High ")))</f>
        <v xml:space="preserve">Very High </v>
      </c>
      <c r="S408">
        <v>8.9599999999999999E-2</v>
      </c>
      <c r="T408" t="str">
        <f>IF(S408&lt;=0.15,"Calm",IF(S408&lt;=0.3,"Light Wind",IF(S408&lt;=0.45,"Moderate Wind","Strong Wind")))</f>
        <v>Calm</v>
      </c>
      <c r="U408">
        <v>0</v>
      </c>
      <c r="V408">
        <v>33</v>
      </c>
      <c r="W408">
        <v>33</v>
      </c>
      <c r="X408" t="str">
        <f>IF(W408&lt;=75,"Low Demand",IF(W408&lt;=150,"Medium Demand",IF(W408&lt;=225,"High Demand","Very High Demand")))</f>
        <v>Low Demand</v>
      </c>
    </row>
    <row r="409" spans="1:24" x14ac:dyDescent="0.25">
      <c r="A409">
        <v>408</v>
      </c>
      <c r="B409" s="2">
        <v>40561</v>
      </c>
      <c r="C409">
        <v>1</v>
      </c>
      <c r="D409">
        <v>0</v>
      </c>
      <c r="E409">
        <v>1</v>
      </c>
      <c r="F409">
        <v>23</v>
      </c>
      <c r="G409" t="str">
        <f>IF(F409&lt;6,"Night",IF(F409&lt;12,"Morning",IF(F409&lt;18,"Afternoon","Evening")))</f>
        <v>Evening</v>
      </c>
      <c r="H409">
        <v>0</v>
      </c>
      <c r="I409">
        <v>2</v>
      </c>
      <c r="J409" t="str">
        <f>CHOOSE(I409+1,"Monday","Tuesday","Wednesday","Thursday","Friday","Saturday","Sunday")</f>
        <v>Wednesday</v>
      </c>
      <c r="K409">
        <v>2</v>
      </c>
      <c r="L409" t="str">
        <f>CHOOSE(K409+1,"error","Clear","Misty","Rainy","Severe heater")</f>
        <v>Misty</v>
      </c>
      <c r="M409">
        <v>0.22</v>
      </c>
      <c r="N409" t="str">
        <f>IF(M409&lt;=0.2,"Low",IF(M409&lt;=0.4,"Mid","High"))</f>
        <v>Mid</v>
      </c>
      <c r="O409">
        <v>0.2727</v>
      </c>
      <c r="P409" t="str">
        <f>IF(O409&lt;=0.15,"Very Cold",IF(O409&lt;=0.3,"Cold",IF(O409&lt;=0.45,"Pleasant","Hot")))</f>
        <v>Cold</v>
      </c>
      <c r="Q409">
        <v>0.93</v>
      </c>
      <c r="R409" t="str">
        <f>IF(Q409&lt;=0.25,"Low ",IF(Q409&lt;=0.5,"Moderate ",IF(Q409&lt;=0.75,"High ","Very High ")))</f>
        <v xml:space="preserve">Very High </v>
      </c>
      <c r="S409">
        <v>0</v>
      </c>
      <c r="T409" t="str">
        <f>IF(S409&lt;=0.15,"Calm",IF(S409&lt;=0.3,"Light Wind",IF(S409&lt;=0.45,"Moderate Wind","Strong Wind")))</f>
        <v>Calm</v>
      </c>
      <c r="U409">
        <v>1</v>
      </c>
      <c r="V409">
        <v>19</v>
      </c>
      <c r="W409">
        <v>20</v>
      </c>
      <c r="X409" t="str">
        <f>IF(W409&lt;=75,"Low Demand",IF(W409&lt;=150,"Medium Demand",IF(W409&lt;=225,"High Demand","Very High Demand")))</f>
        <v>Low Demand</v>
      </c>
    </row>
    <row r="410" spans="1:24" x14ac:dyDescent="0.25">
      <c r="A410">
        <v>409</v>
      </c>
      <c r="B410" s="2">
        <v>40562</v>
      </c>
      <c r="C410">
        <v>1</v>
      </c>
      <c r="D410">
        <v>0</v>
      </c>
      <c r="E410">
        <v>1</v>
      </c>
      <c r="F410">
        <v>0</v>
      </c>
      <c r="G410" t="str">
        <f>IF(F410&lt;6,"Night",IF(F410&lt;12,"Morning",IF(F410&lt;18,"Afternoon","Evening")))</f>
        <v>Night</v>
      </c>
      <c r="H410">
        <v>0</v>
      </c>
      <c r="I410">
        <v>3</v>
      </c>
      <c r="J410" t="str">
        <f>CHOOSE(I410+1,"Monday","Tuesday","Wednesday","Thursday","Friday","Saturday","Sunday")</f>
        <v>Thursday</v>
      </c>
      <c r="K410">
        <v>2</v>
      </c>
      <c r="L410" t="str">
        <f>CHOOSE(K410+1,"error","Clear","Misty","Rainy","Severe heater")</f>
        <v>Misty</v>
      </c>
      <c r="M410">
        <v>0.22</v>
      </c>
      <c r="N410" t="str">
        <f>IF(M410&lt;=0.2,"Low",IF(M410&lt;=0.4,"Mid","High"))</f>
        <v>Mid</v>
      </c>
      <c r="O410">
        <v>0.2727</v>
      </c>
      <c r="P410" t="str">
        <f>IF(O410&lt;=0.15,"Very Cold",IF(O410&lt;=0.3,"Cold",IF(O410&lt;=0.45,"Pleasant","Hot")))</f>
        <v>Cold</v>
      </c>
      <c r="Q410">
        <v>0.93</v>
      </c>
      <c r="R410" t="str">
        <f>IF(Q410&lt;=0.25,"Low ",IF(Q410&lt;=0.5,"Moderate ",IF(Q410&lt;=0.75,"High ","Very High ")))</f>
        <v xml:space="preserve">Very High </v>
      </c>
      <c r="S410">
        <v>0</v>
      </c>
      <c r="T410" t="str">
        <f>IF(S410&lt;=0.15,"Calm",IF(S410&lt;=0.3,"Light Wind",IF(S410&lt;=0.45,"Moderate Wind","Strong Wind")))</f>
        <v>Calm</v>
      </c>
      <c r="U410">
        <v>0</v>
      </c>
      <c r="V410">
        <v>3</v>
      </c>
      <c r="W410">
        <v>3</v>
      </c>
      <c r="X410" t="str">
        <f>IF(W410&lt;=75,"Low Demand",IF(W410&lt;=150,"Medium Demand",IF(W410&lt;=225,"High Demand","Very High Demand")))</f>
        <v>Low Demand</v>
      </c>
    </row>
    <row r="411" spans="1:24" x14ac:dyDescent="0.25">
      <c r="A411">
        <v>410</v>
      </c>
      <c r="B411" s="2">
        <v>40562</v>
      </c>
      <c r="C411">
        <v>1</v>
      </c>
      <c r="D411">
        <v>0</v>
      </c>
      <c r="E411">
        <v>1</v>
      </c>
      <c r="F411">
        <v>1</v>
      </c>
      <c r="G411" t="str">
        <f>IF(F411&lt;6,"Night",IF(F411&lt;12,"Morning",IF(F411&lt;18,"Afternoon","Evening")))</f>
        <v>Night</v>
      </c>
      <c r="H411">
        <v>0</v>
      </c>
      <c r="I411">
        <v>3</v>
      </c>
      <c r="J411" t="str">
        <f>CHOOSE(I411+1,"Monday","Tuesday","Wednesday","Thursday","Friday","Saturday","Sunday")</f>
        <v>Thursday</v>
      </c>
      <c r="K411">
        <v>3</v>
      </c>
      <c r="L411" t="str">
        <f>CHOOSE(K411+1,"error","Clear","Misty","Rainy","Severe heater")</f>
        <v>Rainy</v>
      </c>
      <c r="M411">
        <v>0.22</v>
      </c>
      <c r="N411" t="str">
        <f>IF(M411&lt;=0.2,"Low",IF(M411&lt;=0.4,"Mid","High"))</f>
        <v>Mid</v>
      </c>
      <c r="O411">
        <v>0.2273</v>
      </c>
      <c r="P411" t="str">
        <f>IF(O411&lt;=0.15,"Very Cold",IF(O411&lt;=0.3,"Cold",IF(O411&lt;=0.45,"Pleasant","Hot")))</f>
        <v>Cold</v>
      </c>
      <c r="Q411">
        <v>0.93</v>
      </c>
      <c r="R411" t="str">
        <f>IF(Q411&lt;=0.25,"Low ",IF(Q411&lt;=0.5,"Moderate ",IF(Q411&lt;=0.75,"High ","Very High ")))</f>
        <v xml:space="preserve">Very High </v>
      </c>
      <c r="S411">
        <v>0.1343</v>
      </c>
      <c r="T411" t="str">
        <f>IF(S411&lt;=0.15,"Calm",IF(S411&lt;=0.3,"Light Wind",IF(S411&lt;=0.45,"Moderate Wind","Strong Wind")))</f>
        <v>Calm</v>
      </c>
      <c r="U411">
        <v>1</v>
      </c>
      <c r="V411">
        <v>6</v>
      </c>
      <c r="W411">
        <v>7</v>
      </c>
      <c r="X411" t="str">
        <f>IF(W411&lt;=75,"Low Demand",IF(W411&lt;=150,"Medium Demand",IF(W411&lt;=225,"High Demand","Very High Demand")))</f>
        <v>Low Demand</v>
      </c>
    </row>
    <row r="412" spans="1:24" x14ac:dyDescent="0.25">
      <c r="A412">
        <v>411</v>
      </c>
      <c r="B412" s="2">
        <v>40562</v>
      </c>
      <c r="C412">
        <v>1</v>
      </c>
      <c r="D412">
        <v>0</v>
      </c>
      <c r="E412">
        <v>1</v>
      </c>
      <c r="F412">
        <v>2</v>
      </c>
      <c r="G412" t="str">
        <f>IF(F412&lt;6,"Night",IF(F412&lt;12,"Morning",IF(F412&lt;18,"Afternoon","Evening")))</f>
        <v>Night</v>
      </c>
      <c r="H412">
        <v>0</v>
      </c>
      <c r="I412">
        <v>3</v>
      </c>
      <c r="J412" t="str">
        <f>CHOOSE(I412+1,"Monday","Tuesday","Wednesday","Thursday","Friday","Saturday","Sunday")</f>
        <v>Thursday</v>
      </c>
      <c r="K412">
        <v>3</v>
      </c>
      <c r="L412" t="str">
        <f>CHOOSE(K412+1,"error","Clear","Misty","Rainy","Severe heater")</f>
        <v>Rainy</v>
      </c>
      <c r="M412">
        <v>0.22</v>
      </c>
      <c r="N412" t="str">
        <f>IF(M412&lt;=0.2,"Low",IF(M412&lt;=0.4,"Mid","High"))</f>
        <v>Mid</v>
      </c>
      <c r="O412">
        <v>0.2273</v>
      </c>
      <c r="P412" t="str">
        <f>IF(O412&lt;=0.15,"Very Cold",IF(O412&lt;=0.3,"Cold",IF(O412&lt;=0.45,"Pleasant","Hot")))</f>
        <v>Cold</v>
      </c>
      <c r="Q412">
        <v>0.93</v>
      </c>
      <c r="R412" t="str">
        <f>IF(Q412&lt;=0.25,"Low ",IF(Q412&lt;=0.5,"Moderate ",IF(Q412&lt;=0.75,"High ","Very High ")))</f>
        <v xml:space="preserve">Very High </v>
      </c>
      <c r="S412">
        <v>0.1343</v>
      </c>
      <c r="T412" t="str">
        <f>IF(S412&lt;=0.15,"Calm",IF(S412&lt;=0.3,"Light Wind",IF(S412&lt;=0.45,"Moderate Wind","Strong Wind")))</f>
        <v>Calm</v>
      </c>
      <c r="U412">
        <v>0</v>
      </c>
      <c r="V412">
        <v>3</v>
      </c>
      <c r="W412">
        <v>3</v>
      </c>
      <c r="X412" t="str">
        <f>IF(W412&lt;=75,"Low Demand",IF(W412&lt;=150,"Medium Demand",IF(W412&lt;=225,"High Demand","Very High Demand")))</f>
        <v>Low Demand</v>
      </c>
    </row>
    <row r="413" spans="1:24" x14ac:dyDescent="0.25">
      <c r="A413">
        <v>412</v>
      </c>
      <c r="B413" s="2">
        <v>40562</v>
      </c>
      <c r="C413">
        <v>1</v>
      </c>
      <c r="D413">
        <v>0</v>
      </c>
      <c r="E413">
        <v>1</v>
      </c>
      <c r="F413">
        <v>4</v>
      </c>
      <c r="G413" t="str">
        <f>IF(F413&lt;6,"Night",IF(F413&lt;12,"Morning",IF(F413&lt;18,"Afternoon","Evening")))</f>
        <v>Night</v>
      </c>
      <c r="H413">
        <v>0</v>
      </c>
      <c r="I413">
        <v>3</v>
      </c>
      <c r="J413" t="str">
        <f>CHOOSE(I413+1,"Monday","Tuesday","Wednesday","Thursday","Friday","Saturday","Sunday")</f>
        <v>Thursday</v>
      </c>
      <c r="K413">
        <v>3</v>
      </c>
      <c r="L413" t="str">
        <f>CHOOSE(K413+1,"error","Clear","Misty","Rainy","Severe heater")</f>
        <v>Rainy</v>
      </c>
      <c r="M413">
        <v>0.22</v>
      </c>
      <c r="N413" t="str">
        <f>IF(M413&lt;=0.2,"Low",IF(M413&lt;=0.4,"Mid","High"))</f>
        <v>Mid</v>
      </c>
      <c r="O413">
        <v>0.2273</v>
      </c>
      <c r="P413" t="str">
        <f>IF(O413&lt;=0.15,"Very Cold",IF(O413&lt;=0.3,"Cold",IF(O413&lt;=0.45,"Pleasant","Hot")))</f>
        <v>Cold</v>
      </c>
      <c r="Q413">
        <v>0.93</v>
      </c>
      <c r="R413" t="str">
        <f>IF(Q413&lt;=0.25,"Low ",IF(Q413&lt;=0.5,"Moderate ",IF(Q413&lt;=0.75,"High ","Very High ")))</f>
        <v xml:space="preserve">Very High </v>
      </c>
      <c r="S413">
        <v>0.1343</v>
      </c>
      <c r="T413" t="str">
        <f>IF(S413&lt;=0.15,"Calm",IF(S413&lt;=0.3,"Light Wind",IF(S413&lt;=0.45,"Moderate Wind","Strong Wind")))</f>
        <v>Calm</v>
      </c>
      <c r="U413">
        <v>1</v>
      </c>
      <c r="V413">
        <v>1</v>
      </c>
      <c r="W413">
        <v>2</v>
      </c>
      <c r="X413" t="str">
        <f>IF(W413&lt;=75,"Low Demand",IF(W413&lt;=150,"Medium Demand",IF(W413&lt;=225,"High Demand","Very High Demand")))</f>
        <v>Low Demand</v>
      </c>
    </row>
    <row r="414" spans="1:24" x14ac:dyDescent="0.25">
      <c r="A414">
        <v>413</v>
      </c>
      <c r="B414" s="2">
        <v>40562</v>
      </c>
      <c r="C414">
        <v>1</v>
      </c>
      <c r="D414">
        <v>0</v>
      </c>
      <c r="E414">
        <v>1</v>
      </c>
      <c r="F414">
        <v>5</v>
      </c>
      <c r="G414" t="str">
        <f>IF(F414&lt;6,"Night",IF(F414&lt;12,"Morning",IF(F414&lt;18,"Afternoon","Evening")))</f>
        <v>Night</v>
      </c>
      <c r="H414">
        <v>0</v>
      </c>
      <c r="I414">
        <v>3</v>
      </c>
      <c r="J414" t="str">
        <f>CHOOSE(I414+1,"Monday","Tuesday","Wednesday","Thursday","Friday","Saturday","Sunday")</f>
        <v>Thursday</v>
      </c>
      <c r="K414">
        <v>2</v>
      </c>
      <c r="L414" t="str">
        <f>CHOOSE(K414+1,"error","Clear","Misty","Rainy","Severe heater")</f>
        <v>Misty</v>
      </c>
      <c r="M414">
        <v>0.22</v>
      </c>
      <c r="N414" t="str">
        <f>IF(M414&lt;=0.2,"Low",IF(M414&lt;=0.4,"Mid","High"))</f>
        <v>Mid</v>
      </c>
      <c r="O414">
        <v>0.2576</v>
      </c>
      <c r="P414" t="str">
        <f>IF(O414&lt;=0.15,"Very Cold",IF(O414&lt;=0.3,"Cold",IF(O414&lt;=0.45,"Pleasant","Hot")))</f>
        <v>Cold</v>
      </c>
      <c r="Q414">
        <v>0.93</v>
      </c>
      <c r="R414" t="str">
        <f>IF(Q414&lt;=0.25,"Low ",IF(Q414&lt;=0.5,"Moderate ",IF(Q414&lt;=0.75,"High ","Very High ")))</f>
        <v xml:space="preserve">Very High </v>
      </c>
      <c r="S414">
        <v>8.9599999999999999E-2</v>
      </c>
      <c r="T414" t="str">
        <f>IF(S414&lt;=0.15,"Calm",IF(S414&lt;=0.3,"Light Wind",IF(S414&lt;=0.45,"Moderate Wind","Strong Wind")))</f>
        <v>Calm</v>
      </c>
      <c r="U414">
        <v>0</v>
      </c>
      <c r="V414">
        <v>7</v>
      </c>
      <c r="W414">
        <v>7</v>
      </c>
      <c r="X414" t="str">
        <f>IF(W414&lt;=75,"Low Demand",IF(W414&lt;=150,"Medium Demand",IF(W414&lt;=225,"High Demand","Very High Demand")))</f>
        <v>Low Demand</v>
      </c>
    </row>
    <row r="415" spans="1:24" x14ac:dyDescent="0.25">
      <c r="A415">
        <v>414</v>
      </c>
      <c r="B415" s="2">
        <v>40562</v>
      </c>
      <c r="C415">
        <v>1</v>
      </c>
      <c r="D415">
        <v>0</v>
      </c>
      <c r="E415">
        <v>1</v>
      </c>
      <c r="F415">
        <v>6</v>
      </c>
      <c r="G415" t="str">
        <f>IF(F415&lt;6,"Night",IF(F415&lt;12,"Morning",IF(F415&lt;18,"Afternoon","Evening")))</f>
        <v>Morning</v>
      </c>
      <c r="H415">
        <v>0</v>
      </c>
      <c r="I415">
        <v>3</v>
      </c>
      <c r="J415" t="str">
        <f>CHOOSE(I415+1,"Monday","Tuesday","Wednesday","Thursday","Friday","Saturday","Sunday")</f>
        <v>Thursday</v>
      </c>
      <c r="K415">
        <v>2</v>
      </c>
      <c r="L415" t="str">
        <f>CHOOSE(K415+1,"error","Clear","Misty","Rainy","Severe heater")</f>
        <v>Misty</v>
      </c>
      <c r="M415">
        <v>0.22</v>
      </c>
      <c r="N415" t="str">
        <f>IF(M415&lt;=0.2,"Low",IF(M415&lt;=0.4,"Mid","High"))</f>
        <v>Mid</v>
      </c>
      <c r="O415">
        <v>0.2576</v>
      </c>
      <c r="P415" t="str">
        <f>IF(O415&lt;=0.15,"Very Cold",IF(O415&lt;=0.3,"Cold",IF(O415&lt;=0.45,"Pleasant","Hot")))</f>
        <v>Cold</v>
      </c>
      <c r="Q415">
        <v>0.93</v>
      </c>
      <c r="R415" t="str">
        <f>IF(Q415&lt;=0.25,"Low ",IF(Q415&lt;=0.5,"Moderate ",IF(Q415&lt;=0.75,"High ","Very High ")))</f>
        <v xml:space="preserve">Very High </v>
      </c>
      <c r="S415">
        <v>8.9599999999999999E-2</v>
      </c>
      <c r="T415" t="str">
        <f>IF(S415&lt;=0.15,"Calm",IF(S415&lt;=0.3,"Light Wind",IF(S415&lt;=0.45,"Moderate Wind","Strong Wind")))</f>
        <v>Calm</v>
      </c>
      <c r="U415">
        <v>0</v>
      </c>
      <c r="V415">
        <v>32</v>
      </c>
      <c r="W415">
        <v>32</v>
      </c>
      <c r="X415" t="str">
        <f>IF(W415&lt;=75,"Low Demand",IF(W415&lt;=150,"Medium Demand",IF(W415&lt;=225,"High Demand","Very High Demand")))</f>
        <v>Low Demand</v>
      </c>
    </row>
    <row r="416" spans="1:24" x14ac:dyDescent="0.25">
      <c r="A416">
        <v>415</v>
      </c>
      <c r="B416" s="2">
        <v>40562</v>
      </c>
      <c r="C416">
        <v>1</v>
      </c>
      <c r="D416">
        <v>0</v>
      </c>
      <c r="E416">
        <v>1</v>
      </c>
      <c r="F416">
        <v>7</v>
      </c>
      <c r="G416" t="str">
        <f>IF(F416&lt;6,"Night",IF(F416&lt;12,"Morning",IF(F416&lt;18,"Afternoon","Evening")))</f>
        <v>Morning</v>
      </c>
      <c r="H416">
        <v>0</v>
      </c>
      <c r="I416">
        <v>3</v>
      </c>
      <c r="J416" t="str">
        <f>CHOOSE(I416+1,"Monday","Tuesday","Wednesday","Thursday","Friday","Saturday","Sunday")</f>
        <v>Thursday</v>
      </c>
      <c r="K416">
        <v>2</v>
      </c>
      <c r="L416" t="str">
        <f>CHOOSE(K416+1,"error","Clear","Misty","Rainy","Severe heater")</f>
        <v>Misty</v>
      </c>
      <c r="M416">
        <v>0.24</v>
      </c>
      <c r="N416" t="str">
        <f>IF(M416&lt;=0.2,"Low",IF(M416&lt;=0.4,"Mid","High"))</f>
        <v>Mid</v>
      </c>
      <c r="O416">
        <v>0.2576</v>
      </c>
      <c r="P416" t="str">
        <f>IF(O416&lt;=0.15,"Very Cold",IF(O416&lt;=0.3,"Cold",IF(O416&lt;=0.45,"Pleasant","Hot")))</f>
        <v>Cold</v>
      </c>
      <c r="Q416">
        <v>0.92</v>
      </c>
      <c r="R416" t="str">
        <f>IF(Q416&lt;=0.25,"Low ",IF(Q416&lt;=0.5,"Moderate ",IF(Q416&lt;=0.75,"High ","Very High ")))</f>
        <v xml:space="preserve">Very High </v>
      </c>
      <c r="S416">
        <v>0.1045</v>
      </c>
      <c r="T416" t="str">
        <f>IF(S416&lt;=0.15,"Calm",IF(S416&lt;=0.3,"Light Wind",IF(S416&lt;=0.45,"Moderate Wind","Strong Wind")))</f>
        <v>Calm</v>
      </c>
      <c r="U416">
        <v>1</v>
      </c>
      <c r="V416">
        <v>89</v>
      </c>
      <c r="W416">
        <v>90</v>
      </c>
      <c r="X416" t="str">
        <f>IF(W416&lt;=75,"Low Demand",IF(W416&lt;=150,"Medium Demand",IF(W416&lt;=225,"High Demand","Very High Demand")))</f>
        <v>Medium Demand</v>
      </c>
    </row>
    <row r="417" spans="1:24" x14ac:dyDescent="0.25">
      <c r="A417">
        <v>416</v>
      </c>
      <c r="B417" s="2">
        <v>40562</v>
      </c>
      <c r="C417">
        <v>1</v>
      </c>
      <c r="D417">
        <v>0</v>
      </c>
      <c r="E417">
        <v>1</v>
      </c>
      <c r="F417">
        <v>8</v>
      </c>
      <c r="G417" t="str">
        <f>IF(F417&lt;6,"Night",IF(F417&lt;12,"Morning",IF(F417&lt;18,"Afternoon","Evening")))</f>
        <v>Morning</v>
      </c>
      <c r="H417">
        <v>0</v>
      </c>
      <c r="I417">
        <v>3</v>
      </c>
      <c r="J417" t="str">
        <f>CHOOSE(I417+1,"Monday","Tuesday","Wednesday","Thursday","Friday","Saturday","Sunday")</f>
        <v>Thursday</v>
      </c>
      <c r="K417">
        <v>2</v>
      </c>
      <c r="L417" t="str">
        <f>CHOOSE(K417+1,"error","Clear","Misty","Rainy","Severe heater")</f>
        <v>Misty</v>
      </c>
      <c r="M417">
        <v>0.24</v>
      </c>
      <c r="N417" t="str">
        <f>IF(M417&lt;=0.2,"Low",IF(M417&lt;=0.4,"Mid","High"))</f>
        <v>Mid</v>
      </c>
      <c r="O417">
        <v>0.2576</v>
      </c>
      <c r="P417" t="str">
        <f>IF(O417&lt;=0.15,"Very Cold",IF(O417&lt;=0.3,"Cold",IF(O417&lt;=0.45,"Pleasant","Hot")))</f>
        <v>Cold</v>
      </c>
      <c r="Q417">
        <v>0.93</v>
      </c>
      <c r="R417" t="str">
        <f>IF(Q417&lt;=0.25,"Low ",IF(Q417&lt;=0.5,"Moderate ",IF(Q417&lt;=0.75,"High ","Very High ")))</f>
        <v xml:space="preserve">Very High </v>
      </c>
      <c r="S417">
        <v>0.1045</v>
      </c>
      <c r="T417" t="str">
        <f>IF(S417&lt;=0.15,"Calm",IF(S417&lt;=0.3,"Light Wind",IF(S417&lt;=0.45,"Moderate Wind","Strong Wind")))</f>
        <v>Calm</v>
      </c>
      <c r="U417">
        <v>1</v>
      </c>
      <c r="V417">
        <v>196</v>
      </c>
      <c r="W417">
        <v>197</v>
      </c>
      <c r="X417" t="str">
        <f>IF(W417&lt;=75,"Low Demand",IF(W417&lt;=150,"Medium Demand",IF(W417&lt;=225,"High Demand","Very High Demand")))</f>
        <v>High Demand</v>
      </c>
    </row>
    <row r="418" spans="1:24" x14ac:dyDescent="0.25">
      <c r="A418">
        <v>417</v>
      </c>
      <c r="B418" s="2">
        <v>40562</v>
      </c>
      <c r="C418">
        <v>1</v>
      </c>
      <c r="D418">
        <v>0</v>
      </c>
      <c r="E418">
        <v>1</v>
      </c>
      <c r="F418">
        <v>9</v>
      </c>
      <c r="G418" t="str">
        <f>IF(F418&lt;6,"Night",IF(F418&lt;12,"Morning",IF(F418&lt;18,"Afternoon","Evening")))</f>
        <v>Morning</v>
      </c>
      <c r="H418">
        <v>0</v>
      </c>
      <c r="I418">
        <v>3</v>
      </c>
      <c r="J418" t="str">
        <f>CHOOSE(I418+1,"Monday","Tuesday","Wednesday","Thursday","Friday","Saturday","Sunday")</f>
        <v>Thursday</v>
      </c>
      <c r="K418">
        <v>2</v>
      </c>
      <c r="L418" t="str">
        <f>CHOOSE(K418+1,"error","Clear","Misty","Rainy","Severe heater")</f>
        <v>Misty</v>
      </c>
      <c r="M418">
        <v>0.24</v>
      </c>
      <c r="N418" t="str">
        <f>IF(M418&lt;=0.2,"Low",IF(M418&lt;=0.4,"Mid","High"))</f>
        <v>Mid</v>
      </c>
      <c r="O418">
        <v>0.2576</v>
      </c>
      <c r="P418" t="str">
        <f>IF(O418&lt;=0.15,"Very Cold",IF(O418&lt;=0.3,"Cold",IF(O418&lt;=0.45,"Pleasant","Hot")))</f>
        <v>Cold</v>
      </c>
      <c r="Q418">
        <v>0.93</v>
      </c>
      <c r="R418" t="str">
        <f>IF(Q418&lt;=0.25,"Low ",IF(Q418&lt;=0.5,"Moderate ",IF(Q418&lt;=0.75,"High ","Very High ")))</f>
        <v xml:space="preserve">Very High </v>
      </c>
      <c r="S418">
        <v>0.1045</v>
      </c>
      <c r="T418" t="str">
        <f>IF(S418&lt;=0.15,"Calm",IF(S418&lt;=0.3,"Light Wind",IF(S418&lt;=0.45,"Moderate Wind","Strong Wind")))</f>
        <v>Calm</v>
      </c>
      <c r="U418">
        <v>2</v>
      </c>
      <c r="V418">
        <v>107</v>
      </c>
      <c r="W418">
        <v>109</v>
      </c>
      <c r="X418" t="str">
        <f>IF(W418&lt;=75,"Low Demand",IF(W418&lt;=150,"Medium Demand",IF(W418&lt;=225,"High Demand","Very High Demand")))</f>
        <v>Medium Demand</v>
      </c>
    </row>
    <row r="419" spans="1:24" x14ac:dyDescent="0.25">
      <c r="A419">
        <v>418</v>
      </c>
      <c r="B419" s="2">
        <v>40562</v>
      </c>
      <c r="C419">
        <v>1</v>
      </c>
      <c r="D419">
        <v>0</v>
      </c>
      <c r="E419">
        <v>1</v>
      </c>
      <c r="F419">
        <v>10</v>
      </c>
      <c r="G419" t="str">
        <f>IF(F419&lt;6,"Night",IF(F419&lt;12,"Morning",IF(F419&lt;18,"Afternoon","Evening")))</f>
        <v>Morning</v>
      </c>
      <c r="H419">
        <v>0</v>
      </c>
      <c r="I419">
        <v>3</v>
      </c>
      <c r="J419" t="str">
        <f>CHOOSE(I419+1,"Monday","Tuesday","Wednesday","Thursday","Friday","Saturday","Sunday")</f>
        <v>Thursday</v>
      </c>
      <c r="K419">
        <v>2</v>
      </c>
      <c r="L419" t="str">
        <f>CHOOSE(K419+1,"error","Clear","Misty","Rainy","Severe heater")</f>
        <v>Misty</v>
      </c>
      <c r="M419">
        <v>0.26</v>
      </c>
      <c r="N419" t="str">
        <f>IF(M419&lt;=0.2,"Low",IF(M419&lt;=0.4,"Mid","High"))</f>
        <v>Mid</v>
      </c>
      <c r="O419">
        <v>0.2727</v>
      </c>
      <c r="P419" t="str">
        <f>IF(O419&lt;=0.15,"Very Cold",IF(O419&lt;=0.3,"Cold",IF(O419&lt;=0.45,"Pleasant","Hot")))</f>
        <v>Cold</v>
      </c>
      <c r="Q419">
        <v>0.93</v>
      </c>
      <c r="R419" t="str">
        <f>IF(Q419&lt;=0.25,"Low ",IF(Q419&lt;=0.5,"Moderate ",IF(Q419&lt;=0.75,"High ","Very High ")))</f>
        <v xml:space="preserve">Very High </v>
      </c>
      <c r="S419">
        <v>0.1343</v>
      </c>
      <c r="T419" t="str">
        <f>IF(S419&lt;=0.15,"Calm",IF(S419&lt;=0.3,"Light Wind",IF(S419&lt;=0.45,"Moderate Wind","Strong Wind")))</f>
        <v>Calm</v>
      </c>
      <c r="U419">
        <v>1</v>
      </c>
      <c r="V419">
        <v>46</v>
      </c>
      <c r="W419">
        <v>47</v>
      </c>
      <c r="X419" t="str">
        <f>IF(W419&lt;=75,"Low Demand",IF(W419&lt;=150,"Medium Demand",IF(W419&lt;=225,"High Demand","Very High Demand")))</f>
        <v>Low Demand</v>
      </c>
    </row>
    <row r="420" spans="1:24" x14ac:dyDescent="0.25">
      <c r="A420">
        <v>419</v>
      </c>
      <c r="B420" s="2">
        <v>40562</v>
      </c>
      <c r="C420">
        <v>1</v>
      </c>
      <c r="D420">
        <v>0</v>
      </c>
      <c r="E420">
        <v>1</v>
      </c>
      <c r="F420">
        <v>11</v>
      </c>
      <c r="G420" t="str">
        <f>IF(F420&lt;6,"Night",IF(F420&lt;12,"Morning",IF(F420&lt;18,"Afternoon","Evening")))</f>
        <v>Morning</v>
      </c>
      <c r="H420">
        <v>0</v>
      </c>
      <c r="I420">
        <v>3</v>
      </c>
      <c r="J420" t="str">
        <f>CHOOSE(I420+1,"Monday","Tuesday","Wednesday","Thursday","Friday","Saturday","Sunday")</f>
        <v>Thursday</v>
      </c>
      <c r="K420">
        <v>2</v>
      </c>
      <c r="L420" t="str">
        <f>CHOOSE(K420+1,"error","Clear","Misty","Rainy","Severe heater")</f>
        <v>Misty</v>
      </c>
      <c r="M420">
        <v>0.28000000000000003</v>
      </c>
      <c r="N420" t="str">
        <f>IF(M420&lt;=0.2,"Low",IF(M420&lt;=0.4,"Mid","High"))</f>
        <v>Mid</v>
      </c>
      <c r="O420">
        <v>0.30299999999999999</v>
      </c>
      <c r="P420" t="str">
        <f>IF(O420&lt;=0.15,"Very Cold",IF(O420&lt;=0.3,"Cold",IF(O420&lt;=0.45,"Pleasant","Hot")))</f>
        <v>Pleasant</v>
      </c>
      <c r="Q420">
        <v>0.87</v>
      </c>
      <c r="R420" t="str">
        <f>IF(Q420&lt;=0.25,"Low ",IF(Q420&lt;=0.5,"Moderate ",IF(Q420&lt;=0.75,"High ","Very High ")))</f>
        <v xml:space="preserve">Very High </v>
      </c>
      <c r="S420">
        <v>8.9599999999999999E-2</v>
      </c>
      <c r="T420" t="str">
        <f>IF(S420&lt;=0.15,"Calm",IF(S420&lt;=0.3,"Light Wind",IF(S420&lt;=0.45,"Moderate Wind","Strong Wind")))</f>
        <v>Calm</v>
      </c>
      <c r="U420">
        <v>5</v>
      </c>
      <c r="V420">
        <v>47</v>
      </c>
      <c r="W420">
        <v>52</v>
      </c>
      <c r="X420" t="str">
        <f>IF(W420&lt;=75,"Low Demand",IF(W420&lt;=150,"Medium Demand",IF(W420&lt;=225,"High Demand","Very High Demand")))</f>
        <v>Low Demand</v>
      </c>
    </row>
    <row r="421" spans="1:24" x14ac:dyDescent="0.25">
      <c r="A421">
        <v>420</v>
      </c>
      <c r="B421" s="2">
        <v>40562</v>
      </c>
      <c r="C421">
        <v>1</v>
      </c>
      <c r="D421">
        <v>0</v>
      </c>
      <c r="E421">
        <v>1</v>
      </c>
      <c r="F421">
        <v>12</v>
      </c>
      <c r="G421" t="str">
        <f>IF(F421&lt;6,"Night",IF(F421&lt;12,"Morning",IF(F421&lt;18,"Afternoon","Evening")))</f>
        <v>Afternoon</v>
      </c>
      <c r="H421">
        <v>0</v>
      </c>
      <c r="I421">
        <v>3</v>
      </c>
      <c r="J421" t="str">
        <f>CHOOSE(I421+1,"Monday","Tuesday","Wednesday","Thursday","Friday","Saturday","Sunday")</f>
        <v>Thursday</v>
      </c>
      <c r="K421">
        <v>2</v>
      </c>
      <c r="L421" t="str">
        <f>CHOOSE(K421+1,"error","Clear","Misty","Rainy","Severe heater")</f>
        <v>Misty</v>
      </c>
      <c r="M421">
        <v>0.3</v>
      </c>
      <c r="N421" t="str">
        <f>IF(M421&lt;=0.2,"Low",IF(M421&lt;=0.4,"Mid","High"))</f>
        <v>Mid</v>
      </c>
      <c r="O421">
        <v>0.31819999999999998</v>
      </c>
      <c r="P421" t="str">
        <f>IF(O421&lt;=0.15,"Very Cold",IF(O421&lt;=0.3,"Cold",IF(O421&lt;=0.45,"Pleasant","Hot")))</f>
        <v>Pleasant</v>
      </c>
      <c r="Q421">
        <v>0.81</v>
      </c>
      <c r="R421" t="str">
        <f>IF(Q421&lt;=0.25,"Low ",IF(Q421&lt;=0.5,"Moderate ",IF(Q421&lt;=0.75,"High ","Very High ")))</f>
        <v xml:space="preserve">Very High </v>
      </c>
      <c r="S421">
        <v>8.9599999999999999E-2</v>
      </c>
      <c r="T421" t="str">
        <f>IF(S421&lt;=0.15,"Calm",IF(S421&lt;=0.3,"Light Wind",IF(S421&lt;=0.45,"Moderate Wind","Strong Wind")))</f>
        <v>Calm</v>
      </c>
      <c r="U421">
        <v>5</v>
      </c>
      <c r="V421">
        <v>65</v>
      </c>
      <c r="W421">
        <v>70</v>
      </c>
      <c r="X421" t="str">
        <f>IF(W421&lt;=75,"Low Demand",IF(W421&lt;=150,"Medium Demand",IF(W421&lt;=225,"High Demand","Very High Demand")))</f>
        <v>Low Demand</v>
      </c>
    </row>
    <row r="422" spans="1:24" x14ac:dyDescent="0.25">
      <c r="A422">
        <v>421</v>
      </c>
      <c r="B422" s="2">
        <v>40562</v>
      </c>
      <c r="C422">
        <v>1</v>
      </c>
      <c r="D422">
        <v>0</v>
      </c>
      <c r="E422">
        <v>1</v>
      </c>
      <c r="F422">
        <v>13</v>
      </c>
      <c r="G422" t="str">
        <f>IF(F422&lt;6,"Night",IF(F422&lt;12,"Morning",IF(F422&lt;18,"Afternoon","Evening")))</f>
        <v>Afternoon</v>
      </c>
      <c r="H422">
        <v>0</v>
      </c>
      <c r="I422">
        <v>3</v>
      </c>
      <c r="J422" t="str">
        <f>CHOOSE(I422+1,"Monday","Tuesday","Wednesday","Thursday","Friday","Saturday","Sunday")</f>
        <v>Thursday</v>
      </c>
      <c r="K422">
        <v>1</v>
      </c>
      <c r="L422" t="str">
        <f>CHOOSE(K422+1,"error","Clear","Misty","Rainy","Severe heater")</f>
        <v>Clear</v>
      </c>
      <c r="M422">
        <v>0.4</v>
      </c>
      <c r="N422" t="str">
        <f>IF(M422&lt;=0.2,"Low",IF(M422&lt;=0.4,"Mid","High"))</f>
        <v>Mid</v>
      </c>
      <c r="O422">
        <v>0.40910000000000002</v>
      </c>
      <c r="P422" t="str">
        <f>IF(O422&lt;=0.15,"Very Cold",IF(O422&lt;=0.3,"Cold",IF(O422&lt;=0.45,"Pleasant","Hot")))</f>
        <v>Pleasant</v>
      </c>
      <c r="Q422">
        <v>0.62</v>
      </c>
      <c r="R422" t="str">
        <f>IF(Q422&lt;=0.25,"Low ",IF(Q422&lt;=0.5,"Moderate ",IF(Q422&lt;=0.75,"High ","Very High ")))</f>
        <v xml:space="preserve">High </v>
      </c>
      <c r="S422">
        <v>0.28360000000000002</v>
      </c>
      <c r="T422" t="str">
        <f>IF(S422&lt;=0.15,"Calm",IF(S422&lt;=0.3,"Light Wind",IF(S422&lt;=0.45,"Moderate Wind","Strong Wind")))</f>
        <v>Light Wind</v>
      </c>
      <c r="U422">
        <v>11</v>
      </c>
      <c r="V422">
        <v>67</v>
      </c>
      <c r="W422">
        <v>78</v>
      </c>
      <c r="X422" t="str">
        <f>IF(W422&lt;=75,"Low Demand",IF(W422&lt;=150,"Medium Demand",IF(W422&lt;=225,"High Demand","Very High Demand")))</f>
        <v>Medium Demand</v>
      </c>
    </row>
    <row r="423" spans="1:24" x14ac:dyDescent="0.25">
      <c r="A423">
        <v>422</v>
      </c>
      <c r="B423" s="2">
        <v>40562</v>
      </c>
      <c r="C423">
        <v>1</v>
      </c>
      <c r="D423">
        <v>0</v>
      </c>
      <c r="E423">
        <v>1</v>
      </c>
      <c r="F423">
        <v>14</v>
      </c>
      <c r="G423" t="str">
        <f>IF(F423&lt;6,"Night",IF(F423&lt;12,"Morning",IF(F423&lt;18,"Afternoon","Evening")))</f>
        <v>Afternoon</v>
      </c>
      <c r="H423">
        <v>0</v>
      </c>
      <c r="I423">
        <v>3</v>
      </c>
      <c r="J423" t="str">
        <f>CHOOSE(I423+1,"Monday","Tuesday","Wednesday","Thursday","Friday","Saturday","Sunday")</f>
        <v>Thursday</v>
      </c>
      <c r="K423">
        <v>1</v>
      </c>
      <c r="L423" t="str">
        <f>CHOOSE(K423+1,"error","Clear","Misty","Rainy","Severe heater")</f>
        <v>Clear</v>
      </c>
      <c r="M423">
        <v>0.4</v>
      </c>
      <c r="N423" t="str">
        <f>IF(M423&lt;=0.2,"Low",IF(M423&lt;=0.4,"Mid","High"))</f>
        <v>Mid</v>
      </c>
      <c r="O423">
        <v>0.40910000000000002</v>
      </c>
      <c r="P423" t="str">
        <f>IF(O423&lt;=0.15,"Very Cold",IF(O423&lt;=0.3,"Cold",IF(O423&lt;=0.45,"Pleasant","Hot")))</f>
        <v>Pleasant</v>
      </c>
      <c r="Q423">
        <v>0.57999999999999996</v>
      </c>
      <c r="R423" t="str">
        <f>IF(Q423&lt;=0.25,"Low ",IF(Q423&lt;=0.5,"Moderate ",IF(Q423&lt;=0.75,"High ","Very High ")))</f>
        <v xml:space="preserve">High </v>
      </c>
      <c r="S423">
        <v>0.25369999999999998</v>
      </c>
      <c r="T423" t="str">
        <f>IF(S423&lt;=0.15,"Calm",IF(S423&lt;=0.3,"Light Wind",IF(S423&lt;=0.45,"Moderate Wind","Strong Wind")))</f>
        <v>Light Wind</v>
      </c>
      <c r="U423">
        <v>7</v>
      </c>
      <c r="V423">
        <v>68</v>
      </c>
      <c r="W423">
        <v>75</v>
      </c>
      <c r="X423" t="str">
        <f>IF(W423&lt;=75,"Low Demand",IF(W423&lt;=150,"Medium Demand",IF(W423&lt;=225,"High Demand","Very High Demand")))</f>
        <v>Low Demand</v>
      </c>
    </row>
    <row r="424" spans="1:24" x14ac:dyDescent="0.25">
      <c r="A424">
        <v>423</v>
      </c>
      <c r="B424" s="2">
        <v>40562</v>
      </c>
      <c r="C424">
        <v>1</v>
      </c>
      <c r="D424">
        <v>0</v>
      </c>
      <c r="E424">
        <v>1</v>
      </c>
      <c r="F424">
        <v>15</v>
      </c>
      <c r="G424" t="str">
        <f>IF(F424&lt;6,"Night",IF(F424&lt;12,"Morning",IF(F424&lt;18,"Afternoon","Evening")))</f>
        <v>Afternoon</v>
      </c>
      <c r="H424">
        <v>0</v>
      </c>
      <c r="I424">
        <v>3</v>
      </c>
      <c r="J424" t="str">
        <f>CHOOSE(I424+1,"Monday","Tuesday","Wednesday","Thursday","Friday","Saturday","Sunday")</f>
        <v>Thursday</v>
      </c>
      <c r="K424">
        <v>1</v>
      </c>
      <c r="L424" t="str">
        <f>CHOOSE(K424+1,"error","Clear","Misty","Rainy","Severe heater")</f>
        <v>Clear</v>
      </c>
      <c r="M424">
        <v>0.4</v>
      </c>
      <c r="N424" t="str">
        <f>IF(M424&lt;=0.2,"Low",IF(M424&lt;=0.4,"Mid","High"))</f>
        <v>Mid</v>
      </c>
      <c r="O424">
        <v>0.40910000000000002</v>
      </c>
      <c r="P424" t="str">
        <f>IF(O424&lt;=0.15,"Very Cold",IF(O424&lt;=0.3,"Cold",IF(O424&lt;=0.45,"Pleasant","Hot")))</f>
        <v>Pleasant</v>
      </c>
      <c r="Q424">
        <v>0.54</v>
      </c>
      <c r="R424" t="str">
        <f>IF(Q424&lt;=0.25,"Low ",IF(Q424&lt;=0.5,"Moderate ",IF(Q424&lt;=0.75,"High ","Very High ")))</f>
        <v xml:space="preserve">High </v>
      </c>
      <c r="S424">
        <v>0.28360000000000002</v>
      </c>
      <c r="T424" t="str">
        <f>IF(S424&lt;=0.15,"Calm",IF(S424&lt;=0.3,"Light Wind",IF(S424&lt;=0.45,"Moderate Wind","Strong Wind")))</f>
        <v>Light Wind</v>
      </c>
      <c r="U424">
        <v>4</v>
      </c>
      <c r="V424">
        <v>78</v>
      </c>
      <c r="W424">
        <v>82</v>
      </c>
      <c r="X424" t="str">
        <f>IF(W424&lt;=75,"Low Demand",IF(W424&lt;=150,"Medium Demand",IF(W424&lt;=225,"High Demand","Very High Demand")))</f>
        <v>Medium Demand</v>
      </c>
    </row>
    <row r="425" spans="1:24" x14ac:dyDescent="0.25">
      <c r="A425">
        <v>424</v>
      </c>
      <c r="B425" s="2">
        <v>40562</v>
      </c>
      <c r="C425">
        <v>1</v>
      </c>
      <c r="D425">
        <v>0</v>
      </c>
      <c r="E425">
        <v>1</v>
      </c>
      <c r="F425">
        <v>16</v>
      </c>
      <c r="G425" t="str">
        <f>IF(F425&lt;6,"Night",IF(F425&lt;12,"Morning",IF(F425&lt;18,"Afternoon","Evening")))</f>
        <v>Afternoon</v>
      </c>
      <c r="H425">
        <v>0</v>
      </c>
      <c r="I425">
        <v>3</v>
      </c>
      <c r="J425" t="str">
        <f>CHOOSE(I425+1,"Monday","Tuesday","Wednesday","Thursday","Friday","Saturday","Sunday")</f>
        <v>Thursday</v>
      </c>
      <c r="K425">
        <v>1</v>
      </c>
      <c r="L425" t="str">
        <f>CHOOSE(K425+1,"error","Clear","Misty","Rainy","Severe heater")</f>
        <v>Clear</v>
      </c>
      <c r="M425">
        <v>0.38</v>
      </c>
      <c r="N425" t="str">
        <f>IF(M425&lt;=0.2,"Low",IF(M425&lt;=0.4,"Mid","High"))</f>
        <v>Mid</v>
      </c>
      <c r="O425">
        <v>0.39389999999999997</v>
      </c>
      <c r="P425" t="str">
        <f>IF(O425&lt;=0.15,"Very Cold",IF(O425&lt;=0.3,"Cold",IF(O425&lt;=0.45,"Pleasant","Hot")))</f>
        <v>Pleasant</v>
      </c>
      <c r="Q425">
        <v>0.57999999999999996</v>
      </c>
      <c r="R425" t="str">
        <f>IF(Q425&lt;=0.25,"Low ",IF(Q425&lt;=0.5,"Moderate ",IF(Q425&lt;=0.75,"High ","Very High ")))</f>
        <v xml:space="preserve">High </v>
      </c>
      <c r="S425">
        <v>0.3881</v>
      </c>
      <c r="T425" t="str">
        <f>IF(S425&lt;=0.15,"Calm",IF(S425&lt;=0.3,"Light Wind",IF(S425&lt;=0.45,"Moderate Wind","Strong Wind")))</f>
        <v>Moderate Wind</v>
      </c>
      <c r="U425">
        <v>10</v>
      </c>
      <c r="V425">
        <v>94</v>
      </c>
      <c r="W425">
        <v>104</v>
      </c>
      <c r="X425" t="str">
        <f>IF(W425&lt;=75,"Low Demand",IF(W425&lt;=150,"Medium Demand",IF(W425&lt;=225,"High Demand","Very High Demand")))</f>
        <v>Medium Demand</v>
      </c>
    </row>
    <row r="426" spans="1:24" x14ac:dyDescent="0.25">
      <c r="A426">
        <v>425</v>
      </c>
      <c r="B426" s="2">
        <v>40562</v>
      </c>
      <c r="C426">
        <v>1</v>
      </c>
      <c r="D426">
        <v>0</v>
      </c>
      <c r="E426">
        <v>1</v>
      </c>
      <c r="F426">
        <v>17</v>
      </c>
      <c r="G426" t="str">
        <f>IF(F426&lt;6,"Night",IF(F426&lt;12,"Morning",IF(F426&lt;18,"Afternoon","Evening")))</f>
        <v>Afternoon</v>
      </c>
      <c r="H426">
        <v>0</v>
      </c>
      <c r="I426">
        <v>3</v>
      </c>
      <c r="J426" t="str">
        <f>CHOOSE(I426+1,"Monday","Tuesday","Wednesday","Thursday","Friday","Saturday","Sunday")</f>
        <v>Thursday</v>
      </c>
      <c r="K426">
        <v>1</v>
      </c>
      <c r="L426" t="str">
        <f>CHOOSE(K426+1,"error","Clear","Misty","Rainy","Severe heater")</f>
        <v>Clear</v>
      </c>
      <c r="M426">
        <v>0.36</v>
      </c>
      <c r="N426" t="str">
        <f>IF(M426&lt;=0.2,"Low",IF(M426&lt;=0.4,"Mid","High"))</f>
        <v>Mid</v>
      </c>
      <c r="O426">
        <v>0.33329999999999999</v>
      </c>
      <c r="P426" t="str">
        <f>IF(O426&lt;=0.15,"Very Cold",IF(O426&lt;=0.3,"Cold",IF(O426&lt;=0.45,"Pleasant","Hot")))</f>
        <v>Pleasant</v>
      </c>
      <c r="Q426">
        <v>0.56999999999999995</v>
      </c>
      <c r="R426" t="str">
        <f>IF(Q426&lt;=0.25,"Low ",IF(Q426&lt;=0.5,"Moderate ",IF(Q426&lt;=0.75,"High ","Very High ")))</f>
        <v xml:space="preserve">High </v>
      </c>
      <c r="S426">
        <v>0.32840000000000003</v>
      </c>
      <c r="T426" t="str">
        <f>IF(S426&lt;=0.15,"Calm",IF(S426&lt;=0.3,"Light Wind",IF(S426&lt;=0.45,"Moderate Wind","Strong Wind")))</f>
        <v>Moderate Wind</v>
      </c>
      <c r="U426">
        <v>7</v>
      </c>
      <c r="V426">
        <v>190</v>
      </c>
      <c r="W426">
        <v>197</v>
      </c>
      <c r="X426" t="str">
        <f>IF(W426&lt;=75,"Low Demand",IF(W426&lt;=150,"Medium Demand",IF(W426&lt;=225,"High Demand","Very High Demand")))</f>
        <v>High Demand</v>
      </c>
    </row>
    <row r="427" spans="1:24" x14ac:dyDescent="0.25">
      <c r="A427">
        <v>426</v>
      </c>
      <c r="B427" s="2">
        <v>40562</v>
      </c>
      <c r="C427">
        <v>1</v>
      </c>
      <c r="D427">
        <v>0</v>
      </c>
      <c r="E427">
        <v>1</v>
      </c>
      <c r="F427">
        <v>18</v>
      </c>
      <c r="G427" t="str">
        <f>IF(F427&lt;6,"Night",IF(F427&lt;12,"Morning",IF(F427&lt;18,"Afternoon","Evening")))</f>
        <v>Evening</v>
      </c>
      <c r="H427">
        <v>0</v>
      </c>
      <c r="I427">
        <v>3</v>
      </c>
      <c r="J427" t="str">
        <f>CHOOSE(I427+1,"Monday","Tuesday","Wednesday","Thursday","Friday","Saturday","Sunday")</f>
        <v>Thursday</v>
      </c>
      <c r="K427">
        <v>1</v>
      </c>
      <c r="L427" t="str">
        <f>CHOOSE(K427+1,"error","Clear","Misty","Rainy","Severe heater")</f>
        <v>Clear</v>
      </c>
      <c r="M427">
        <v>0.34</v>
      </c>
      <c r="N427" t="str">
        <f>IF(M427&lt;=0.2,"Low",IF(M427&lt;=0.4,"Mid","High"))</f>
        <v>Mid</v>
      </c>
      <c r="O427">
        <v>0.31819999999999998</v>
      </c>
      <c r="P427" t="str">
        <f>IF(O427&lt;=0.15,"Very Cold",IF(O427&lt;=0.3,"Cold",IF(O427&lt;=0.45,"Pleasant","Hot")))</f>
        <v>Pleasant</v>
      </c>
      <c r="Q427">
        <v>0.61</v>
      </c>
      <c r="R427" t="str">
        <f>IF(Q427&lt;=0.25,"Low ",IF(Q427&lt;=0.5,"Moderate ",IF(Q427&lt;=0.75,"High ","Very High ")))</f>
        <v xml:space="preserve">High </v>
      </c>
      <c r="S427">
        <v>0.28360000000000002</v>
      </c>
      <c r="T427" t="str">
        <f>IF(S427&lt;=0.15,"Calm",IF(S427&lt;=0.3,"Light Wind",IF(S427&lt;=0.45,"Moderate Wind","Strong Wind")))</f>
        <v>Light Wind</v>
      </c>
      <c r="U427">
        <v>5</v>
      </c>
      <c r="V427">
        <v>156</v>
      </c>
      <c r="W427">
        <v>161</v>
      </c>
      <c r="X427" t="str">
        <f>IF(W427&lt;=75,"Low Demand",IF(W427&lt;=150,"Medium Demand",IF(W427&lt;=225,"High Demand","Very High Demand")))</f>
        <v>High Demand</v>
      </c>
    </row>
    <row r="428" spans="1:24" x14ac:dyDescent="0.25">
      <c r="A428">
        <v>427</v>
      </c>
      <c r="B428" s="2">
        <v>40562</v>
      </c>
      <c r="C428">
        <v>1</v>
      </c>
      <c r="D428">
        <v>0</v>
      </c>
      <c r="E428">
        <v>1</v>
      </c>
      <c r="F428">
        <v>19</v>
      </c>
      <c r="G428" t="str">
        <f>IF(F428&lt;6,"Night",IF(F428&lt;12,"Morning",IF(F428&lt;18,"Afternoon","Evening")))</f>
        <v>Evening</v>
      </c>
      <c r="H428">
        <v>0</v>
      </c>
      <c r="I428">
        <v>3</v>
      </c>
      <c r="J428" t="str">
        <f>CHOOSE(I428+1,"Monday","Tuesday","Wednesday","Thursday","Friday","Saturday","Sunday")</f>
        <v>Thursday</v>
      </c>
      <c r="K428">
        <v>1</v>
      </c>
      <c r="L428" t="str">
        <f>CHOOSE(K428+1,"error","Clear","Misty","Rainy","Severe heater")</f>
        <v>Clear</v>
      </c>
      <c r="M428">
        <v>0.32</v>
      </c>
      <c r="N428" t="str">
        <f>IF(M428&lt;=0.2,"Low",IF(M428&lt;=0.4,"Mid","High"))</f>
        <v>Mid</v>
      </c>
      <c r="O428">
        <v>0.28789999999999999</v>
      </c>
      <c r="P428" t="str">
        <f>IF(O428&lt;=0.15,"Very Cold",IF(O428&lt;=0.3,"Cold",IF(O428&lt;=0.45,"Pleasant","Hot")))</f>
        <v>Cold</v>
      </c>
      <c r="Q428">
        <v>0.56999999999999995</v>
      </c>
      <c r="R428" t="str">
        <f>IF(Q428&lt;=0.25,"Low ",IF(Q428&lt;=0.5,"Moderate ",IF(Q428&lt;=0.75,"High ","Very High ")))</f>
        <v xml:space="preserve">High </v>
      </c>
      <c r="S428">
        <v>0.41789999999999999</v>
      </c>
      <c r="T428" t="str">
        <f>IF(S428&lt;=0.15,"Calm",IF(S428&lt;=0.3,"Light Wind",IF(S428&lt;=0.45,"Moderate Wind","Strong Wind")))</f>
        <v>Moderate Wind</v>
      </c>
      <c r="U428">
        <v>4</v>
      </c>
      <c r="V428">
        <v>108</v>
      </c>
      <c r="W428">
        <v>112</v>
      </c>
      <c r="X428" t="str">
        <f>IF(W428&lt;=75,"Low Demand",IF(W428&lt;=150,"Medium Demand",IF(W428&lt;=225,"High Demand","Very High Demand")))</f>
        <v>Medium Demand</v>
      </c>
    </row>
    <row r="429" spans="1:24" x14ac:dyDescent="0.25">
      <c r="A429">
        <v>428</v>
      </c>
      <c r="B429" s="2">
        <v>40562</v>
      </c>
      <c r="C429">
        <v>1</v>
      </c>
      <c r="D429">
        <v>0</v>
      </c>
      <c r="E429">
        <v>1</v>
      </c>
      <c r="F429">
        <v>20</v>
      </c>
      <c r="G429" t="str">
        <f>IF(F429&lt;6,"Night",IF(F429&lt;12,"Morning",IF(F429&lt;18,"Afternoon","Evening")))</f>
        <v>Evening</v>
      </c>
      <c r="H429">
        <v>0</v>
      </c>
      <c r="I429">
        <v>3</v>
      </c>
      <c r="J429" t="str">
        <f>CHOOSE(I429+1,"Monday","Tuesday","Wednesday","Thursday","Friday","Saturday","Sunday")</f>
        <v>Thursday</v>
      </c>
      <c r="K429">
        <v>1</v>
      </c>
      <c r="L429" t="str">
        <f>CHOOSE(K429+1,"error","Clear","Misty","Rainy","Severe heater")</f>
        <v>Clear</v>
      </c>
      <c r="M429">
        <v>0.32</v>
      </c>
      <c r="N429" t="str">
        <f>IF(M429&lt;=0.2,"Low",IF(M429&lt;=0.4,"Mid","High"))</f>
        <v>Mid</v>
      </c>
      <c r="O429">
        <v>0.30299999999999999</v>
      </c>
      <c r="P429" t="str">
        <f>IF(O429&lt;=0.15,"Very Cold",IF(O429&lt;=0.3,"Cold",IF(O429&lt;=0.45,"Pleasant","Hot")))</f>
        <v>Pleasant</v>
      </c>
      <c r="Q429">
        <v>0.49</v>
      </c>
      <c r="R429" t="str">
        <f>IF(Q429&lt;=0.25,"Low ",IF(Q429&lt;=0.5,"Moderate ",IF(Q429&lt;=0.75,"High ","Very High ")))</f>
        <v xml:space="preserve">Moderate </v>
      </c>
      <c r="S429">
        <v>0.29849999999999999</v>
      </c>
      <c r="T429" t="str">
        <f>IF(S429&lt;=0.15,"Calm",IF(S429&lt;=0.3,"Light Wind",IF(S429&lt;=0.45,"Moderate Wind","Strong Wind")))</f>
        <v>Light Wind</v>
      </c>
      <c r="U429">
        <v>2</v>
      </c>
      <c r="V429">
        <v>74</v>
      </c>
      <c r="W429">
        <v>76</v>
      </c>
      <c r="X429" t="str">
        <f>IF(W429&lt;=75,"Low Demand",IF(W429&lt;=150,"Medium Demand",IF(W429&lt;=225,"High Demand","Very High Demand")))</f>
        <v>Medium Demand</v>
      </c>
    </row>
    <row r="430" spans="1:24" x14ac:dyDescent="0.25">
      <c r="A430">
        <v>429</v>
      </c>
      <c r="B430" s="2">
        <v>40562</v>
      </c>
      <c r="C430">
        <v>1</v>
      </c>
      <c r="D430">
        <v>0</v>
      </c>
      <c r="E430">
        <v>1</v>
      </c>
      <c r="F430">
        <v>21</v>
      </c>
      <c r="G430" t="str">
        <f>IF(F430&lt;6,"Night",IF(F430&lt;12,"Morning",IF(F430&lt;18,"Afternoon","Evening")))</f>
        <v>Evening</v>
      </c>
      <c r="H430">
        <v>0</v>
      </c>
      <c r="I430">
        <v>3</v>
      </c>
      <c r="J430" t="str">
        <f>CHOOSE(I430+1,"Monday","Tuesday","Wednesday","Thursday","Friday","Saturday","Sunday")</f>
        <v>Thursday</v>
      </c>
      <c r="K430">
        <v>1</v>
      </c>
      <c r="L430" t="str">
        <f>CHOOSE(K430+1,"error","Clear","Misty","Rainy","Severe heater")</f>
        <v>Clear</v>
      </c>
      <c r="M430">
        <v>0.32</v>
      </c>
      <c r="N430" t="str">
        <f>IF(M430&lt;=0.2,"Low",IF(M430&lt;=0.4,"Mid","High"))</f>
        <v>Mid</v>
      </c>
      <c r="O430">
        <v>0.28789999999999999</v>
      </c>
      <c r="P430" t="str">
        <f>IF(O430&lt;=0.15,"Very Cold",IF(O430&lt;=0.3,"Cold",IF(O430&lt;=0.45,"Pleasant","Hot")))</f>
        <v>Cold</v>
      </c>
      <c r="Q430">
        <v>0.49</v>
      </c>
      <c r="R430" t="str">
        <f>IF(Q430&lt;=0.25,"Low ",IF(Q430&lt;=0.5,"Moderate ",IF(Q430&lt;=0.75,"High ","Very High ")))</f>
        <v xml:space="preserve">Moderate </v>
      </c>
      <c r="S430">
        <v>0.41789999999999999</v>
      </c>
      <c r="T430" t="str">
        <f>IF(S430&lt;=0.15,"Calm",IF(S430&lt;=0.3,"Light Wind",IF(S430&lt;=0.45,"Moderate Wind","Strong Wind")))</f>
        <v>Moderate Wind</v>
      </c>
      <c r="U430">
        <v>4</v>
      </c>
      <c r="V430">
        <v>55</v>
      </c>
      <c r="W430">
        <v>59</v>
      </c>
      <c r="X430" t="str">
        <f>IF(W430&lt;=75,"Low Demand",IF(W430&lt;=150,"Medium Demand",IF(W430&lt;=225,"High Demand","Very High Demand")))</f>
        <v>Low Demand</v>
      </c>
    </row>
    <row r="431" spans="1:24" x14ac:dyDescent="0.25">
      <c r="A431">
        <v>430</v>
      </c>
      <c r="B431" s="2">
        <v>40562</v>
      </c>
      <c r="C431">
        <v>1</v>
      </c>
      <c r="D431">
        <v>0</v>
      </c>
      <c r="E431">
        <v>1</v>
      </c>
      <c r="F431">
        <v>22</v>
      </c>
      <c r="G431" t="str">
        <f>IF(F431&lt;6,"Night",IF(F431&lt;12,"Morning",IF(F431&lt;18,"Afternoon","Evening")))</f>
        <v>Evening</v>
      </c>
      <c r="H431">
        <v>0</v>
      </c>
      <c r="I431">
        <v>3</v>
      </c>
      <c r="J431" t="str">
        <f>CHOOSE(I431+1,"Monday","Tuesday","Wednesday","Thursday","Friday","Saturday","Sunday")</f>
        <v>Thursday</v>
      </c>
      <c r="K431">
        <v>1</v>
      </c>
      <c r="L431" t="str">
        <f>CHOOSE(K431+1,"error","Clear","Misty","Rainy","Severe heater")</f>
        <v>Clear</v>
      </c>
      <c r="M431">
        <v>0.3</v>
      </c>
      <c r="N431" t="str">
        <f>IF(M431&lt;=0.2,"Low",IF(M431&lt;=0.4,"Mid","High"))</f>
        <v>Mid</v>
      </c>
      <c r="O431">
        <v>0.30299999999999999</v>
      </c>
      <c r="P431" t="str">
        <f>IF(O431&lt;=0.15,"Very Cold",IF(O431&lt;=0.3,"Cold",IF(O431&lt;=0.45,"Pleasant","Hot")))</f>
        <v>Pleasant</v>
      </c>
      <c r="Q431">
        <v>0.52</v>
      </c>
      <c r="R431" t="str">
        <f>IF(Q431&lt;=0.25,"Low ",IF(Q431&lt;=0.5,"Moderate ",IF(Q431&lt;=0.75,"High ","Very High ")))</f>
        <v xml:space="preserve">High </v>
      </c>
      <c r="S431">
        <v>0.16420000000000001</v>
      </c>
      <c r="T431" t="str">
        <f>IF(S431&lt;=0.15,"Calm",IF(S431&lt;=0.3,"Light Wind",IF(S431&lt;=0.45,"Moderate Wind","Strong Wind")))</f>
        <v>Light Wind</v>
      </c>
      <c r="U431">
        <v>6</v>
      </c>
      <c r="V431">
        <v>53</v>
      </c>
      <c r="W431">
        <v>59</v>
      </c>
      <c r="X431" t="str">
        <f>IF(W431&lt;=75,"Low Demand",IF(W431&lt;=150,"Medium Demand",IF(W431&lt;=225,"High Demand","Very High Demand")))</f>
        <v>Low Demand</v>
      </c>
    </row>
    <row r="432" spans="1:24" x14ac:dyDescent="0.25">
      <c r="A432">
        <v>431</v>
      </c>
      <c r="B432" s="2">
        <v>40562</v>
      </c>
      <c r="C432">
        <v>1</v>
      </c>
      <c r="D432">
        <v>0</v>
      </c>
      <c r="E432">
        <v>1</v>
      </c>
      <c r="F432">
        <v>23</v>
      </c>
      <c r="G432" t="str">
        <f>IF(F432&lt;6,"Night",IF(F432&lt;12,"Morning",IF(F432&lt;18,"Afternoon","Evening")))</f>
        <v>Evening</v>
      </c>
      <c r="H432">
        <v>0</v>
      </c>
      <c r="I432">
        <v>3</v>
      </c>
      <c r="J432" t="str">
        <f>CHOOSE(I432+1,"Monday","Tuesday","Wednesday","Thursday","Friday","Saturday","Sunday")</f>
        <v>Thursday</v>
      </c>
      <c r="K432">
        <v>1</v>
      </c>
      <c r="L432" t="str">
        <f>CHOOSE(K432+1,"error","Clear","Misty","Rainy","Severe heater")</f>
        <v>Clear</v>
      </c>
      <c r="M432">
        <v>0.3</v>
      </c>
      <c r="N432" t="str">
        <f>IF(M432&lt;=0.2,"Low",IF(M432&lt;=0.4,"Mid","High"))</f>
        <v>Mid</v>
      </c>
      <c r="O432">
        <v>0.2727</v>
      </c>
      <c r="P432" t="str">
        <f>IF(O432&lt;=0.15,"Very Cold",IF(O432&lt;=0.3,"Cold",IF(O432&lt;=0.45,"Pleasant","Hot")))</f>
        <v>Cold</v>
      </c>
      <c r="Q432">
        <v>0.52</v>
      </c>
      <c r="R432" t="str">
        <f>IF(Q432&lt;=0.25,"Low ",IF(Q432&lt;=0.5,"Moderate ",IF(Q432&lt;=0.75,"High ","Very High ")))</f>
        <v xml:space="preserve">High </v>
      </c>
      <c r="S432">
        <v>0.4627</v>
      </c>
      <c r="T432" t="str">
        <f>IF(S432&lt;=0.15,"Calm",IF(S432&lt;=0.3,"Light Wind",IF(S432&lt;=0.45,"Moderate Wind","Strong Wind")))</f>
        <v>Strong Wind</v>
      </c>
      <c r="U432">
        <v>1</v>
      </c>
      <c r="V432">
        <v>27</v>
      </c>
      <c r="W432">
        <v>28</v>
      </c>
      <c r="X432" t="str">
        <f>IF(W432&lt;=75,"Low Demand",IF(W432&lt;=150,"Medium Demand",IF(W432&lt;=225,"High Demand","Very High Demand")))</f>
        <v>Low Demand</v>
      </c>
    </row>
    <row r="433" spans="1:24" x14ac:dyDescent="0.25">
      <c r="A433">
        <v>432</v>
      </c>
      <c r="B433" s="2">
        <v>40563</v>
      </c>
      <c r="C433">
        <v>1</v>
      </c>
      <c r="D433">
        <v>0</v>
      </c>
      <c r="E433">
        <v>1</v>
      </c>
      <c r="F433">
        <v>0</v>
      </c>
      <c r="G433" t="str">
        <f>IF(F433&lt;6,"Night",IF(F433&lt;12,"Morning",IF(F433&lt;18,"Afternoon","Evening")))</f>
        <v>Night</v>
      </c>
      <c r="H433">
        <v>0</v>
      </c>
      <c r="I433">
        <v>4</v>
      </c>
      <c r="J433" t="str">
        <f>CHOOSE(I433+1,"Monday","Tuesday","Wednesday","Thursday","Friday","Saturday","Sunday")</f>
        <v>Friday</v>
      </c>
      <c r="K433">
        <v>1</v>
      </c>
      <c r="L433" t="str">
        <f>CHOOSE(K433+1,"error","Clear","Misty","Rainy","Severe heater")</f>
        <v>Clear</v>
      </c>
      <c r="M433">
        <v>0.26</v>
      </c>
      <c r="N433" t="str">
        <f>IF(M433&lt;=0.2,"Low",IF(M433&lt;=0.4,"Mid","High"))</f>
        <v>Mid</v>
      </c>
      <c r="O433">
        <v>0.2273</v>
      </c>
      <c r="P433" t="str">
        <f>IF(O433&lt;=0.15,"Very Cold",IF(O433&lt;=0.3,"Cold",IF(O433&lt;=0.45,"Pleasant","Hot")))</f>
        <v>Cold</v>
      </c>
      <c r="Q433">
        <v>0.56000000000000005</v>
      </c>
      <c r="R433" t="str">
        <f>IF(Q433&lt;=0.25,"Low ",IF(Q433&lt;=0.5,"Moderate ",IF(Q433&lt;=0.75,"High ","Very High ")))</f>
        <v xml:space="preserve">High </v>
      </c>
      <c r="S433">
        <v>0.3881</v>
      </c>
      <c r="T433" t="str">
        <f>IF(S433&lt;=0.15,"Calm",IF(S433&lt;=0.3,"Light Wind",IF(S433&lt;=0.45,"Moderate Wind","Strong Wind")))</f>
        <v>Moderate Wind</v>
      </c>
      <c r="U433">
        <v>5</v>
      </c>
      <c r="V433">
        <v>8</v>
      </c>
      <c r="W433">
        <v>13</v>
      </c>
      <c r="X433" t="str">
        <f>IF(W433&lt;=75,"Low Demand",IF(W433&lt;=150,"Medium Demand",IF(W433&lt;=225,"High Demand","Very High Demand")))</f>
        <v>Low Demand</v>
      </c>
    </row>
    <row r="434" spans="1:24" x14ac:dyDescent="0.25">
      <c r="A434">
        <v>433</v>
      </c>
      <c r="B434" s="2">
        <v>40563</v>
      </c>
      <c r="C434">
        <v>1</v>
      </c>
      <c r="D434">
        <v>0</v>
      </c>
      <c r="E434">
        <v>1</v>
      </c>
      <c r="F434">
        <v>1</v>
      </c>
      <c r="G434" t="str">
        <f>IF(F434&lt;6,"Night",IF(F434&lt;12,"Morning",IF(F434&lt;18,"Afternoon","Evening")))</f>
        <v>Night</v>
      </c>
      <c r="H434">
        <v>0</v>
      </c>
      <c r="I434">
        <v>4</v>
      </c>
      <c r="J434" t="str">
        <f>CHOOSE(I434+1,"Monday","Tuesday","Wednesday","Thursday","Friday","Saturday","Sunday")</f>
        <v>Friday</v>
      </c>
      <c r="K434">
        <v>1</v>
      </c>
      <c r="L434" t="str">
        <f>CHOOSE(K434+1,"error","Clear","Misty","Rainy","Severe heater")</f>
        <v>Clear</v>
      </c>
      <c r="M434">
        <v>0.26</v>
      </c>
      <c r="N434" t="str">
        <f>IF(M434&lt;=0.2,"Low",IF(M434&lt;=0.4,"Mid","High"))</f>
        <v>Mid</v>
      </c>
      <c r="O434">
        <v>0.2727</v>
      </c>
      <c r="P434" t="str">
        <f>IF(O434&lt;=0.15,"Very Cold",IF(O434&lt;=0.3,"Cold",IF(O434&lt;=0.45,"Pleasant","Hot")))</f>
        <v>Cold</v>
      </c>
      <c r="Q434">
        <v>0.56000000000000005</v>
      </c>
      <c r="R434" t="str">
        <f>IF(Q434&lt;=0.25,"Low ",IF(Q434&lt;=0.5,"Moderate ",IF(Q434&lt;=0.75,"High ","Very High ")))</f>
        <v xml:space="preserve">High </v>
      </c>
      <c r="S434">
        <v>0</v>
      </c>
      <c r="T434" t="str">
        <f>IF(S434&lt;=0.15,"Calm",IF(S434&lt;=0.3,"Light Wind",IF(S434&lt;=0.45,"Moderate Wind","Strong Wind")))</f>
        <v>Calm</v>
      </c>
      <c r="U434">
        <v>2</v>
      </c>
      <c r="V434">
        <v>3</v>
      </c>
      <c r="W434">
        <v>5</v>
      </c>
      <c r="X434" t="str">
        <f>IF(W434&lt;=75,"Low Demand",IF(W434&lt;=150,"Medium Demand",IF(W434&lt;=225,"High Demand","Very High Demand")))</f>
        <v>Low Demand</v>
      </c>
    </row>
    <row r="435" spans="1:24" x14ac:dyDescent="0.25">
      <c r="A435">
        <v>434</v>
      </c>
      <c r="B435" s="2">
        <v>40563</v>
      </c>
      <c r="C435">
        <v>1</v>
      </c>
      <c r="D435">
        <v>0</v>
      </c>
      <c r="E435">
        <v>1</v>
      </c>
      <c r="F435">
        <v>2</v>
      </c>
      <c r="G435" t="str">
        <f>IF(F435&lt;6,"Night",IF(F435&lt;12,"Morning",IF(F435&lt;18,"Afternoon","Evening")))</f>
        <v>Night</v>
      </c>
      <c r="H435">
        <v>0</v>
      </c>
      <c r="I435">
        <v>4</v>
      </c>
      <c r="J435" t="str">
        <f>CHOOSE(I435+1,"Monday","Tuesday","Wednesday","Thursday","Friday","Saturday","Sunday")</f>
        <v>Friday</v>
      </c>
      <c r="K435">
        <v>1</v>
      </c>
      <c r="L435" t="str">
        <f>CHOOSE(K435+1,"error","Clear","Misty","Rainy","Severe heater")</f>
        <v>Clear</v>
      </c>
      <c r="M435">
        <v>0.26</v>
      </c>
      <c r="N435" t="str">
        <f>IF(M435&lt;=0.2,"Low",IF(M435&lt;=0.4,"Mid","High"))</f>
        <v>Mid</v>
      </c>
      <c r="O435">
        <v>0.2727</v>
      </c>
      <c r="P435" t="str">
        <f>IF(O435&lt;=0.15,"Very Cold",IF(O435&lt;=0.3,"Cold",IF(O435&lt;=0.45,"Pleasant","Hot")))</f>
        <v>Cold</v>
      </c>
      <c r="Q435">
        <v>0.56000000000000005</v>
      </c>
      <c r="R435" t="str">
        <f>IF(Q435&lt;=0.25,"Low ",IF(Q435&lt;=0.5,"Moderate ",IF(Q435&lt;=0.75,"High ","Very High ")))</f>
        <v xml:space="preserve">High </v>
      </c>
      <c r="S435">
        <v>0</v>
      </c>
      <c r="T435" t="str">
        <f>IF(S435&lt;=0.15,"Calm",IF(S435&lt;=0.3,"Light Wind",IF(S435&lt;=0.45,"Moderate Wind","Strong Wind")))</f>
        <v>Calm</v>
      </c>
      <c r="U435">
        <v>0</v>
      </c>
      <c r="V435">
        <v>2</v>
      </c>
      <c r="W435">
        <v>2</v>
      </c>
      <c r="X435" t="str">
        <f>IF(W435&lt;=75,"Low Demand",IF(W435&lt;=150,"Medium Demand",IF(W435&lt;=225,"High Demand","Very High Demand")))</f>
        <v>Low Demand</v>
      </c>
    </row>
    <row r="436" spans="1:24" x14ac:dyDescent="0.25">
      <c r="A436">
        <v>435</v>
      </c>
      <c r="B436" s="2">
        <v>40563</v>
      </c>
      <c r="C436">
        <v>1</v>
      </c>
      <c r="D436">
        <v>0</v>
      </c>
      <c r="E436">
        <v>1</v>
      </c>
      <c r="F436">
        <v>3</v>
      </c>
      <c r="G436" t="str">
        <f>IF(F436&lt;6,"Night",IF(F436&lt;12,"Morning",IF(F436&lt;18,"Afternoon","Evening")))</f>
        <v>Night</v>
      </c>
      <c r="H436">
        <v>0</v>
      </c>
      <c r="I436">
        <v>4</v>
      </c>
      <c r="J436" t="str">
        <f>CHOOSE(I436+1,"Monday","Tuesday","Wednesday","Thursday","Friday","Saturday","Sunday")</f>
        <v>Friday</v>
      </c>
      <c r="K436">
        <v>1</v>
      </c>
      <c r="L436" t="str">
        <f>CHOOSE(K436+1,"error","Clear","Misty","Rainy","Severe heater")</f>
        <v>Clear</v>
      </c>
      <c r="M436">
        <v>0.26</v>
      </c>
      <c r="N436" t="str">
        <f>IF(M436&lt;=0.2,"Low",IF(M436&lt;=0.4,"Mid","High"))</f>
        <v>Mid</v>
      </c>
      <c r="O436">
        <v>0.2576</v>
      </c>
      <c r="P436" t="str">
        <f>IF(O436&lt;=0.15,"Very Cold",IF(O436&lt;=0.3,"Cold",IF(O436&lt;=0.45,"Pleasant","Hot")))</f>
        <v>Cold</v>
      </c>
      <c r="Q436">
        <v>0.56000000000000005</v>
      </c>
      <c r="R436" t="str">
        <f>IF(Q436&lt;=0.25,"Low ",IF(Q436&lt;=0.5,"Moderate ",IF(Q436&lt;=0.75,"High ","Very High ")))</f>
        <v xml:space="preserve">High </v>
      </c>
      <c r="S436">
        <v>0.16420000000000001</v>
      </c>
      <c r="T436" t="str">
        <f>IF(S436&lt;=0.15,"Calm",IF(S436&lt;=0.3,"Light Wind",IF(S436&lt;=0.45,"Moderate Wind","Strong Wind")))</f>
        <v>Light Wind</v>
      </c>
      <c r="U436">
        <v>0</v>
      </c>
      <c r="V436">
        <v>1</v>
      </c>
      <c r="W436">
        <v>1</v>
      </c>
      <c r="X436" t="str">
        <f>IF(W436&lt;=75,"Low Demand",IF(W436&lt;=150,"Medium Demand",IF(W436&lt;=225,"High Demand","Very High Demand")))</f>
        <v>Low Demand</v>
      </c>
    </row>
    <row r="437" spans="1:24" x14ac:dyDescent="0.25">
      <c r="A437">
        <v>436</v>
      </c>
      <c r="B437" s="2">
        <v>40563</v>
      </c>
      <c r="C437">
        <v>1</v>
      </c>
      <c r="D437">
        <v>0</v>
      </c>
      <c r="E437">
        <v>1</v>
      </c>
      <c r="F437">
        <v>4</v>
      </c>
      <c r="G437" t="str">
        <f>IF(F437&lt;6,"Night",IF(F437&lt;12,"Morning",IF(F437&lt;18,"Afternoon","Evening")))</f>
        <v>Night</v>
      </c>
      <c r="H437">
        <v>0</v>
      </c>
      <c r="I437">
        <v>4</v>
      </c>
      <c r="J437" t="str">
        <f>CHOOSE(I437+1,"Monday","Tuesday","Wednesday","Thursday","Friday","Saturday","Sunday")</f>
        <v>Friday</v>
      </c>
      <c r="K437">
        <v>1</v>
      </c>
      <c r="L437" t="str">
        <f>CHOOSE(K437+1,"error","Clear","Misty","Rainy","Severe heater")</f>
        <v>Clear</v>
      </c>
      <c r="M437">
        <v>0.26</v>
      </c>
      <c r="N437" t="str">
        <f>IF(M437&lt;=0.2,"Low",IF(M437&lt;=0.4,"Mid","High"))</f>
        <v>Mid</v>
      </c>
      <c r="O437">
        <v>0.2576</v>
      </c>
      <c r="P437" t="str">
        <f>IF(O437&lt;=0.15,"Very Cold",IF(O437&lt;=0.3,"Cold",IF(O437&lt;=0.45,"Pleasant","Hot")))</f>
        <v>Cold</v>
      </c>
      <c r="Q437">
        <v>0.56000000000000005</v>
      </c>
      <c r="R437" t="str">
        <f>IF(Q437&lt;=0.25,"Low ",IF(Q437&lt;=0.5,"Moderate ",IF(Q437&lt;=0.75,"High ","Very High ")))</f>
        <v xml:space="preserve">High </v>
      </c>
      <c r="S437">
        <v>0.16420000000000001</v>
      </c>
      <c r="T437" t="str">
        <f>IF(S437&lt;=0.15,"Calm",IF(S437&lt;=0.3,"Light Wind",IF(S437&lt;=0.45,"Moderate Wind","Strong Wind")))</f>
        <v>Light Wind</v>
      </c>
      <c r="U437">
        <v>0</v>
      </c>
      <c r="V437">
        <v>1</v>
      </c>
      <c r="W437">
        <v>1</v>
      </c>
      <c r="X437" t="str">
        <f>IF(W437&lt;=75,"Low Demand",IF(W437&lt;=150,"Medium Demand",IF(W437&lt;=225,"High Demand","Very High Demand")))</f>
        <v>Low Demand</v>
      </c>
    </row>
    <row r="438" spans="1:24" x14ac:dyDescent="0.25">
      <c r="A438">
        <v>437</v>
      </c>
      <c r="B438" s="2">
        <v>40563</v>
      </c>
      <c r="C438">
        <v>1</v>
      </c>
      <c r="D438">
        <v>0</v>
      </c>
      <c r="E438">
        <v>1</v>
      </c>
      <c r="F438">
        <v>5</v>
      </c>
      <c r="G438" t="str">
        <f>IF(F438&lt;6,"Night",IF(F438&lt;12,"Morning",IF(F438&lt;18,"Afternoon","Evening")))</f>
        <v>Night</v>
      </c>
      <c r="H438">
        <v>0</v>
      </c>
      <c r="I438">
        <v>4</v>
      </c>
      <c r="J438" t="str">
        <f>CHOOSE(I438+1,"Monday","Tuesday","Wednesday","Thursday","Friday","Saturday","Sunday")</f>
        <v>Friday</v>
      </c>
      <c r="K438">
        <v>1</v>
      </c>
      <c r="L438" t="str">
        <f>CHOOSE(K438+1,"error","Clear","Misty","Rainy","Severe heater")</f>
        <v>Clear</v>
      </c>
      <c r="M438">
        <v>0.24</v>
      </c>
      <c r="N438" t="str">
        <f>IF(M438&lt;=0.2,"Low",IF(M438&lt;=0.4,"Mid","High"))</f>
        <v>Mid</v>
      </c>
      <c r="O438">
        <v>0.2273</v>
      </c>
      <c r="P438" t="str">
        <f>IF(O438&lt;=0.15,"Very Cold",IF(O438&lt;=0.3,"Cold",IF(O438&lt;=0.45,"Pleasant","Hot")))</f>
        <v>Cold</v>
      </c>
      <c r="Q438">
        <v>0.6</v>
      </c>
      <c r="R438" t="str">
        <f>IF(Q438&lt;=0.25,"Low ",IF(Q438&lt;=0.5,"Moderate ",IF(Q438&lt;=0.75,"High ","Very High ")))</f>
        <v xml:space="preserve">High </v>
      </c>
      <c r="S438">
        <v>0.22389999999999999</v>
      </c>
      <c r="T438" t="str">
        <f>IF(S438&lt;=0.15,"Calm",IF(S438&lt;=0.3,"Light Wind",IF(S438&lt;=0.45,"Moderate Wind","Strong Wind")))</f>
        <v>Light Wind</v>
      </c>
      <c r="U438">
        <v>0</v>
      </c>
      <c r="V438">
        <v>6</v>
      </c>
      <c r="W438">
        <v>6</v>
      </c>
      <c r="X438" t="str">
        <f>IF(W438&lt;=75,"Low Demand",IF(W438&lt;=150,"Medium Demand",IF(W438&lt;=225,"High Demand","Very High Demand")))</f>
        <v>Low Demand</v>
      </c>
    </row>
    <row r="439" spans="1:24" x14ac:dyDescent="0.25">
      <c r="A439">
        <v>438</v>
      </c>
      <c r="B439" s="2">
        <v>40563</v>
      </c>
      <c r="C439">
        <v>1</v>
      </c>
      <c r="D439">
        <v>0</v>
      </c>
      <c r="E439">
        <v>1</v>
      </c>
      <c r="F439">
        <v>6</v>
      </c>
      <c r="G439" t="str">
        <f>IF(F439&lt;6,"Night",IF(F439&lt;12,"Morning",IF(F439&lt;18,"Afternoon","Evening")))</f>
        <v>Morning</v>
      </c>
      <c r="H439">
        <v>0</v>
      </c>
      <c r="I439">
        <v>4</v>
      </c>
      <c r="J439" t="str">
        <f>CHOOSE(I439+1,"Monday","Tuesday","Wednesday","Thursday","Friday","Saturday","Sunday")</f>
        <v>Friday</v>
      </c>
      <c r="K439">
        <v>1</v>
      </c>
      <c r="L439" t="str">
        <f>CHOOSE(K439+1,"error","Clear","Misty","Rainy","Severe heater")</f>
        <v>Clear</v>
      </c>
      <c r="M439">
        <v>0.22</v>
      </c>
      <c r="N439" t="str">
        <f>IF(M439&lt;=0.2,"Low",IF(M439&lt;=0.4,"Mid","High"))</f>
        <v>Mid</v>
      </c>
      <c r="O439">
        <v>0.21210000000000001</v>
      </c>
      <c r="P439" t="str">
        <f>IF(O439&lt;=0.15,"Very Cold",IF(O439&lt;=0.3,"Cold",IF(O439&lt;=0.45,"Pleasant","Hot")))</f>
        <v>Cold</v>
      </c>
      <c r="Q439">
        <v>0.6</v>
      </c>
      <c r="R439" t="str">
        <f>IF(Q439&lt;=0.25,"Low ",IF(Q439&lt;=0.5,"Moderate ",IF(Q439&lt;=0.75,"High ","Very High ")))</f>
        <v xml:space="preserve">High </v>
      </c>
      <c r="S439">
        <v>0.22389999999999999</v>
      </c>
      <c r="T439" t="str">
        <f>IF(S439&lt;=0.15,"Calm",IF(S439&lt;=0.3,"Light Wind",IF(S439&lt;=0.45,"Moderate Wind","Strong Wind")))</f>
        <v>Light Wind</v>
      </c>
      <c r="U439">
        <v>0</v>
      </c>
      <c r="V439">
        <v>35</v>
      </c>
      <c r="W439">
        <v>35</v>
      </c>
      <c r="X439" t="str">
        <f>IF(W439&lt;=75,"Low Demand",IF(W439&lt;=150,"Medium Demand",IF(W439&lt;=225,"High Demand","Very High Demand")))</f>
        <v>Low Demand</v>
      </c>
    </row>
    <row r="440" spans="1:24" x14ac:dyDescent="0.25">
      <c r="A440">
        <v>439</v>
      </c>
      <c r="B440" s="2">
        <v>40563</v>
      </c>
      <c r="C440">
        <v>1</v>
      </c>
      <c r="D440">
        <v>0</v>
      </c>
      <c r="E440">
        <v>1</v>
      </c>
      <c r="F440">
        <v>7</v>
      </c>
      <c r="G440" t="str">
        <f>IF(F440&lt;6,"Night",IF(F440&lt;12,"Morning",IF(F440&lt;18,"Afternoon","Evening")))</f>
        <v>Morning</v>
      </c>
      <c r="H440">
        <v>0</v>
      </c>
      <c r="I440">
        <v>4</v>
      </c>
      <c r="J440" t="str">
        <f>CHOOSE(I440+1,"Monday","Tuesday","Wednesday","Thursday","Friday","Saturday","Sunday")</f>
        <v>Friday</v>
      </c>
      <c r="K440">
        <v>1</v>
      </c>
      <c r="L440" t="str">
        <f>CHOOSE(K440+1,"error","Clear","Misty","Rainy","Severe heater")</f>
        <v>Clear</v>
      </c>
      <c r="M440">
        <v>0.22</v>
      </c>
      <c r="N440" t="str">
        <f>IF(M440&lt;=0.2,"Low",IF(M440&lt;=0.4,"Mid","High"))</f>
        <v>Mid</v>
      </c>
      <c r="O440">
        <v>0.21210000000000001</v>
      </c>
      <c r="P440" t="str">
        <f>IF(O440&lt;=0.15,"Very Cold",IF(O440&lt;=0.3,"Cold",IF(O440&lt;=0.45,"Pleasant","Hot")))</f>
        <v>Cold</v>
      </c>
      <c r="Q440">
        <v>0.55000000000000004</v>
      </c>
      <c r="R440" t="str">
        <f>IF(Q440&lt;=0.25,"Low ",IF(Q440&lt;=0.5,"Moderate ",IF(Q440&lt;=0.75,"High ","Very High ")))</f>
        <v xml:space="preserve">High </v>
      </c>
      <c r="S440">
        <v>0.22389999999999999</v>
      </c>
      <c r="T440" t="str">
        <f>IF(S440&lt;=0.15,"Calm",IF(S440&lt;=0.3,"Light Wind",IF(S440&lt;=0.45,"Moderate Wind","Strong Wind")))</f>
        <v>Light Wind</v>
      </c>
      <c r="U440">
        <v>1</v>
      </c>
      <c r="V440">
        <v>100</v>
      </c>
      <c r="W440">
        <v>101</v>
      </c>
      <c r="X440" t="str">
        <f>IF(W440&lt;=75,"Low Demand",IF(W440&lt;=150,"Medium Demand",IF(W440&lt;=225,"High Demand","Very High Demand")))</f>
        <v>Medium Demand</v>
      </c>
    </row>
    <row r="441" spans="1:24" x14ac:dyDescent="0.25">
      <c r="A441">
        <v>440</v>
      </c>
      <c r="B441" s="2">
        <v>40563</v>
      </c>
      <c r="C441">
        <v>1</v>
      </c>
      <c r="D441">
        <v>0</v>
      </c>
      <c r="E441">
        <v>1</v>
      </c>
      <c r="F441">
        <v>8</v>
      </c>
      <c r="G441" t="str">
        <f>IF(F441&lt;6,"Night",IF(F441&lt;12,"Morning",IF(F441&lt;18,"Afternoon","Evening")))</f>
        <v>Morning</v>
      </c>
      <c r="H441">
        <v>0</v>
      </c>
      <c r="I441">
        <v>4</v>
      </c>
      <c r="J441" t="str">
        <f>CHOOSE(I441+1,"Monday","Tuesday","Wednesday","Thursday","Friday","Saturday","Sunday")</f>
        <v>Friday</v>
      </c>
      <c r="K441">
        <v>1</v>
      </c>
      <c r="L441" t="str">
        <f>CHOOSE(K441+1,"error","Clear","Misty","Rainy","Severe heater")</f>
        <v>Clear</v>
      </c>
      <c r="M441">
        <v>0.22</v>
      </c>
      <c r="N441" t="str">
        <f>IF(M441&lt;=0.2,"Low",IF(M441&lt;=0.4,"Mid","High"))</f>
        <v>Mid</v>
      </c>
      <c r="O441">
        <v>0.21210000000000001</v>
      </c>
      <c r="P441" t="str">
        <f>IF(O441&lt;=0.15,"Very Cold",IF(O441&lt;=0.3,"Cold",IF(O441&lt;=0.45,"Pleasant","Hot")))</f>
        <v>Cold</v>
      </c>
      <c r="Q441">
        <v>0.55000000000000004</v>
      </c>
      <c r="R441" t="str">
        <f>IF(Q441&lt;=0.25,"Low ",IF(Q441&lt;=0.5,"Moderate ",IF(Q441&lt;=0.75,"High ","Very High ")))</f>
        <v xml:space="preserve">High </v>
      </c>
      <c r="S441">
        <v>0.28360000000000002</v>
      </c>
      <c r="T441" t="str">
        <f>IF(S441&lt;=0.15,"Calm",IF(S441&lt;=0.3,"Light Wind",IF(S441&lt;=0.45,"Moderate Wind","Strong Wind")))</f>
        <v>Light Wind</v>
      </c>
      <c r="U441">
        <v>2</v>
      </c>
      <c r="V441">
        <v>247</v>
      </c>
      <c r="W441">
        <v>249</v>
      </c>
      <c r="X441" t="str">
        <f>IF(W441&lt;=75,"Low Demand",IF(W441&lt;=150,"Medium Demand",IF(W441&lt;=225,"High Demand","Very High Demand")))</f>
        <v>Very High Demand</v>
      </c>
    </row>
    <row r="442" spans="1:24" x14ac:dyDescent="0.25">
      <c r="A442">
        <v>441</v>
      </c>
      <c r="B442" s="2">
        <v>40563</v>
      </c>
      <c r="C442">
        <v>1</v>
      </c>
      <c r="D442">
        <v>0</v>
      </c>
      <c r="E442">
        <v>1</v>
      </c>
      <c r="F442">
        <v>9</v>
      </c>
      <c r="G442" t="str">
        <f>IF(F442&lt;6,"Night",IF(F442&lt;12,"Morning",IF(F442&lt;18,"Afternoon","Evening")))</f>
        <v>Morning</v>
      </c>
      <c r="H442">
        <v>0</v>
      </c>
      <c r="I442">
        <v>4</v>
      </c>
      <c r="J442" t="str">
        <f>CHOOSE(I442+1,"Monday","Tuesday","Wednesday","Thursday","Friday","Saturday","Sunday")</f>
        <v>Friday</v>
      </c>
      <c r="K442">
        <v>2</v>
      </c>
      <c r="L442" t="str">
        <f>CHOOSE(K442+1,"error","Clear","Misty","Rainy","Severe heater")</f>
        <v>Misty</v>
      </c>
      <c r="M442">
        <v>0.24</v>
      </c>
      <c r="N442" t="str">
        <f>IF(M442&lt;=0.2,"Low",IF(M442&lt;=0.4,"Mid","High"))</f>
        <v>Mid</v>
      </c>
      <c r="O442">
        <v>0.2273</v>
      </c>
      <c r="P442" t="str">
        <f>IF(O442&lt;=0.15,"Very Cold",IF(O442&lt;=0.3,"Cold",IF(O442&lt;=0.45,"Pleasant","Hot")))</f>
        <v>Cold</v>
      </c>
      <c r="Q442">
        <v>0.52</v>
      </c>
      <c r="R442" t="str">
        <f>IF(Q442&lt;=0.25,"Low ",IF(Q442&lt;=0.5,"Moderate ",IF(Q442&lt;=0.75,"High ","Very High ")))</f>
        <v xml:space="preserve">High </v>
      </c>
      <c r="S442">
        <v>0.22389999999999999</v>
      </c>
      <c r="T442" t="str">
        <f>IF(S442&lt;=0.15,"Calm",IF(S442&lt;=0.3,"Light Wind",IF(S442&lt;=0.45,"Moderate Wind","Strong Wind")))</f>
        <v>Light Wind</v>
      </c>
      <c r="U442">
        <v>3</v>
      </c>
      <c r="V442">
        <v>140</v>
      </c>
      <c r="W442">
        <v>143</v>
      </c>
      <c r="X442" t="str">
        <f>IF(W442&lt;=75,"Low Demand",IF(W442&lt;=150,"Medium Demand",IF(W442&lt;=225,"High Demand","Very High Demand")))</f>
        <v>Medium Demand</v>
      </c>
    </row>
    <row r="443" spans="1:24" x14ac:dyDescent="0.25">
      <c r="A443">
        <v>442</v>
      </c>
      <c r="B443" s="2">
        <v>40563</v>
      </c>
      <c r="C443">
        <v>1</v>
      </c>
      <c r="D443">
        <v>0</v>
      </c>
      <c r="E443">
        <v>1</v>
      </c>
      <c r="F443">
        <v>10</v>
      </c>
      <c r="G443" t="str">
        <f>IF(F443&lt;6,"Night",IF(F443&lt;12,"Morning",IF(F443&lt;18,"Afternoon","Evening")))</f>
        <v>Morning</v>
      </c>
      <c r="H443">
        <v>0</v>
      </c>
      <c r="I443">
        <v>4</v>
      </c>
      <c r="J443" t="str">
        <f>CHOOSE(I443+1,"Monday","Tuesday","Wednesday","Thursday","Friday","Saturday","Sunday")</f>
        <v>Friday</v>
      </c>
      <c r="K443">
        <v>1</v>
      </c>
      <c r="L443" t="str">
        <f>CHOOSE(K443+1,"error","Clear","Misty","Rainy","Severe heater")</f>
        <v>Clear</v>
      </c>
      <c r="M443">
        <v>0.26</v>
      </c>
      <c r="N443" t="str">
        <f>IF(M443&lt;=0.2,"Low",IF(M443&lt;=0.4,"Mid","High"))</f>
        <v>Mid</v>
      </c>
      <c r="O443">
        <v>0.2273</v>
      </c>
      <c r="P443" t="str">
        <f>IF(O443&lt;=0.15,"Very Cold",IF(O443&lt;=0.3,"Cold",IF(O443&lt;=0.45,"Pleasant","Hot")))</f>
        <v>Cold</v>
      </c>
      <c r="Q443">
        <v>0.48</v>
      </c>
      <c r="R443" t="str">
        <f>IF(Q443&lt;=0.25,"Low ",IF(Q443&lt;=0.5,"Moderate ",IF(Q443&lt;=0.75,"High ","Very High ")))</f>
        <v xml:space="preserve">Moderate </v>
      </c>
      <c r="S443">
        <v>0.29849999999999999</v>
      </c>
      <c r="T443" t="str">
        <f>IF(S443&lt;=0.15,"Calm",IF(S443&lt;=0.3,"Light Wind",IF(S443&lt;=0.45,"Moderate Wind","Strong Wind")))</f>
        <v>Light Wind</v>
      </c>
      <c r="U443">
        <v>1</v>
      </c>
      <c r="V443">
        <v>56</v>
      </c>
      <c r="W443">
        <v>57</v>
      </c>
      <c r="X443" t="str">
        <f>IF(W443&lt;=75,"Low Demand",IF(W443&lt;=150,"Medium Demand",IF(W443&lt;=225,"High Demand","Very High Demand")))</f>
        <v>Low Demand</v>
      </c>
    </row>
    <row r="444" spans="1:24" x14ac:dyDescent="0.25">
      <c r="A444">
        <v>443</v>
      </c>
      <c r="B444" s="2">
        <v>40563</v>
      </c>
      <c r="C444">
        <v>1</v>
      </c>
      <c r="D444">
        <v>0</v>
      </c>
      <c r="E444">
        <v>1</v>
      </c>
      <c r="F444">
        <v>11</v>
      </c>
      <c r="G444" t="str">
        <f>IF(F444&lt;6,"Night",IF(F444&lt;12,"Morning",IF(F444&lt;18,"Afternoon","Evening")))</f>
        <v>Morning</v>
      </c>
      <c r="H444">
        <v>0</v>
      </c>
      <c r="I444">
        <v>4</v>
      </c>
      <c r="J444" t="str">
        <f>CHOOSE(I444+1,"Monday","Tuesday","Wednesday","Thursday","Friday","Saturday","Sunday")</f>
        <v>Friday</v>
      </c>
      <c r="K444">
        <v>2</v>
      </c>
      <c r="L444" t="str">
        <f>CHOOSE(K444+1,"error","Clear","Misty","Rainy","Severe heater")</f>
        <v>Misty</v>
      </c>
      <c r="M444">
        <v>0.28000000000000003</v>
      </c>
      <c r="N444" t="str">
        <f>IF(M444&lt;=0.2,"Low",IF(M444&lt;=0.4,"Mid","High"))</f>
        <v>Mid</v>
      </c>
      <c r="O444">
        <v>0.2727</v>
      </c>
      <c r="P444" t="str">
        <f>IF(O444&lt;=0.15,"Very Cold",IF(O444&lt;=0.3,"Cold",IF(O444&lt;=0.45,"Pleasant","Hot")))</f>
        <v>Cold</v>
      </c>
      <c r="Q444">
        <v>0.45</v>
      </c>
      <c r="R444" t="str">
        <f>IF(Q444&lt;=0.25,"Low ",IF(Q444&lt;=0.5,"Moderate ",IF(Q444&lt;=0.75,"High ","Very High ")))</f>
        <v xml:space="preserve">Moderate </v>
      </c>
      <c r="S444">
        <v>0.16420000000000001</v>
      </c>
      <c r="T444" t="str">
        <f>IF(S444&lt;=0.15,"Calm",IF(S444&lt;=0.3,"Light Wind",IF(S444&lt;=0.45,"Moderate Wind","Strong Wind")))</f>
        <v>Light Wind</v>
      </c>
      <c r="U444">
        <v>5</v>
      </c>
      <c r="V444">
        <v>63</v>
      </c>
      <c r="W444">
        <v>68</v>
      </c>
      <c r="X444" t="str">
        <f>IF(W444&lt;=75,"Low Demand",IF(W444&lt;=150,"Medium Demand",IF(W444&lt;=225,"High Demand","Very High Demand")))</f>
        <v>Low Demand</v>
      </c>
    </row>
    <row r="445" spans="1:24" x14ac:dyDescent="0.25">
      <c r="A445">
        <v>444</v>
      </c>
      <c r="B445" s="2">
        <v>40563</v>
      </c>
      <c r="C445">
        <v>1</v>
      </c>
      <c r="D445">
        <v>0</v>
      </c>
      <c r="E445">
        <v>1</v>
      </c>
      <c r="F445">
        <v>12</v>
      </c>
      <c r="G445" t="str">
        <f>IF(F445&lt;6,"Night",IF(F445&lt;12,"Morning",IF(F445&lt;18,"Afternoon","Evening")))</f>
        <v>Afternoon</v>
      </c>
      <c r="H445">
        <v>0</v>
      </c>
      <c r="I445">
        <v>4</v>
      </c>
      <c r="J445" t="str">
        <f>CHOOSE(I445+1,"Monday","Tuesday","Wednesday","Thursday","Friday","Saturday","Sunday")</f>
        <v>Friday</v>
      </c>
      <c r="K445">
        <v>2</v>
      </c>
      <c r="L445" t="str">
        <f>CHOOSE(K445+1,"error","Clear","Misty","Rainy","Severe heater")</f>
        <v>Misty</v>
      </c>
      <c r="M445">
        <v>0.3</v>
      </c>
      <c r="N445" t="str">
        <f>IF(M445&lt;=0.2,"Low",IF(M445&lt;=0.4,"Mid","High"))</f>
        <v>Mid</v>
      </c>
      <c r="O445">
        <v>0.33329999999999999</v>
      </c>
      <c r="P445" t="str">
        <f>IF(O445&lt;=0.15,"Very Cold",IF(O445&lt;=0.3,"Cold",IF(O445&lt;=0.45,"Pleasant","Hot")))</f>
        <v>Pleasant</v>
      </c>
      <c r="Q445">
        <v>0.42</v>
      </c>
      <c r="R445" t="str">
        <f>IF(Q445&lt;=0.25,"Low ",IF(Q445&lt;=0.5,"Moderate ",IF(Q445&lt;=0.75,"High ","Very High ")))</f>
        <v xml:space="preserve">Moderate </v>
      </c>
      <c r="S445">
        <v>0</v>
      </c>
      <c r="T445" t="str">
        <f>IF(S445&lt;=0.15,"Calm",IF(S445&lt;=0.3,"Light Wind",IF(S445&lt;=0.45,"Moderate Wind","Strong Wind")))</f>
        <v>Calm</v>
      </c>
      <c r="U445">
        <v>7</v>
      </c>
      <c r="V445">
        <v>77</v>
      </c>
      <c r="W445">
        <v>84</v>
      </c>
      <c r="X445" t="str">
        <f>IF(W445&lt;=75,"Low Demand",IF(W445&lt;=150,"Medium Demand",IF(W445&lt;=225,"High Demand","Very High Demand")))</f>
        <v>Medium Demand</v>
      </c>
    </row>
    <row r="446" spans="1:24" x14ac:dyDescent="0.25">
      <c r="A446">
        <v>445</v>
      </c>
      <c r="B446" s="2">
        <v>40563</v>
      </c>
      <c r="C446">
        <v>1</v>
      </c>
      <c r="D446">
        <v>0</v>
      </c>
      <c r="E446">
        <v>1</v>
      </c>
      <c r="F446">
        <v>13</v>
      </c>
      <c r="G446" t="str">
        <f>IF(F446&lt;6,"Night",IF(F446&lt;12,"Morning",IF(F446&lt;18,"Afternoon","Evening")))</f>
        <v>Afternoon</v>
      </c>
      <c r="H446">
        <v>0</v>
      </c>
      <c r="I446">
        <v>4</v>
      </c>
      <c r="J446" t="str">
        <f>CHOOSE(I446+1,"Monday","Tuesday","Wednesday","Thursday","Friday","Saturday","Sunday")</f>
        <v>Friday</v>
      </c>
      <c r="K446">
        <v>2</v>
      </c>
      <c r="L446" t="str">
        <f>CHOOSE(K446+1,"error","Clear","Misty","Rainy","Severe heater")</f>
        <v>Misty</v>
      </c>
      <c r="M446">
        <v>0.28000000000000003</v>
      </c>
      <c r="N446" t="str">
        <f>IF(M446&lt;=0.2,"Low",IF(M446&lt;=0.4,"Mid","High"))</f>
        <v>Mid</v>
      </c>
      <c r="O446">
        <v>0.28789999999999999</v>
      </c>
      <c r="P446" t="str">
        <f>IF(O446&lt;=0.15,"Very Cold",IF(O446&lt;=0.3,"Cold",IF(O446&lt;=0.45,"Pleasant","Hot")))</f>
        <v>Cold</v>
      </c>
      <c r="Q446">
        <v>0.45</v>
      </c>
      <c r="R446" t="str">
        <f>IF(Q446&lt;=0.25,"Low ",IF(Q446&lt;=0.5,"Moderate ",IF(Q446&lt;=0.75,"High ","Very High ")))</f>
        <v xml:space="preserve">Moderate </v>
      </c>
      <c r="S446">
        <v>0.1045</v>
      </c>
      <c r="T446" t="str">
        <f>IF(S446&lt;=0.15,"Calm",IF(S446&lt;=0.3,"Light Wind",IF(S446&lt;=0.45,"Moderate Wind","Strong Wind")))</f>
        <v>Calm</v>
      </c>
      <c r="U446">
        <v>12</v>
      </c>
      <c r="V446">
        <v>86</v>
      </c>
      <c r="W446">
        <v>98</v>
      </c>
      <c r="X446" t="str">
        <f>IF(W446&lt;=75,"Low Demand",IF(W446&lt;=150,"Medium Demand",IF(W446&lt;=225,"High Demand","Very High Demand")))</f>
        <v>Medium Demand</v>
      </c>
    </row>
    <row r="447" spans="1:24" x14ac:dyDescent="0.25">
      <c r="A447">
        <v>446</v>
      </c>
      <c r="B447" s="2">
        <v>40563</v>
      </c>
      <c r="C447">
        <v>1</v>
      </c>
      <c r="D447">
        <v>0</v>
      </c>
      <c r="E447">
        <v>1</v>
      </c>
      <c r="F447">
        <v>14</v>
      </c>
      <c r="G447" t="str">
        <f>IF(F447&lt;6,"Night",IF(F447&lt;12,"Morning",IF(F447&lt;18,"Afternoon","Evening")))</f>
        <v>Afternoon</v>
      </c>
      <c r="H447">
        <v>0</v>
      </c>
      <c r="I447">
        <v>4</v>
      </c>
      <c r="J447" t="str">
        <f>CHOOSE(I447+1,"Monday","Tuesday","Wednesday","Thursday","Friday","Saturday","Sunday")</f>
        <v>Friday</v>
      </c>
      <c r="K447">
        <v>2</v>
      </c>
      <c r="L447" t="str">
        <f>CHOOSE(K447+1,"error","Clear","Misty","Rainy","Severe heater")</f>
        <v>Misty</v>
      </c>
      <c r="M447">
        <v>0.3</v>
      </c>
      <c r="N447" t="str">
        <f>IF(M447&lt;=0.2,"Low",IF(M447&lt;=0.4,"Mid","High"))</f>
        <v>Mid</v>
      </c>
      <c r="O447">
        <v>0.30299999999999999</v>
      </c>
      <c r="P447" t="str">
        <f>IF(O447&lt;=0.15,"Very Cold",IF(O447&lt;=0.3,"Cold",IF(O447&lt;=0.45,"Pleasant","Hot")))</f>
        <v>Pleasant</v>
      </c>
      <c r="Q447">
        <v>0.45</v>
      </c>
      <c r="R447" t="str">
        <f>IF(Q447&lt;=0.25,"Low ",IF(Q447&lt;=0.5,"Moderate ",IF(Q447&lt;=0.75,"High ","Very High ")))</f>
        <v xml:space="preserve">Moderate </v>
      </c>
      <c r="S447">
        <v>0.1343</v>
      </c>
      <c r="T447" t="str">
        <f>IF(S447&lt;=0.15,"Calm",IF(S447&lt;=0.3,"Light Wind",IF(S447&lt;=0.45,"Moderate Wind","Strong Wind")))</f>
        <v>Calm</v>
      </c>
      <c r="U447">
        <v>6</v>
      </c>
      <c r="V447">
        <v>75</v>
      </c>
      <c r="W447">
        <v>81</v>
      </c>
      <c r="X447" t="str">
        <f>IF(W447&lt;=75,"Low Demand",IF(W447&lt;=150,"Medium Demand",IF(W447&lt;=225,"High Demand","Very High Demand")))</f>
        <v>Medium Demand</v>
      </c>
    </row>
    <row r="448" spans="1:24" x14ac:dyDescent="0.25">
      <c r="A448">
        <v>447</v>
      </c>
      <c r="B448" s="2">
        <v>40563</v>
      </c>
      <c r="C448">
        <v>1</v>
      </c>
      <c r="D448">
        <v>0</v>
      </c>
      <c r="E448">
        <v>1</v>
      </c>
      <c r="F448">
        <v>15</v>
      </c>
      <c r="G448" t="str">
        <f>IF(F448&lt;6,"Night",IF(F448&lt;12,"Morning",IF(F448&lt;18,"Afternoon","Evening")))</f>
        <v>Afternoon</v>
      </c>
      <c r="H448">
        <v>0</v>
      </c>
      <c r="I448">
        <v>4</v>
      </c>
      <c r="J448" t="str">
        <f>CHOOSE(I448+1,"Monday","Tuesday","Wednesday","Thursday","Friday","Saturday","Sunday")</f>
        <v>Friday</v>
      </c>
      <c r="K448">
        <v>2</v>
      </c>
      <c r="L448" t="str">
        <f>CHOOSE(K448+1,"error","Clear","Misty","Rainy","Severe heater")</f>
        <v>Misty</v>
      </c>
      <c r="M448">
        <v>0.32</v>
      </c>
      <c r="N448" t="str">
        <f>IF(M448&lt;=0.2,"Low",IF(M448&lt;=0.4,"Mid","High"))</f>
        <v>Mid</v>
      </c>
      <c r="O448">
        <v>0.31819999999999998</v>
      </c>
      <c r="P448" t="str">
        <f>IF(O448&lt;=0.15,"Very Cold",IF(O448&lt;=0.3,"Cold",IF(O448&lt;=0.45,"Pleasant","Hot")))</f>
        <v>Pleasant</v>
      </c>
      <c r="Q448">
        <v>0.45</v>
      </c>
      <c r="R448" t="str">
        <f>IF(Q448&lt;=0.25,"Low ",IF(Q448&lt;=0.5,"Moderate ",IF(Q448&lt;=0.75,"High ","Very High ")))</f>
        <v xml:space="preserve">Moderate </v>
      </c>
      <c r="S448">
        <v>0.19400000000000001</v>
      </c>
      <c r="T448" t="str">
        <f>IF(S448&lt;=0.15,"Calm",IF(S448&lt;=0.3,"Light Wind",IF(S448&lt;=0.45,"Moderate Wind","Strong Wind")))</f>
        <v>Light Wind</v>
      </c>
      <c r="U448">
        <v>8</v>
      </c>
      <c r="V448">
        <v>62</v>
      </c>
      <c r="W448">
        <v>70</v>
      </c>
      <c r="X448" t="str">
        <f>IF(W448&lt;=75,"Low Demand",IF(W448&lt;=150,"Medium Demand",IF(W448&lt;=225,"High Demand","Very High Demand")))</f>
        <v>Low Demand</v>
      </c>
    </row>
    <row r="449" spans="1:24" x14ac:dyDescent="0.25">
      <c r="A449">
        <v>448</v>
      </c>
      <c r="B449" s="2">
        <v>40563</v>
      </c>
      <c r="C449">
        <v>1</v>
      </c>
      <c r="D449">
        <v>0</v>
      </c>
      <c r="E449">
        <v>1</v>
      </c>
      <c r="F449">
        <v>16</v>
      </c>
      <c r="G449" t="str">
        <f>IF(F449&lt;6,"Night",IF(F449&lt;12,"Morning",IF(F449&lt;18,"Afternoon","Evening")))</f>
        <v>Afternoon</v>
      </c>
      <c r="H449">
        <v>0</v>
      </c>
      <c r="I449">
        <v>4</v>
      </c>
      <c r="J449" t="str">
        <f>CHOOSE(I449+1,"Monday","Tuesday","Wednesday","Thursday","Friday","Saturday","Sunday")</f>
        <v>Friday</v>
      </c>
      <c r="K449">
        <v>2</v>
      </c>
      <c r="L449" t="str">
        <f>CHOOSE(K449+1,"error","Clear","Misty","Rainy","Severe heater")</f>
        <v>Misty</v>
      </c>
      <c r="M449">
        <v>0.3</v>
      </c>
      <c r="N449" t="str">
        <f>IF(M449&lt;=0.2,"Low",IF(M449&lt;=0.4,"Mid","High"))</f>
        <v>Mid</v>
      </c>
      <c r="O449">
        <v>0.30299999999999999</v>
      </c>
      <c r="P449" t="str">
        <f>IF(O449&lt;=0.15,"Very Cold",IF(O449&lt;=0.3,"Cold",IF(O449&lt;=0.45,"Pleasant","Hot")))</f>
        <v>Pleasant</v>
      </c>
      <c r="Q449">
        <v>0.49</v>
      </c>
      <c r="R449" t="str">
        <f>IF(Q449&lt;=0.25,"Low ",IF(Q449&lt;=0.5,"Moderate ",IF(Q449&lt;=0.75,"High ","Very High ")))</f>
        <v xml:space="preserve">Moderate </v>
      </c>
      <c r="S449">
        <v>0.1343</v>
      </c>
      <c r="T449" t="str">
        <f>IF(S449&lt;=0.15,"Calm",IF(S449&lt;=0.3,"Light Wind",IF(S449&lt;=0.45,"Moderate Wind","Strong Wind")))</f>
        <v>Calm</v>
      </c>
      <c r="U449">
        <v>8</v>
      </c>
      <c r="V449">
        <v>83</v>
      </c>
      <c r="W449">
        <v>91</v>
      </c>
      <c r="X449" t="str">
        <f>IF(W449&lt;=75,"Low Demand",IF(W449&lt;=150,"Medium Demand",IF(W449&lt;=225,"High Demand","Very High Demand")))</f>
        <v>Medium Demand</v>
      </c>
    </row>
    <row r="450" spans="1:24" x14ac:dyDescent="0.25">
      <c r="A450">
        <v>449</v>
      </c>
      <c r="B450" s="2">
        <v>40563</v>
      </c>
      <c r="C450">
        <v>1</v>
      </c>
      <c r="D450">
        <v>0</v>
      </c>
      <c r="E450">
        <v>1</v>
      </c>
      <c r="F450">
        <v>17</v>
      </c>
      <c r="G450" t="str">
        <f>IF(F450&lt;6,"Night",IF(F450&lt;12,"Morning",IF(F450&lt;18,"Afternoon","Evening")))</f>
        <v>Afternoon</v>
      </c>
      <c r="H450">
        <v>0</v>
      </c>
      <c r="I450">
        <v>4</v>
      </c>
      <c r="J450" t="str">
        <f>CHOOSE(I450+1,"Monday","Tuesday","Wednesday","Thursday","Friday","Saturday","Sunday")</f>
        <v>Friday</v>
      </c>
      <c r="K450">
        <v>2</v>
      </c>
      <c r="L450" t="str">
        <f>CHOOSE(K450+1,"error","Clear","Misty","Rainy","Severe heater")</f>
        <v>Misty</v>
      </c>
      <c r="M450">
        <v>0.3</v>
      </c>
      <c r="N450" t="str">
        <f>IF(M450&lt;=0.2,"Low",IF(M450&lt;=0.4,"Mid","High"))</f>
        <v>Mid</v>
      </c>
      <c r="O450">
        <v>0.31819999999999998</v>
      </c>
      <c r="P450" t="str">
        <f>IF(O450&lt;=0.15,"Very Cold",IF(O450&lt;=0.3,"Cold",IF(O450&lt;=0.45,"Pleasant","Hot")))</f>
        <v>Pleasant</v>
      </c>
      <c r="Q450">
        <v>0.49</v>
      </c>
      <c r="R450" t="str">
        <f>IF(Q450&lt;=0.25,"Low ",IF(Q450&lt;=0.5,"Moderate ",IF(Q450&lt;=0.75,"High ","Very High ")))</f>
        <v xml:space="preserve">Moderate </v>
      </c>
      <c r="S450">
        <v>0.1045</v>
      </c>
      <c r="T450" t="str">
        <f>IF(S450&lt;=0.15,"Calm",IF(S450&lt;=0.3,"Light Wind",IF(S450&lt;=0.45,"Moderate Wind","Strong Wind")))</f>
        <v>Calm</v>
      </c>
      <c r="U450">
        <v>8</v>
      </c>
      <c r="V450">
        <v>207</v>
      </c>
      <c r="W450">
        <v>215</v>
      </c>
      <c r="X450" t="str">
        <f>IF(W450&lt;=75,"Low Demand",IF(W450&lt;=150,"Medium Demand",IF(W450&lt;=225,"High Demand","Very High Demand")))</f>
        <v>High Demand</v>
      </c>
    </row>
    <row r="451" spans="1:24" x14ac:dyDescent="0.25">
      <c r="A451">
        <v>450</v>
      </c>
      <c r="B451" s="2">
        <v>40563</v>
      </c>
      <c r="C451">
        <v>1</v>
      </c>
      <c r="D451">
        <v>0</v>
      </c>
      <c r="E451">
        <v>1</v>
      </c>
      <c r="F451">
        <v>18</v>
      </c>
      <c r="G451" t="str">
        <f>IF(F451&lt;6,"Night",IF(F451&lt;12,"Morning",IF(F451&lt;18,"Afternoon","Evening")))</f>
        <v>Evening</v>
      </c>
      <c r="H451">
        <v>0</v>
      </c>
      <c r="I451">
        <v>4</v>
      </c>
      <c r="J451" t="str">
        <f>CHOOSE(I451+1,"Monday","Tuesday","Wednesday","Thursday","Friday","Saturday","Sunday")</f>
        <v>Friday</v>
      </c>
      <c r="K451">
        <v>2</v>
      </c>
      <c r="L451" t="str">
        <f>CHOOSE(K451+1,"error","Clear","Misty","Rainy","Severe heater")</f>
        <v>Misty</v>
      </c>
      <c r="M451">
        <v>0.26</v>
      </c>
      <c r="N451" t="str">
        <f>IF(M451&lt;=0.2,"Low",IF(M451&lt;=0.4,"Mid","High"))</f>
        <v>Mid</v>
      </c>
      <c r="O451">
        <v>0.2576</v>
      </c>
      <c r="P451" t="str">
        <f>IF(O451&lt;=0.15,"Very Cold",IF(O451&lt;=0.3,"Cold",IF(O451&lt;=0.45,"Pleasant","Hot")))</f>
        <v>Cold</v>
      </c>
      <c r="Q451">
        <v>0.56000000000000005</v>
      </c>
      <c r="R451" t="str">
        <f>IF(Q451&lt;=0.25,"Low ",IF(Q451&lt;=0.5,"Moderate ",IF(Q451&lt;=0.75,"High ","Very High ")))</f>
        <v xml:space="preserve">High </v>
      </c>
      <c r="S451">
        <v>0.19400000000000001</v>
      </c>
      <c r="T451" t="str">
        <f>IF(S451&lt;=0.15,"Calm",IF(S451&lt;=0.3,"Light Wind",IF(S451&lt;=0.45,"Moderate Wind","Strong Wind")))</f>
        <v>Light Wind</v>
      </c>
      <c r="U451">
        <v>1</v>
      </c>
      <c r="V451">
        <v>184</v>
      </c>
      <c r="W451">
        <v>185</v>
      </c>
      <c r="X451" t="str">
        <f>IF(W451&lt;=75,"Low Demand",IF(W451&lt;=150,"Medium Demand",IF(W451&lt;=225,"High Demand","Very High Demand")))</f>
        <v>High Demand</v>
      </c>
    </row>
    <row r="452" spans="1:24" x14ac:dyDescent="0.25">
      <c r="A452">
        <v>451</v>
      </c>
      <c r="B452" s="2">
        <v>40563</v>
      </c>
      <c r="C452">
        <v>1</v>
      </c>
      <c r="D452">
        <v>0</v>
      </c>
      <c r="E452">
        <v>1</v>
      </c>
      <c r="F452">
        <v>19</v>
      </c>
      <c r="G452" t="str">
        <f>IF(F452&lt;6,"Night",IF(F452&lt;12,"Morning",IF(F452&lt;18,"Afternoon","Evening")))</f>
        <v>Evening</v>
      </c>
      <c r="H452">
        <v>0</v>
      </c>
      <c r="I452">
        <v>4</v>
      </c>
      <c r="J452" t="str">
        <f>CHOOSE(I452+1,"Monday","Tuesday","Wednesday","Thursday","Friday","Saturday","Sunday")</f>
        <v>Friday</v>
      </c>
      <c r="K452">
        <v>1</v>
      </c>
      <c r="L452" t="str">
        <f>CHOOSE(K452+1,"error","Clear","Misty","Rainy","Severe heater")</f>
        <v>Clear</v>
      </c>
      <c r="M452">
        <v>0.26</v>
      </c>
      <c r="N452" t="str">
        <f>IF(M452&lt;=0.2,"Low",IF(M452&lt;=0.4,"Mid","High"))</f>
        <v>Mid</v>
      </c>
      <c r="O452">
        <v>0.2273</v>
      </c>
      <c r="P452" t="str">
        <f>IF(O452&lt;=0.15,"Very Cold",IF(O452&lt;=0.3,"Cold",IF(O452&lt;=0.45,"Pleasant","Hot")))</f>
        <v>Cold</v>
      </c>
      <c r="Q452">
        <v>0.56000000000000005</v>
      </c>
      <c r="R452" t="str">
        <f>IF(Q452&lt;=0.25,"Low ",IF(Q452&lt;=0.5,"Moderate ",IF(Q452&lt;=0.75,"High ","Very High ")))</f>
        <v xml:space="preserve">High </v>
      </c>
      <c r="S452">
        <v>0.32840000000000003</v>
      </c>
      <c r="T452" t="str">
        <f>IF(S452&lt;=0.15,"Calm",IF(S452&lt;=0.3,"Light Wind",IF(S452&lt;=0.45,"Moderate Wind","Strong Wind")))</f>
        <v>Moderate Wind</v>
      </c>
      <c r="U452">
        <v>6</v>
      </c>
      <c r="V452">
        <v>146</v>
      </c>
      <c r="W452">
        <v>152</v>
      </c>
      <c r="X452" t="str">
        <f>IF(W452&lt;=75,"Low Demand",IF(W452&lt;=150,"Medium Demand",IF(W452&lt;=225,"High Demand","Very High Demand")))</f>
        <v>High Demand</v>
      </c>
    </row>
    <row r="453" spans="1:24" x14ac:dyDescent="0.25">
      <c r="A453">
        <v>452</v>
      </c>
      <c r="B453" s="2">
        <v>40563</v>
      </c>
      <c r="C453">
        <v>1</v>
      </c>
      <c r="D453">
        <v>0</v>
      </c>
      <c r="E453">
        <v>1</v>
      </c>
      <c r="F453">
        <v>20</v>
      </c>
      <c r="G453" t="str">
        <f>IF(F453&lt;6,"Night",IF(F453&lt;12,"Morning",IF(F453&lt;18,"Afternoon","Evening")))</f>
        <v>Evening</v>
      </c>
      <c r="H453">
        <v>0</v>
      </c>
      <c r="I453">
        <v>4</v>
      </c>
      <c r="J453" t="str">
        <f>CHOOSE(I453+1,"Monday","Tuesday","Wednesday","Thursday","Friday","Saturday","Sunday")</f>
        <v>Friday</v>
      </c>
      <c r="K453">
        <v>2</v>
      </c>
      <c r="L453" t="str">
        <f>CHOOSE(K453+1,"error","Clear","Misty","Rainy","Severe heater")</f>
        <v>Misty</v>
      </c>
      <c r="M453">
        <v>0.26</v>
      </c>
      <c r="N453" t="str">
        <f>IF(M453&lt;=0.2,"Low",IF(M453&lt;=0.4,"Mid","High"))</f>
        <v>Mid</v>
      </c>
      <c r="O453">
        <v>0.2424</v>
      </c>
      <c r="P453" t="str">
        <f>IF(O453&lt;=0.15,"Very Cold",IF(O453&lt;=0.3,"Cold",IF(O453&lt;=0.45,"Pleasant","Hot")))</f>
        <v>Cold</v>
      </c>
      <c r="Q453">
        <v>0.6</v>
      </c>
      <c r="R453" t="str">
        <f>IF(Q453&lt;=0.25,"Low ",IF(Q453&lt;=0.5,"Moderate ",IF(Q453&lt;=0.75,"High ","Very High ")))</f>
        <v xml:space="preserve">High </v>
      </c>
      <c r="S453">
        <v>0.28360000000000002</v>
      </c>
      <c r="T453" t="str">
        <f>IF(S453&lt;=0.15,"Calm",IF(S453&lt;=0.3,"Light Wind",IF(S453&lt;=0.45,"Moderate Wind","Strong Wind")))</f>
        <v>Light Wind</v>
      </c>
      <c r="U453">
        <v>2</v>
      </c>
      <c r="V453">
        <v>124</v>
      </c>
      <c r="W453">
        <v>126</v>
      </c>
      <c r="X453" t="str">
        <f>IF(W453&lt;=75,"Low Demand",IF(W453&lt;=150,"Medium Demand",IF(W453&lt;=225,"High Demand","Very High Demand")))</f>
        <v>Medium Demand</v>
      </c>
    </row>
    <row r="454" spans="1:24" x14ac:dyDescent="0.25">
      <c r="A454">
        <v>453</v>
      </c>
      <c r="B454" s="2">
        <v>40563</v>
      </c>
      <c r="C454">
        <v>1</v>
      </c>
      <c r="D454">
        <v>0</v>
      </c>
      <c r="E454">
        <v>1</v>
      </c>
      <c r="F454">
        <v>21</v>
      </c>
      <c r="G454" t="str">
        <f>IF(F454&lt;6,"Night",IF(F454&lt;12,"Morning",IF(F454&lt;18,"Afternoon","Evening")))</f>
        <v>Evening</v>
      </c>
      <c r="H454">
        <v>0</v>
      </c>
      <c r="I454">
        <v>4</v>
      </c>
      <c r="J454" t="str">
        <f>CHOOSE(I454+1,"Monday","Tuesday","Wednesday","Thursday","Friday","Saturday","Sunday")</f>
        <v>Friday</v>
      </c>
      <c r="K454">
        <v>2</v>
      </c>
      <c r="L454" t="str">
        <f>CHOOSE(K454+1,"error","Clear","Misty","Rainy","Severe heater")</f>
        <v>Misty</v>
      </c>
      <c r="M454">
        <v>0.24</v>
      </c>
      <c r="N454" t="str">
        <f>IF(M454&lt;=0.2,"Low",IF(M454&lt;=0.4,"Mid","High"))</f>
        <v>Mid</v>
      </c>
      <c r="O454">
        <v>0.2273</v>
      </c>
      <c r="P454" t="str">
        <f>IF(O454&lt;=0.15,"Very Cold",IF(O454&lt;=0.3,"Cold",IF(O454&lt;=0.45,"Pleasant","Hot")))</f>
        <v>Cold</v>
      </c>
      <c r="Q454">
        <v>0.6</v>
      </c>
      <c r="R454" t="str">
        <f>IF(Q454&lt;=0.25,"Low ",IF(Q454&lt;=0.5,"Moderate ",IF(Q454&lt;=0.75,"High ","Very High ")))</f>
        <v xml:space="preserve">High </v>
      </c>
      <c r="S454">
        <v>0.25369999999999998</v>
      </c>
      <c r="T454" t="str">
        <f>IF(S454&lt;=0.15,"Calm",IF(S454&lt;=0.3,"Light Wind",IF(S454&lt;=0.45,"Moderate Wind","Strong Wind")))</f>
        <v>Light Wind</v>
      </c>
      <c r="U454">
        <v>3</v>
      </c>
      <c r="V454">
        <v>54</v>
      </c>
      <c r="W454">
        <v>57</v>
      </c>
      <c r="X454" t="str">
        <f>IF(W454&lt;=75,"Low Demand",IF(W454&lt;=150,"Medium Demand",IF(W454&lt;=225,"High Demand","Very High Demand")))</f>
        <v>Low Demand</v>
      </c>
    </row>
    <row r="455" spans="1:24" x14ac:dyDescent="0.25">
      <c r="A455">
        <v>454</v>
      </c>
      <c r="B455" s="2">
        <v>40563</v>
      </c>
      <c r="C455">
        <v>1</v>
      </c>
      <c r="D455">
        <v>0</v>
      </c>
      <c r="E455">
        <v>1</v>
      </c>
      <c r="F455">
        <v>22</v>
      </c>
      <c r="G455" t="str">
        <f>IF(F455&lt;6,"Night",IF(F455&lt;12,"Morning",IF(F455&lt;18,"Afternoon","Evening")))</f>
        <v>Evening</v>
      </c>
      <c r="H455">
        <v>0</v>
      </c>
      <c r="I455">
        <v>4</v>
      </c>
      <c r="J455" t="str">
        <f>CHOOSE(I455+1,"Monday","Tuesday","Wednesday","Thursday","Friday","Saturday","Sunday")</f>
        <v>Friday</v>
      </c>
      <c r="K455">
        <v>2</v>
      </c>
      <c r="L455" t="str">
        <f>CHOOSE(K455+1,"error","Clear","Misty","Rainy","Severe heater")</f>
        <v>Misty</v>
      </c>
      <c r="M455">
        <v>0.24</v>
      </c>
      <c r="N455" t="str">
        <f>IF(M455&lt;=0.2,"Low",IF(M455&lt;=0.4,"Mid","High"))</f>
        <v>Mid</v>
      </c>
      <c r="O455">
        <v>0.21210000000000001</v>
      </c>
      <c r="P455" t="str">
        <f>IF(O455&lt;=0.15,"Very Cold",IF(O455&lt;=0.3,"Cold",IF(O455&lt;=0.45,"Pleasant","Hot")))</f>
        <v>Cold</v>
      </c>
      <c r="Q455">
        <v>0.65</v>
      </c>
      <c r="R455" t="str">
        <f>IF(Q455&lt;=0.25,"Low ",IF(Q455&lt;=0.5,"Moderate ",IF(Q455&lt;=0.75,"High ","Very High ")))</f>
        <v xml:space="preserve">High </v>
      </c>
      <c r="S455">
        <v>0.28360000000000002</v>
      </c>
      <c r="T455" t="str">
        <f>IF(S455&lt;=0.15,"Calm",IF(S455&lt;=0.3,"Light Wind",IF(S455&lt;=0.45,"Moderate Wind","Strong Wind")))</f>
        <v>Light Wind</v>
      </c>
      <c r="U455">
        <v>0</v>
      </c>
      <c r="V455">
        <v>56</v>
      </c>
      <c r="W455">
        <v>56</v>
      </c>
      <c r="X455" t="str">
        <f>IF(W455&lt;=75,"Low Demand",IF(W455&lt;=150,"Medium Demand",IF(W455&lt;=225,"High Demand","Very High Demand")))</f>
        <v>Low Demand</v>
      </c>
    </row>
    <row r="456" spans="1:24" x14ac:dyDescent="0.25">
      <c r="A456">
        <v>455</v>
      </c>
      <c r="B456" s="2">
        <v>40563</v>
      </c>
      <c r="C456">
        <v>1</v>
      </c>
      <c r="D456">
        <v>0</v>
      </c>
      <c r="E456">
        <v>1</v>
      </c>
      <c r="F456">
        <v>23</v>
      </c>
      <c r="G456" t="str">
        <f>IF(F456&lt;6,"Night",IF(F456&lt;12,"Morning",IF(F456&lt;18,"Afternoon","Evening")))</f>
        <v>Evening</v>
      </c>
      <c r="H456">
        <v>0</v>
      </c>
      <c r="I456">
        <v>4</v>
      </c>
      <c r="J456" t="str">
        <f>CHOOSE(I456+1,"Monday","Tuesday","Wednesday","Thursday","Friday","Saturday","Sunday")</f>
        <v>Friday</v>
      </c>
      <c r="K456">
        <v>2</v>
      </c>
      <c r="L456" t="str">
        <f>CHOOSE(K456+1,"error","Clear","Misty","Rainy","Severe heater")</f>
        <v>Misty</v>
      </c>
      <c r="M456">
        <v>0.24</v>
      </c>
      <c r="N456" t="str">
        <f>IF(M456&lt;=0.2,"Low",IF(M456&lt;=0.4,"Mid","High"))</f>
        <v>Mid</v>
      </c>
      <c r="O456">
        <v>0.21210000000000001</v>
      </c>
      <c r="P456" t="str">
        <f>IF(O456&lt;=0.15,"Very Cold",IF(O456&lt;=0.3,"Cold",IF(O456&lt;=0.45,"Pleasant","Hot")))</f>
        <v>Cold</v>
      </c>
      <c r="Q456">
        <v>0.65</v>
      </c>
      <c r="R456" t="str">
        <f>IF(Q456&lt;=0.25,"Low ",IF(Q456&lt;=0.5,"Moderate ",IF(Q456&lt;=0.75,"High ","Very High ")))</f>
        <v xml:space="preserve">High </v>
      </c>
      <c r="S456">
        <v>0.32840000000000003</v>
      </c>
      <c r="T456" t="str">
        <f>IF(S456&lt;=0.15,"Calm",IF(S456&lt;=0.3,"Light Wind",IF(S456&lt;=0.45,"Moderate Wind","Strong Wind")))</f>
        <v>Moderate Wind</v>
      </c>
      <c r="U456">
        <v>3</v>
      </c>
      <c r="V456">
        <v>28</v>
      </c>
      <c r="W456">
        <v>31</v>
      </c>
      <c r="X456" t="str">
        <f>IF(W456&lt;=75,"Low Demand",IF(W456&lt;=150,"Medium Demand",IF(W456&lt;=225,"High Demand","Very High Demand")))</f>
        <v>Low Demand</v>
      </c>
    </row>
    <row r="457" spans="1:24" x14ac:dyDescent="0.25">
      <c r="A457">
        <v>456</v>
      </c>
      <c r="B457" s="2">
        <v>40564</v>
      </c>
      <c r="C457">
        <v>1</v>
      </c>
      <c r="D457">
        <v>0</v>
      </c>
      <c r="E457">
        <v>1</v>
      </c>
      <c r="F457">
        <v>0</v>
      </c>
      <c r="G457" t="str">
        <f>IF(F457&lt;6,"Night",IF(F457&lt;12,"Morning",IF(F457&lt;18,"Afternoon","Evening")))</f>
        <v>Night</v>
      </c>
      <c r="H457">
        <v>0</v>
      </c>
      <c r="I457">
        <v>5</v>
      </c>
      <c r="J457" t="str">
        <f>CHOOSE(I457+1,"Monday","Tuesday","Wednesday","Thursday","Friday","Saturday","Sunday")</f>
        <v>Saturday</v>
      </c>
      <c r="K457">
        <v>2</v>
      </c>
      <c r="L457" t="str">
        <f>CHOOSE(K457+1,"error","Clear","Misty","Rainy","Severe heater")</f>
        <v>Misty</v>
      </c>
      <c r="M457">
        <v>0.24</v>
      </c>
      <c r="N457" t="str">
        <f>IF(M457&lt;=0.2,"Low",IF(M457&lt;=0.4,"Mid","High"))</f>
        <v>Mid</v>
      </c>
      <c r="O457">
        <v>0.2273</v>
      </c>
      <c r="P457" t="str">
        <f>IF(O457&lt;=0.15,"Very Cold",IF(O457&lt;=0.3,"Cold",IF(O457&lt;=0.45,"Pleasant","Hot")))</f>
        <v>Cold</v>
      </c>
      <c r="Q457">
        <v>0.7</v>
      </c>
      <c r="R457" t="str">
        <f>IF(Q457&lt;=0.25,"Low ",IF(Q457&lt;=0.5,"Moderate ",IF(Q457&lt;=0.75,"High ","Very High ")))</f>
        <v xml:space="preserve">High </v>
      </c>
      <c r="S457">
        <v>0.25369999999999998</v>
      </c>
      <c r="T457" t="str">
        <f>IF(S457&lt;=0.15,"Calm",IF(S457&lt;=0.3,"Light Wind",IF(S457&lt;=0.45,"Moderate Wind","Strong Wind")))</f>
        <v>Light Wind</v>
      </c>
      <c r="U457">
        <v>1</v>
      </c>
      <c r="V457">
        <v>20</v>
      </c>
      <c r="W457">
        <v>21</v>
      </c>
      <c r="X457" t="str">
        <f>IF(W457&lt;=75,"Low Demand",IF(W457&lt;=150,"Medium Demand",IF(W457&lt;=225,"High Demand","Very High Demand")))</f>
        <v>Low Demand</v>
      </c>
    </row>
    <row r="458" spans="1:24" x14ac:dyDescent="0.25">
      <c r="A458">
        <v>457</v>
      </c>
      <c r="B458" s="2">
        <v>40564</v>
      </c>
      <c r="C458">
        <v>1</v>
      </c>
      <c r="D458">
        <v>0</v>
      </c>
      <c r="E458">
        <v>1</v>
      </c>
      <c r="F458">
        <v>1</v>
      </c>
      <c r="G458" t="str">
        <f>IF(F458&lt;6,"Night",IF(F458&lt;12,"Morning",IF(F458&lt;18,"Afternoon","Evening")))</f>
        <v>Night</v>
      </c>
      <c r="H458">
        <v>0</v>
      </c>
      <c r="I458">
        <v>5</v>
      </c>
      <c r="J458" t="str">
        <f>CHOOSE(I458+1,"Monday","Tuesday","Wednesday","Thursday","Friday","Saturday","Sunday")</f>
        <v>Saturday</v>
      </c>
      <c r="K458">
        <v>2</v>
      </c>
      <c r="L458" t="str">
        <f>CHOOSE(K458+1,"error","Clear","Misty","Rainy","Severe heater")</f>
        <v>Misty</v>
      </c>
      <c r="M458">
        <v>0.24</v>
      </c>
      <c r="N458" t="str">
        <f>IF(M458&lt;=0.2,"Low",IF(M458&lt;=0.4,"Mid","High"))</f>
        <v>Mid</v>
      </c>
      <c r="O458">
        <v>0.2273</v>
      </c>
      <c r="P458" t="str">
        <f>IF(O458&lt;=0.15,"Very Cold",IF(O458&lt;=0.3,"Cold",IF(O458&lt;=0.45,"Pleasant","Hot")))</f>
        <v>Cold</v>
      </c>
      <c r="Q458">
        <v>0.7</v>
      </c>
      <c r="R458" t="str">
        <f>IF(Q458&lt;=0.25,"Low ",IF(Q458&lt;=0.5,"Moderate ",IF(Q458&lt;=0.75,"High ","Very High ")))</f>
        <v xml:space="preserve">High </v>
      </c>
      <c r="S458">
        <v>0.25369999999999998</v>
      </c>
      <c r="T458" t="str">
        <f>IF(S458&lt;=0.15,"Calm",IF(S458&lt;=0.3,"Light Wind",IF(S458&lt;=0.45,"Moderate Wind","Strong Wind")))</f>
        <v>Light Wind</v>
      </c>
      <c r="U458">
        <v>0</v>
      </c>
      <c r="V458">
        <v>6</v>
      </c>
      <c r="W458">
        <v>6</v>
      </c>
      <c r="X458" t="str">
        <f>IF(W458&lt;=75,"Low Demand",IF(W458&lt;=150,"Medium Demand",IF(W458&lt;=225,"High Demand","Very High Demand")))</f>
        <v>Low Demand</v>
      </c>
    </row>
    <row r="459" spans="1:24" x14ac:dyDescent="0.25">
      <c r="A459">
        <v>458</v>
      </c>
      <c r="B459" s="2">
        <v>40564</v>
      </c>
      <c r="C459">
        <v>1</v>
      </c>
      <c r="D459">
        <v>0</v>
      </c>
      <c r="E459">
        <v>1</v>
      </c>
      <c r="F459">
        <v>2</v>
      </c>
      <c r="G459" t="str">
        <f>IF(F459&lt;6,"Night",IF(F459&lt;12,"Morning",IF(F459&lt;18,"Afternoon","Evening")))</f>
        <v>Night</v>
      </c>
      <c r="H459">
        <v>0</v>
      </c>
      <c r="I459">
        <v>5</v>
      </c>
      <c r="J459" t="str">
        <f>CHOOSE(I459+1,"Monday","Tuesday","Wednesday","Thursday","Friday","Saturday","Sunday")</f>
        <v>Saturday</v>
      </c>
      <c r="K459">
        <v>3</v>
      </c>
      <c r="L459" t="str">
        <f>CHOOSE(K459+1,"error","Clear","Misty","Rainy","Severe heater")</f>
        <v>Rainy</v>
      </c>
      <c r="M459">
        <v>0.24</v>
      </c>
      <c r="N459" t="str">
        <f>IF(M459&lt;=0.2,"Low",IF(M459&lt;=0.4,"Mid","High"))</f>
        <v>Mid</v>
      </c>
      <c r="O459">
        <v>0.2424</v>
      </c>
      <c r="P459" t="str">
        <f>IF(O459&lt;=0.15,"Very Cold",IF(O459&lt;=0.3,"Cold",IF(O459&lt;=0.45,"Pleasant","Hot")))</f>
        <v>Cold</v>
      </c>
      <c r="Q459">
        <v>0.75</v>
      </c>
      <c r="R459" t="str">
        <f>IF(Q459&lt;=0.25,"Low ",IF(Q459&lt;=0.5,"Moderate ",IF(Q459&lt;=0.75,"High ","Very High ")))</f>
        <v xml:space="preserve">High </v>
      </c>
      <c r="S459">
        <v>0.16420000000000001</v>
      </c>
      <c r="T459" t="str">
        <f>IF(S459&lt;=0.15,"Calm",IF(S459&lt;=0.3,"Light Wind",IF(S459&lt;=0.45,"Moderate Wind","Strong Wind")))</f>
        <v>Light Wind</v>
      </c>
      <c r="U459">
        <v>0</v>
      </c>
      <c r="V459">
        <v>2</v>
      </c>
      <c r="W459">
        <v>2</v>
      </c>
      <c r="X459" t="str">
        <f>IF(W459&lt;=75,"Low Demand",IF(W459&lt;=150,"Medium Demand",IF(W459&lt;=225,"High Demand","Very High Demand")))</f>
        <v>Low Demand</v>
      </c>
    </row>
    <row r="460" spans="1:24" x14ac:dyDescent="0.25">
      <c r="A460">
        <v>459</v>
      </c>
      <c r="B460" s="2">
        <v>40564</v>
      </c>
      <c r="C460">
        <v>1</v>
      </c>
      <c r="D460">
        <v>0</v>
      </c>
      <c r="E460">
        <v>1</v>
      </c>
      <c r="F460">
        <v>3</v>
      </c>
      <c r="G460" t="str">
        <f>IF(F460&lt;6,"Night",IF(F460&lt;12,"Morning",IF(F460&lt;18,"Afternoon","Evening")))</f>
        <v>Night</v>
      </c>
      <c r="H460">
        <v>0</v>
      </c>
      <c r="I460">
        <v>5</v>
      </c>
      <c r="J460" t="str">
        <f>CHOOSE(I460+1,"Monday","Tuesday","Wednesday","Thursday","Friday","Saturday","Sunday")</f>
        <v>Saturday</v>
      </c>
      <c r="K460">
        <v>3</v>
      </c>
      <c r="L460" t="str">
        <f>CHOOSE(K460+1,"error","Clear","Misty","Rainy","Severe heater")</f>
        <v>Rainy</v>
      </c>
      <c r="M460">
        <v>0.22</v>
      </c>
      <c r="N460" t="str">
        <f>IF(M460&lt;=0.2,"Low",IF(M460&lt;=0.4,"Mid","High"))</f>
        <v>Mid</v>
      </c>
      <c r="O460">
        <v>0.21210000000000001</v>
      </c>
      <c r="P460" t="str">
        <f>IF(O460&lt;=0.15,"Very Cold",IF(O460&lt;=0.3,"Cold",IF(O460&lt;=0.45,"Pleasant","Hot")))</f>
        <v>Cold</v>
      </c>
      <c r="Q460">
        <v>0.8</v>
      </c>
      <c r="R460" t="str">
        <f>IF(Q460&lt;=0.25,"Low ",IF(Q460&lt;=0.5,"Moderate ",IF(Q460&lt;=0.75,"High ","Very High ")))</f>
        <v xml:space="preserve">Very High </v>
      </c>
      <c r="S460">
        <v>0.29849999999999999</v>
      </c>
      <c r="T460" t="str">
        <f>IF(S460&lt;=0.15,"Calm",IF(S460&lt;=0.3,"Light Wind",IF(S460&lt;=0.45,"Moderate Wind","Strong Wind")))</f>
        <v>Light Wind</v>
      </c>
      <c r="U460">
        <v>0</v>
      </c>
      <c r="V460">
        <v>1</v>
      </c>
      <c r="W460">
        <v>1</v>
      </c>
      <c r="X460" t="str">
        <f>IF(W460&lt;=75,"Low Demand",IF(W460&lt;=150,"Medium Demand",IF(W460&lt;=225,"High Demand","Very High Demand")))</f>
        <v>Low Demand</v>
      </c>
    </row>
    <row r="461" spans="1:24" x14ac:dyDescent="0.25">
      <c r="A461">
        <v>460</v>
      </c>
      <c r="B461" s="2">
        <v>40564</v>
      </c>
      <c r="C461">
        <v>1</v>
      </c>
      <c r="D461">
        <v>0</v>
      </c>
      <c r="E461">
        <v>1</v>
      </c>
      <c r="F461">
        <v>4</v>
      </c>
      <c r="G461" t="str">
        <f>IF(F461&lt;6,"Night",IF(F461&lt;12,"Morning",IF(F461&lt;18,"Afternoon","Evening")))</f>
        <v>Night</v>
      </c>
      <c r="H461">
        <v>0</v>
      </c>
      <c r="I461">
        <v>5</v>
      </c>
      <c r="J461" t="str">
        <f>CHOOSE(I461+1,"Monday","Tuesday","Wednesday","Thursday","Friday","Saturday","Sunday")</f>
        <v>Saturday</v>
      </c>
      <c r="K461">
        <v>2</v>
      </c>
      <c r="L461" t="str">
        <f>CHOOSE(K461+1,"error","Clear","Misty","Rainy","Severe heater")</f>
        <v>Misty</v>
      </c>
      <c r="M461">
        <v>0.22</v>
      </c>
      <c r="N461" t="str">
        <f>IF(M461&lt;=0.2,"Low",IF(M461&lt;=0.4,"Mid","High"))</f>
        <v>Mid</v>
      </c>
      <c r="O461">
        <v>0.2576</v>
      </c>
      <c r="P461" t="str">
        <f>IF(O461&lt;=0.15,"Very Cold",IF(O461&lt;=0.3,"Cold",IF(O461&lt;=0.45,"Pleasant","Hot")))</f>
        <v>Cold</v>
      </c>
      <c r="Q461">
        <v>0.87</v>
      </c>
      <c r="R461" t="str">
        <f>IF(Q461&lt;=0.25,"Low ",IF(Q461&lt;=0.5,"Moderate ",IF(Q461&lt;=0.75,"High ","Very High ")))</f>
        <v xml:space="preserve">Very High </v>
      </c>
      <c r="S461">
        <v>8.9599999999999999E-2</v>
      </c>
      <c r="T461" t="str">
        <f>IF(S461&lt;=0.15,"Calm",IF(S461&lt;=0.3,"Light Wind",IF(S461&lt;=0.45,"Moderate Wind","Strong Wind")))</f>
        <v>Calm</v>
      </c>
      <c r="U461">
        <v>0</v>
      </c>
      <c r="V461">
        <v>1</v>
      </c>
      <c r="W461">
        <v>1</v>
      </c>
      <c r="X461" t="str">
        <f>IF(W461&lt;=75,"Low Demand",IF(W461&lt;=150,"Medium Demand",IF(W461&lt;=225,"High Demand","Very High Demand")))</f>
        <v>Low Demand</v>
      </c>
    </row>
    <row r="462" spans="1:24" x14ac:dyDescent="0.25">
      <c r="A462">
        <v>461</v>
      </c>
      <c r="B462" s="2">
        <v>40564</v>
      </c>
      <c r="C462">
        <v>1</v>
      </c>
      <c r="D462">
        <v>0</v>
      </c>
      <c r="E462">
        <v>1</v>
      </c>
      <c r="F462">
        <v>5</v>
      </c>
      <c r="G462" t="str">
        <f>IF(F462&lt;6,"Night",IF(F462&lt;12,"Morning",IF(F462&lt;18,"Afternoon","Evening")))</f>
        <v>Night</v>
      </c>
      <c r="H462">
        <v>0</v>
      </c>
      <c r="I462">
        <v>5</v>
      </c>
      <c r="J462" t="str">
        <f>CHOOSE(I462+1,"Monday","Tuesday","Wednesday","Thursday","Friday","Saturday","Sunday")</f>
        <v>Saturday</v>
      </c>
      <c r="K462">
        <v>1</v>
      </c>
      <c r="L462" t="str">
        <f>CHOOSE(K462+1,"error","Clear","Misty","Rainy","Severe heater")</f>
        <v>Clear</v>
      </c>
      <c r="M462">
        <v>0.24</v>
      </c>
      <c r="N462" t="str">
        <f>IF(M462&lt;=0.2,"Low",IF(M462&lt;=0.4,"Mid","High"))</f>
        <v>Mid</v>
      </c>
      <c r="O462">
        <v>0.19700000000000001</v>
      </c>
      <c r="P462" t="str">
        <f>IF(O462&lt;=0.15,"Very Cold",IF(O462&lt;=0.3,"Cold",IF(O462&lt;=0.45,"Pleasant","Hot")))</f>
        <v>Cold</v>
      </c>
      <c r="Q462">
        <v>0.6</v>
      </c>
      <c r="R462" t="str">
        <f>IF(Q462&lt;=0.25,"Low ",IF(Q462&lt;=0.5,"Moderate ",IF(Q462&lt;=0.75,"High ","Very High ")))</f>
        <v xml:space="preserve">High </v>
      </c>
      <c r="S462">
        <v>0.41789999999999999</v>
      </c>
      <c r="T462" t="str">
        <f>IF(S462&lt;=0.15,"Calm",IF(S462&lt;=0.3,"Light Wind",IF(S462&lt;=0.45,"Moderate Wind","Strong Wind")))</f>
        <v>Moderate Wind</v>
      </c>
      <c r="U462">
        <v>1</v>
      </c>
      <c r="V462">
        <v>4</v>
      </c>
      <c r="W462">
        <v>5</v>
      </c>
      <c r="X462" t="str">
        <f>IF(W462&lt;=75,"Low Demand",IF(W462&lt;=150,"Medium Demand",IF(W462&lt;=225,"High Demand","Very High Demand")))</f>
        <v>Low Demand</v>
      </c>
    </row>
    <row r="463" spans="1:24" x14ac:dyDescent="0.25">
      <c r="A463">
        <v>462</v>
      </c>
      <c r="B463" s="2">
        <v>40564</v>
      </c>
      <c r="C463">
        <v>1</v>
      </c>
      <c r="D463">
        <v>0</v>
      </c>
      <c r="E463">
        <v>1</v>
      </c>
      <c r="F463">
        <v>6</v>
      </c>
      <c r="G463" t="str">
        <f>IF(F463&lt;6,"Night",IF(F463&lt;12,"Morning",IF(F463&lt;18,"Afternoon","Evening")))</f>
        <v>Morning</v>
      </c>
      <c r="H463">
        <v>0</v>
      </c>
      <c r="I463">
        <v>5</v>
      </c>
      <c r="J463" t="str">
        <f>CHOOSE(I463+1,"Monday","Tuesday","Wednesday","Thursday","Friday","Saturday","Sunday")</f>
        <v>Saturday</v>
      </c>
      <c r="K463">
        <v>1</v>
      </c>
      <c r="L463" t="str">
        <f>CHOOSE(K463+1,"error","Clear","Misty","Rainy","Severe heater")</f>
        <v>Clear</v>
      </c>
      <c r="M463">
        <v>0.22</v>
      </c>
      <c r="N463" t="str">
        <f>IF(M463&lt;=0.2,"Low",IF(M463&lt;=0.4,"Mid","High"))</f>
        <v>Mid</v>
      </c>
      <c r="O463">
        <v>0.21210000000000001</v>
      </c>
      <c r="P463" t="str">
        <f>IF(O463&lt;=0.15,"Very Cold",IF(O463&lt;=0.3,"Cold",IF(O463&lt;=0.45,"Pleasant","Hot")))</f>
        <v>Cold</v>
      </c>
      <c r="Q463">
        <v>0.55000000000000004</v>
      </c>
      <c r="R463" t="str">
        <f>IF(Q463&lt;=0.25,"Low ",IF(Q463&lt;=0.5,"Moderate ",IF(Q463&lt;=0.75,"High ","Very High ")))</f>
        <v xml:space="preserve">High </v>
      </c>
      <c r="S463">
        <v>0.25369999999999998</v>
      </c>
      <c r="T463" t="str">
        <f>IF(S463&lt;=0.15,"Calm",IF(S463&lt;=0.3,"Light Wind",IF(S463&lt;=0.45,"Moderate Wind","Strong Wind")))</f>
        <v>Light Wind</v>
      </c>
      <c r="U463">
        <v>0</v>
      </c>
      <c r="V463">
        <v>27</v>
      </c>
      <c r="W463">
        <v>27</v>
      </c>
      <c r="X463" t="str">
        <f>IF(W463&lt;=75,"Low Demand",IF(W463&lt;=150,"Medium Demand",IF(W463&lt;=225,"High Demand","Very High Demand")))</f>
        <v>Low Demand</v>
      </c>
    </row>
    <row r="464" spans="1:24" x14ac:dyDescent="0.25">
      <c r="A464">
        <v>463</v>
      </c>
      <c r="B464" s="2">
        <v>40564</v>
      </c>
      <c r="C464">
        <v>1</v>
      </c>
      <c r="D464">
        <v>0</v>
      </c>
      <c r="E464">
        <v>1</v>
      </c>
      <c r="F464">
        <v>7</v>
      </c>
      <c r="G464" t="str">
        <f>IF(F464&lt;6,"Night",IF(F464&lt;12,"Morning",IF(F464&lt;18,"Afternoon","Evening")))</f>
        <v>Morning</v>
      </c>
      <c r="H464">
        <v>0</v>
      </c>
      <c r="I464">
        <v>5</v>
      </c>
      <c r="J464" t="str">
        <f>CHOOSE(I464+1,"Monday","Tuesday","Wednesday","Thursday","Friday","Saturday","Sunday")</f>
        <v>Saturday</v>
      </c>
      <c r="K464">
        <v>1</v>
      </c>
      <c r="L464" t="str">
        <f>CHOOSE(K464+1,"error","Clear","Misty","Rainy","Severe heater")</f>
        <v>Clear</v>
      </c>
      <c r="M464">
        <v>0.2</v>
      </c>
      <c r="N464" t="str">
        <f>IF(M464&lt;=0.2,"Low",IF(M464&lt;=0.4,"Mid","High"))</f>
        <v>Low</v>
      </c>
      <c r="O464">
        <v>0.18179999999999999</v>
      </c>
      <c r="P464" t="str">
        <f>IF(O464&lt;=0.15,"Very Cold",IF(O464&lt;=0.3,"Cold",IF(O464&lt;=0.45,"Pleasant","Hot")))</f>
        <v>Cold</v>
      </c>
      <c r="Q464">
        <v>0.51</v>
      </c>
      <c r="R464" t="str">
        <f>IF(Q464&lt;=0.25,"Low ",IF(Q464&lt;=0.5,"Moderate ",IF(Q464&lt;=0.75,"High ","Very High ")))</f>
        <v xml:space="preserve">High </v>
      </c>
      <c r="S464">
        <v>0.28360000000000002</v>
      </c>
      <c r="T464" t="str">
        <f>IF(S464&lt;=0.15,"Calm",IF(S464&lt;=0.3,"Light Wind",IF(S464&lt;=0.45,"Moderate Wind","Strong Wind")))</f>
        <v>Light Wind</v>
      </c>
      <c r="U464">
        <v>2</v>
      </c>
      <c r="V464">
        <v>66</v>
      </c>
      <c r="W464">
        <v>68</v>
      </c>
      <c r="X464" t="str">
        <f>IF(W464&lt;=75,"Low Demand",IF(W464&lt;=150,"Medium Demand",IF(W464&lt;=225,"High Demand","Very High Demand")))</f>
        <v>Low Demand</v>
      </c>
    </row>
    <row r="465" spans="1:24" x14ac:dyDescent="0.25">
      <c r="A465">
        <v>464</v>
      </c>
      <c r="B465" s="2">
        <v>40564</v>
      </c>
      <c r="C465">
        <v>1</v>
      </c>
      <c r="D465">
        <v>0</v>
      </c>
      <c r="E465">
        <v>1</v>
      </c>
      <c r="F465">
        <v>8</v>
      </c>
      <c r="G465" t="str">
        <f>IF(F465&lt;6,"Night",IF(F465&lt;12,"Morning",IF(F465&lt;18,"Afternoon","Evening")))</f>
        <v>Morning</v>
      </c>
      <c r="H465">
        <v>0</v>
      </c>
      <c r="I465">
        <v>5</v>
      </c>
      <c r="J465" t="str">
        <f>CHOOSE(I465+1,"Monday","Tuesday","Wednesday","Thursday","Friday","Saturday","Sunday")</f>
        <v>Saturday</v>
      </c>
      <c r="K465">
        <v>1</v>
      </c>
      <c r="L465" t="str">
        <f>CHOOSE(K465+1,"error","Clear","Misty","Rainy","Severe heater")</f>
        <v>Clear</v>
      </c>
      <c r="M465">
        <v>0.2</v>
      </c>
      <c r="N465" t="str">
        <f>IF(M465&lt;=0.2,"Low",IF(M465&lt;=0.4,"Mid","High"))</f>
        <v>Low</v>
      </c>
      <c r="O465">
        <v>0.18179999999999999</v>
      </c>
      <c r="P465" t="str">
        <f>IF(O465&lt;=0.15,"Very Cold",IF(O465&lt;=0.3,"Cold",IF(O465&lt;=0.45,"Pleasant","Hot")))</f>
        <v>Cold</v>
      </c>
      <c r="Q465">
        <v>0.47</v>
      </c>
      <c r="R465" t="str">
        <f>IF(Q465&lt;=0.25,"Low ",IF(Q465&lt;=0.5,"Moderate ",IF(Q465&lt;=0.75,"High ","Very High ")))</f>
        <v xml:space="preserve">Moderate </v>
      </c>
      <c r="S465">
        <v>0.32840000000000003</v>
      </c>
      <c r="T465" t="str">
        <f>IF(S465&lt;=0.15,"Calm",IF(S465&lt;=0.3,"Light Wind",IF(S465&lt;=0.45,"Moderate Wind","Strong Wind")))</f>
        <v>Moderate Wind</v>
      </c>
      <c r="U465">
        <v>7</v>
      </c>
      <c r="V465">
        <v>210</v>
      </c>
      <c r="W465">
        <v>217</v>
      </c>
      <c r="X465" t="str">
        <f>IF(W465&lt;=75,"Low Demand",IF(W465&lt;=150,"Medium Demand",IF(W465&lt;=225,"High Demand","Very High Demand")))</f>
        <v>High Demand</v>
      </c>
    </row>
    <row r="466" spans="1:24" x14ac:dyDescent="0.25">
      <c r="A466">
        <v>465</v>
      </c>
      <c r="B466" s="2">
        <v>40564</v>
      </c>
      <c r="C466">
        <v>1</v>
      </c>
      <c r="D466">
        <v>0</v>
      </c>
      <c r="E466">
        <v>1</v>
      </c>
      <c r="F466">
        <v>9</v>
      </c>
      <c r="G466" t="str">
        <f>IF(F466&lt;6,"Night",IF(F466&lt;12,"Morning",IF(F466&lt;18,"Afternoon","Evening")))</f>
        <v>Morning</v>
      </c>
      <c r="H466">
        <v>0</v>
      </c>
      <c r="I466">
        <v>5</v>
      </c>
      <c r="J466" t="str">
        <f>CHOOSE(I466+1,"Monday","Tuesday","Wednesday","Thursday","Friday","Saturday","Sunday")</f>
        <v>Saturday</v>
      </c>
      <c r="K466">
        <v>1</v>
      </c>
      <c r="L466" t="str">
        <f>CHOOSE(K466+1,"error","Clear","Misty","Rainy","Severe heater")</f>
        <v>Clear</v>
      </c>
      <c r="M466">
        <v>0.2</v>
      </c>
      <c r="N466" t="str">
        <f>IF(M466&lt;=0.2,"Low",IF(M466&lt;=0.4,"Mid","High"))</f>
        <v>Low</v>
      </c>
      <c r="O466">
        <v>0.18179999999999999</v>
      </c>
      <c r="P466" t="str">
        <f>IF(O466&lt;=0.15,"Very Cold",IF(O466&lt;=0.3,"Cold",IF(O466&lt;=0.45,"Pleasant","Hot")))</f>
        <v>Cold</v>
      </c>
      <c r="Q466">
        <v>0.51</v>
      </c>
      <c r="R466" t="str">
        <f>IF(Q466&lt;=0.25,"Low ",IF(Q466&lt;=0.5,"Moderate ",IF(Q466&lt;=0.75,"High ","Very High ")))</f>
        <v xml:space="preserve">High </v>
      </c>
      <c r="S466">
        <v>0.35820000000000002</v>
      </c>
      <c r="T466" t="str">
        <f>IF(S466&lt;=0.15,"Calm",IF(S466&lt;=0.3,"Light Wind",IF(S466&lt;=0.45,"Moderate Wind","Strong Wind")))</f>
        <v>Moderate Wind</v>
      </c>
      <c r="U466">
        <v>7</v>
      </c>
      <c r="V466">
        <v>159</v>
      </c>
      <c r="W466">
        <v>166</v>
      </c>
      <c r="X466" t="str">
        <f>IF(W466&lt;=75,"Low Demand",IF(W466&lt;=150,"Medium Demand",IF(W466&lt;=225,"High Demand","Very High Demand")))</f>
        <v>High Demand</v>
      </c>
    </row>
    <row r="467" spans="1:24" x14ac:dyDescent="0.25">
      <c r="A467">
        <v>466</v>
      </c>
      <c r="B467" s="2">
        <v>40564</v>
      </c>
      <c r="C467">
        <v>1</v>
      </c>
      <c r="D467">
        <v>0</v>
      </c>
      <c r="E467">
        <v>1</v>
      </c>
      <c r="F467">
        <v>10</v>
      </c>
      <c r="G467" t="str">
        <f>IF(F467&lt;6,"Night",IF(F467&lt;12,"Morning",IF(F467&lt;18,"Afternoon","Evening")))</f>
        <v>Morning</v>
      </c>
      <c r="H467">
        <v>0</v>
      </c>
      <c r="I467">
        <v>5</v>
      </c>
      <c r="J467" t="str">
        <f>CHOOSE(I467+1,"Monday","Tuesday","Wednesday","Thursday","Friday","Saturday","Sunday")</f>
        <v>Saturday</v>
      </c>
      <c r="K467">
        <v>1</v>
      </c>
      <c r="L467" t="str">
        <f>CHOOSE(K467+1,"error","Clear","Misty","Rainy","Severe heater")</f>
        <v>Clear</v>
      </c>
      <c r="M467">
        <v>0.2</v>
      </c>
      <c r="N467" t="str">
        <f>IF(M467&lt;=0.2,"Low",IF(M467&lt;=0.4,"Mid","High"))</f>
        <v>Low</v>
      </c>
      <c r="O467">
        <v>0.16669999999999999</v>
      </c>
      <c r="P467" t="str">
        <f>IF(O467&lt;=0.15,"Very Cold",IF(O467&lt;=0.3,"Cold",IF(O467&lt;=0.45,"Pleasant","Hot")))</f>
        <v>Cold</v>
      </c>
      <c r="Q467">
        <v>0.47</v>
      </c>
      <c r="R467" t="str">
        <f>IF(Q467&lt;=0.25,"Low ",IF(Q467&lt;=0.5,"Moderate ",IF(Q467&lt;=0.75,"High ","Very High ")))</f>
        <v xml:space="preserve">Moderate </v>
      </c>
      <c r="S467">
        <v>0.4627</v>
      </c>
      <c r="T467" t="str">
        <f>IF(S467&lt;=0.15,"Calm",IF(S467&lt;=0.3,"Light Wind",IF(S467&lt;=0.45,"Moderate Wind","Strong Wind")))</f>
        <v>Strong Wind</v>
      </c>
      <c r="U467">
        <v>6</v>
      </c>
      <c r="V467">
        <v>57</v>
      </c>
      <c r="W467">
        <v>63</v>
      </c>
      <c r="X467" t="str">
        <f>IF(W467&lt;=75,"Low Demand",IF(W467&lt;=150,"Medium Demand",IF(W467&lt;=225,"High Demand","Very High Demand")))</f>
        <v>Low Demand</v>
      </c>
    </row>
    <row r="468" spans="1:24" x14ac:dyDescent="0.25">
      <c r="A468">
        <v>467</v>
      </c>
      <c r="B468" s="2">
        <v>40564</v>
      </c>
      <c r="C468">
        <v>1</v>
      </c>
      <c r="D468">
        <v>0</v>
      </c>
      <c r="E468">
        <v>1</v>
      </c>
      <c r="F468">
        <v>11</v>
      </c>
      <c r="G468" t="str">
        <f>IF(F468&lt;6,"Night",IF(F468&lt;12,"Morning",IF(F468&lt;18,"Afternoon","Evening")))</f>
        <v>Morning</v>
      </c>
      <c r="H468">
        <v>0</v>
      </c>
      <c r="I468">
        <v>5</v>
      </c>
      <c r="J468" t="str">
        <f>CHOOSE(I468+1,"Monday","Tuesday","Wednesday","Thursday","Friday","Saturday","Sunday")</f>
        <v>Saturday</v>
      </c>
      <c r="K468">
        <v>1</v>
      </c>
      <c r="L468" t="str">
        <f>CHOOSE(K468+1,"error","Clear","Misty","Rainy","Severe heater")</f>
        <v>Clear</v>
      </c>
      <c r="M468">
        <v>0.22</v>
      </c>
      <c r="N468" t="str">
        <f>IF(M468&lt;=0.2,"Low",IF(M468&lt;=0.4,"Mid","High"))</f>
        <v>Mid</v>
      </c>
      <c r="O468">
        <v>0.18179999999999999</v>
      </c>
      <c r="P468" t="str">
        <f>IF(O468&lt;=0.15,"Very Cold",IF(O468&lt;=0.3,"Cold",IF(O468&lt;=0.45,"Pleasant","Hot")))</f>
        <v>Cold</v>
      </c>
      <c r="Q468">
        <v>0.41</v>
      </c>
      <c r="R468" t="str">
        <f>IF(Q468&lt;=0.25,"Low ",IF(Q468&lt;=0.5,"Moderate ",IF(Q468&lt;=0.75,"High ","Very High ")))</f>
        <v xml:space="preserve">Moderate </v>
      </c>
      <c r="S468">
        <v>0.4627</v>
      </c>
      <c r="T468" t="str">
        <f>IF(S468&lt;=0.15,"Calm",IF(S468&lt;=0.3,"Light Wind",IF(S468&lt;=0.45,"Moderate Wind","Strong Wind")))</f>
        <v>Strong Wind</v>
      </c>
      <c r="U468">
        <v>6</v>
      </c>
      <c r="V468">
        <v>53</v>
      </c>
      <c r="W468">
        <v>59</v>
      </c>
      <c r="X468" t="str">
        <f>IF(W468&lt;=75,"Low Demand",IF(W468&lt;=150,"Medium Demand",IF(W468&lt;=225,"High Demand","Very High Demand")))</f>
        <v>Low Demand</v>
      </c>
    </row>
    <row r="469" spans="1:24" x14ac:dyDescent="0.25">
      <c r="A469">
        <v>468</v>
      </c>
      <c r="B469" s="2">
        <v>40564</v>
      </c>
      <c r="C469">
        <v>1</v>
      </c>
      <c r="D469">
        <v>0</v>
      </c>
      <c r="E469">
        <v>1</v>
      </c>
      <c r="F469">
        <v>12</v>
      </c>
      <c r="G469" t="str">
        <f>IF(F469&lt;6,"Night",IF(F469&lt;12,"Morning",IF(F469&lt;18,"Afternoon","Evening")))</f>
        <v>Afternoon</v>
      </c>
      <c r="H469">
        <v>0</v>
      </c>
      <c r="I469">
        <v>5</v>
      </c>
      <c r="J469" t="str">
        <f>CHOOSE(I469+1,"Monday","Tuesday","Wednesday","Thursday","Friday","Saturday","Sunday")</f>
        <v>Saturday</v>
      </c>
      <c r="K469">
        <v>1</v>
      </c>
      <c r="L469" t="str">
        <f>CHOOSE(K469+1,"error","Clear","Misty","Rainy","Severe heater")</f>
        <v>Clear</v>
      </c>
      <c r="M469">
        <v>0.22</v>
      </c>
      <c r="N469" t="str">
        <f>IF(M469&lt;=0.2,"Low",IF(M469&lt;=0.4,"Mid","High"))</f>
        <v>Mid</v>
      </c>
      <c r="O469">
        <v>0.18179999999999999</v>
      </c>
      <c r="P469" t="str">
        <f>IF(O469&lt;=0.15,"Very Cold",IF(O469&lt;=0.3,"Cold",IF(O469&lt;=0.45,"Pleasant","Hot")))</f>
        <v>Cold</v>
      </c>
      <c r="Q469">
        <v>0.27</v>
      </c>
      <c r="R469" t="str">
        <f>IF(Q469&lt;=0.25,"Low ",IF(Q469&lt;=0.5,"Moderate ",IF(Q469&lt;=0.75,"High ","Very High ")))</f>
        <v xml:space="preserve">Moderate </v>
      </c>
      <c r="S469">
        <v>0.58209999999999995</v>
      </c>
      <c r="T469" t="str">
        <f>IF(S469&lt;=0.15,"Calm",IF(S469&lt;=0.3,"Light Wind",IF(S469&lt;=0.45,"Moderate Wind","Strong Wind")))</f>
        <v>Strong Wind</v>
      </c>
      <c r="U469">
        <v>11</v>
      </c>
      <c r="V469">
        <v>67</v>
      </c>
      <c r="W469">
        <v>78</v>
      </c>
      <c r="X469" t="str">
        <f>IF(W469&lt;=75,"Low Demand",IF(W469&lt;=150,"Medium Demand",IF(W469&lt;=225,"High Demand","Very High Demand")))</f>
        <v>Medium Demand</v>
      </c>
    </row>
    <row r="470" spans="1:24" x14ac:dyDescent="0.25">
      <c r="A470">
        <v>469</v>
      </c>
      <c r="B470" s="2">
        <v>40564</v>
      </c>
      <c r="C470">
        <v>1</v>
      </c>
      <c r="D470">
        <v>0</v>
      </c>
      <c r="E470">
        <v>1</v>
      </c>
      <c r="F470">
        <v>13</v>
      </c>
      <c r="G470" t="str">
        <f>IF(F470&lt;6,"Night",IF(F470&lt;12,"Morning",IF(F470&lt;18,"Afternoon","Evening")))</f>
        <v>Afternoon</v>
      </c>
      <c r="H470">
        <v>0</v>
      </c>
      <c r="I470">
        <v>5</v>
      </c>
      <c r="J470" t="str">
        <f>CHOOSE(I470+1,"Monday","Tuesday","Wednesday","Thursday","Friday","Saturday","Sunday")</f>
        <v>Saturday</v>
      </c>
      <c r="K470">
        <v>1</v>
      </c>
      <c r="L470" t="str">
        <f>CHOOSE(K470+1,"error","Clear","Misty","Rainy","Severe heater")</f>
        <v>Clear</v>
      </c>
      <c r="M470">
        <v>0.2</v>
      </c>
      <c r="N470" t="str">
        <f>IF(M470&lt;=0.2,"Low",IF(M470&lt;=0.4,"Mid","High"))</f>
        <v>Low</v>
      </c>
      <c r="O470">
        <v>0.1515</v>
      </c>
      <c r="P470" t="str">
        <f>IF(O470&lt;=0.15,"Very Cold",IF(O470&lt;=0.3,"Cold",IF(O470&lt;=0.45,"Pleasant","Hot")))</f>
        <v>Cold</v>
      </c>
      <c r="Q470">
        <v>0.21</v>
      </c>
      <c r="R470" t="str">
        <f>IF(Q470&lt;=0.25,"Low ",IF(Q470&lt;=0.5,"Moderate ",IF(Q470&lt;=0.75,"High ","Very High ")))</f>
        <v xml:space="preserve">Low </v>
      </c>
      <c r="S470">
        <v>0.58209999999999995</v>
      </c>
      <c r="T470" t="str">
        <f>IF(S470&lt;=0.15,"Calm",IF(S470&lt;=0.3,"Light Wind",IF(S470&lt;=0.45,"Moderate Wind","Strong Wind")))</f>
        <v>Strong Wind</v>
      </c>
      <c r="U470">
        <v>8</v>
      </c>
      <c r="V470">
        <v>65</v>
      </c>
      <c r="W470">
        <v>73</v>
      </c>
      <c r="X470" t="str">
        <f>IF(W470&lt;=75,"Low Demand",IF(W470&lt;=150,"Medium Demand",IF(W470&lt;=225,"High Demand","Very High Demand")))</f>
        <v>Low Demand</v>
      </c>
    </row>
    <row r="471" spans="1:24" x14ac:dyDescent="0.25">
      <c r="A471">
        <v>470</v>
      </c>
      <c r="B471" s="2">
        <v>40564</v>
      </c>
      <c r="C471">
        <v>1</v>
      </c>
      <c r="D471">
        <v>0</v>
      </c>
      <c r="E471">
        <v>1</v>
      </c>
      <c r="F471">
        <v>14</v>
      </c>
      <c r="G471" t="str">
        <f>IF(F471&lt;6,"Night",IF(F471&lt;12,"Morning",IF(F471&lt;18,"Afternoon","Evening")))</f>
        <v>Afternoon</v>
      </c>
      <c r="H471">
        <v>0</v>
      </c>
      <c r="I471">
        <v>5</v>
      </c>
      <c r="J471" t="str">
        <f>CHOOSE(I471+1,"Monday","Tuesday","Wednesday","Thursday","Friday","Saturday","Sunday")</f>
        <v>Saturday</v>
      </c>
      <c r="K471">
        <v>1</v>
      </c>
      <c r="L471" t="str">
        <f>CHOOSE(K471+1,"error","Clear","Misty","Rainy","Severe heater")</f>
        <v>Clear</v>
      </c>
      <c r="M471">
        <v>0.2</v>
      </c>
      <c r="N471" t="str">
        <f>IF(M471&lt;=0.2,"Low",IF(M471&lt;=0.4,"Mid","High"))</f>
        <v>Low</v>
      </c>
      <c r="O471">
        <v>0.1515</v>
      </c>
      <c r="P471" t="str">
        <f>IF(O471&lt;=0.15,"Very Cold",IF(O471&lt;=0.3,"Cold",IF(O471&lt;=0.45,"Pleasant","Hot")))</f>
        <v>Cold</v>
      </c>
      <c r="Q471">
        <v>0.25</v>
      </c>
      <c r="R471" t="str">
        <f>IF(Q471&lt;=0.25,"Low ",IF(Q471&lt;=0.5,"Moderate ",IF(Q471&lt;=0.75,"High ","Very High ")))</f>
        <v xml:space="preserve">Low </v>
      </c>
      <c r="S471">
        <v>0.52239999999999998</v>
      </c>
      <c r="T471" t="str">
        <f>IF(S471&lt;=0.15,"Calm",IF(S471&lt;=0.3,"Light Wind",IF(S471&lt;=0.45,"Moderate Wind","Strong Wind")))</f>
        <v>Strong Wind</v>
      </c>
      <c r="U471">
        <v>6</v>
      </c>
      <c r="V471">
        <v>56</v>
      </c>
      <c r="W471">
        <v>62</v>
      </c>
      <c r="X471" t="str">
        <f>IF(W471&lt;=75,"Low Demand",IF(W471&lt;=150,"Medium Demand",IF(W471&lt;=225,"High Demand","Very High Demand")))</f>
        <v>Low Demand</v>
      </c>
    </row>
    <row r="472" spans="1:24" x14ac:dyDescent="0.25">
      <c r="A472">
        <v>471</v>
      </c>
      <c r="B472" s="2">
        <v>40564</v>
      </c>
      <c r="C472">
        <v>1</v>
      </c>
      <c r="D472">
        <v>0</v>
      </c>
      <c r="E472">
        <v>1</v>
      </c>
      <c r="F472">
        <v>15</v>
      </c>
      <c r="G472" t="str">
        <f>IF(F472&lt;6,"Night",IF(F472&lt;12,"Morning",IF(F472&lt;18,"Afternoon","Evening")))</f>
        <v>Afternoon</v>
      </c>
      <c r="H472">
        <v>0</v>
      </c>
      <c r="I472">
        <v>5</v>
      </c>
      <c r="J472" t="str">
        <f>CHOOSE(I472+1,"Monday","Tuesday","Wednesday","Thursday","Friday","Saturday","Sunday")</f>
        <v>Saturday</v>
      </c>
      <c r="K472">
        <v>1</v>
      </c>
      <c r="L472" t="str">
        <f>CHOOSE(K472+1,"error","Clear","Misty","Rainy","Severe heater")</f>
        <v>Clear</v>
      </c>
      <c r="M472">
        <v>0.16</v>
      </c>
      <c r="N472" t="str">
        <f>IF(M472&lt;=0.2,"Low",IF(M472&lt;=0.4,"Mid","High"))</f>
        <v>Low</v>
      </c>
      <c r="O472">
        <v>0.1212</v>
      </c>
      <c r="P472" t="str">
        <f>IF(O472&lt;=0.15,"Very Cold",IF(O472&lt;=0.3,"Cold",IF(O472&lt;=0.45,"Pleasant","Hot")))</f>
        <v>Very Cold</v>
      </c>
      <c r="Q472">
        <v>0.26</v>
      </c>
      <c r="R472" t="str">
        <f>IF(Q472&lt;=0.25,"Low ",IF(Q472&lt;=0.5,"Moderate ",IF(Q472&lt;=0.75,"High ","Very High ")))</f>
        <v xml:space="preserve">Moderate </v>
      </c>
      <c r="S472">
        <v>0.44779999999999998</v>
      </c>
      <c r="T472" t="str">
        <f>IF(S472&lt;=0.15,"Calm",IF(S472&lt;=0.3,"Light Wind",IF(S472&lt;=0.45,"Moderate Wind","Strong Wind")))</f>
        <v>Moderate Wind</v>
      </c>
      <c r="U472">
        <v>4</v>
      </c>
      <c r="V472">
        <v>61</v>
      </c>
      <c r="W472">
        <v>65</v>
      </c>
      <c r="X472" t="str">
        <f>IF(W472&lt;=75,"Low Demand",IF(W472&lt;=150,"Medium Demand",IF(W472&lt;=225,"High Demand","Very High Demand")))</f>
        <v>Low Demand</v>
      </c>
    </row>
    <row r="473" spans="1:24" x14ac:dyDescent="0.25">
      <c r="A473">
        <v>472</v>
      </c>
      <c r="B473" s="2">
        <v>40564</v>
      </c>
      <c r="C473">
        <v>1</v>
      </c>
      <c r="D473">
        <v>0</v>
      </c>
      <c r="E473">
        <v>1</v>
      </c>
      <c r="F473">
        <v>16</v>
      </c>
      <c r="G473" t="str">
        <f>IF(F473&lt;6,"Night",IF(F473&lt;12,"Morning",IF(F473&lt;18,"Afternoon","Evening")))</f>
        <v>Afternoon</v>
      </c>
      <c r="H473">
        <v>0</v>
      </c>
      <c r="I473">
        <v>5</v>
      </c>
      <c r="J473" t="str">
        <f>CHOOSE(I473+1,"Monday","Tuesday","Wednesday","Thursday","Friday","Saturday","Sunday")</f>
        <v>Saturday</v>
      </c>
      <c r="K473">
        <v>1</v>
      </c>
      <c r="L473" t="str">
        <f>CHOOSE(K473+1,"error","Clear","Misty","Rainy","Severe heater")</f>
        <v>Clear</v>
      </c>
      <c r="M473">
        <v>0.16</v>
      </c>
      <c r="N473" t="str">
        <f>IF(M473&lt;=0.2,"Low",IF(M473&lt;=0.4,"Mid","High"))</f>
        <v>Low</v>
      </c>
      <c r="O473">
        <v>0.13639999999999999</v>
      </c>
      <c r="P473" t="str">
        <f>IF(O473&lt;=0.15,"Very Cold",IF(O473&lt;=0.3,"Cold",IF(O473&lt;=0.45,"Pleasant","Hot")))</f>
        <v>Very Cold</v>
      </c>
      <c r="Q473">
        <v>0.26</v>
      </c>
      <c r="R473" t="str">
        <f>IF(Q473&lt;=0.25,"Low ",IF(Q473&lt;=0.5,"Moderate ",IF(Q473&lt;=0.75,"High ","Very High ")))</f>
        <v xml:space="preserve">Moderate </v>
      </c>
      <c r="S473">
        <v>0.35820000000000002</v>
      </c>
      <c r="T473" t="str">
        <f>IF(S473&lt;=0.15,"Calm",IF(S473&lt;=0.3,"Light Wind",IF(S473&lt;=0.45,"Moderate Wind","Strong Wind")))</f>
        <v>Moderate Wind</v>
      </c>
      <c r="U473">
        <v>0</v>
      </c>
      <c r="V473">
        <v>97</v>
      </c>
      <c r="W473">
        <v>97</v>
      </c>
      <c r="X473" t="str">
        <f>IF(W473&lt;=75,"Low Demand",IF(W473&lt;=150,"Medium Demand",IF(W473&lt;=225,"High Demand","Very High Demand")))</f>
        <v>Medium Demand</v>
      </c>
    </row>
    <row r="474" spans="1:24" x14ac:dyDescent="0.25">
      <c r="A474">
        <v>473</v>
      </c>
      <c r="B474" s="2">
        <v>40564</v>
      </c>
      <c r="C474">
        <v>1</v>
      </c>
      <c r="D474">
        <v>0</v>
      </c>
      <c r="E474">
        <v>1</v>
      </c>
      <c r="F474">
        <v>17</v>
      </c>
      <c r="G474" t="str">
        <f>IF(F474&lt;6,"Night",IF(F474&lt;12,"Morning",IF(F474&lt;18,"Afternoon","Evening")))</f>
        <v>Afternoon</v>
      </c>
      <c r="H474">
        <v>0</v>
      </c>
      <c r="I474">
        <v>5</v>
      </c>
      <c r="J474" t="str">
        <f>CHOOSE(I474+1,"Monday","Tuesday","Wednesday","Thursday","Friday","Saturday","Sunday")</f>
        <v>Saturday</v>
      </c>
      <c r="K474">
        <v>1</v>
      </c>
      <c r="L474" t="str">
        <f>CHOOSE(K474+1,"error","Clear","Misty","Rainy","Severe heater")</f>
        <v>Clear</v>
      </c>
      <c r="M474">
        <v>0.14000000000000001</v>
      </c>
      <c r="N474" t="str">
        <f>IF(M474&lt;=0.2,"Low",IF(M474&lt;=0.4,"Mid","High"))</f>
        <v>Low</v>
      </c>
      <c r="O474">
        <v>0.1212</v>
      </c>
      <c r="P474" t="str">
        <f>IF(O474&lt;=0.15,"Very Cold",IF(O474&lt;=0.3,"Cold",IF(O474&lt;=0.45,"Pleasant","Hot")))</f>
        <v>Very Cold</v>
      </c>
      <c r="Q474">
        <v>0.28000000000000003</v>
      </c>
      <c r="R474" t="str">
        <f>IF(Q474&lt;=0.25,"Low ",IF(Q474&lt;=0.5,"Moderate ",IF(Q474&lt;=0.75,"High ","Very High ")))</f>
        <v xml:space="preserve">Moderate </v>
      </c>
      <c r="S474">
        <v>0.35820000000000002</v>
      </c>
      <c r="T474" t="str">
        <f>IF(S474&lt;=0.15,"Calm",IF(S474&lt;=0.3,"Light Wind",IF(S474&lt;=0.45,"Moderate Wind","Strong Wind")))</f>
        <v>Moderate Wind</v>
      </c>
      <c r="U474">
        <v>10</v>
      </c>
      <c r="V474">
        <v>151</v>
      </c>
      <c r="W474">
        <v>161</v>
      </c>
      <c r="X474" t="str">
        <f>IF(W474&lt;=75,"Low Demand",IF(W474&lt;=150,"Medium Demand",IF(W474&lt;=225,"High Demand","Very High Demand")))</f>
        <v>High Demand</v>
      </c>
    </row>
    <row r="475" spans="1:24" x14ac:dyDescent="0.25">
      <c r="A475">
        <v>474</v>
      </c>
      <c r="B475" s="2">
        <v>40564</v>
      </c>
      <c r="C475">
        <v>1</v>
      </c>
      <c r="D475">
        <v>0</v>
      </c>
      <c r="E475">
        <v>1</v>
      </c>
      <c r="F475">
        <v>18</v>
      </c>
      <c r="G475" t="str">
        <f>IF(F475&lt;6,"Night",IF(F475&lt;12,"Morning",IF(F475&lt;18,"Afternoon","Evening")))</f>
        <v>Evening</v>
      </c>
      <c r="H475">
        <v>0</v>
      </c>
      <c r="I475">
        <v>5</v>
      </c>
      <c r="J475" t="str">
        <f>CHOOSE(I475+1,"Monday","Tuesday","Wednesday","Thursday","Friday","Saturday","Sunday")</f>
        <v>Saturday</v>
      </c>
      <c r="K475">
        <v>1</v>
      </c>
      <c r="L475" t="str">
        <f>CHOOSE(K475+1,"error","Clear","Misty","Rainy","Severe heater")</f>
        <v>Clear</v>
      </c>
      <c r="M475">
        <v>0.12</v>
      </c>
      <c r="N475" t="str">
        <f>IF(M475&lt;=0.2,"Low",IF(M475&lt;=0.4,"Mid","High"))</f>
        <v>Low</v>
      </c>
      <c r="O475">
        <v>0.1212</v>
      </c>
      <c r="P475" t="str">
        <f>IF(O475&lt;=0.15,"Very Cold",IF(O475&lt;=0.3,"Cold",IF(O475&lt;=0.45,"Pleasant","Hot")))</f>
        <v>Very Cold</v>
      </c>
      <c r="Q475">
        <v>0.3</v>
      </c>
      <c r="R475" t="str">
        <f>IF(Q475&lt;=0.25,"Low ",IF(Q475&lt;=0.5,"Moderate ",IF(Q475&lt;=0.75,"High ","Very High ")))</f>
        <v xml:space="preserve">Moderate </v>
      </c>
      <c r="S475">
        <v>0.25369999999999998</v>
      </c>
      <c r="T475" t="str">
        <f>IF(S475&lt;=0.15,"Calm",IF(S475&lt;=0.3,"Light Wind",IF(S475&lt;=0.45,"Moderate Wind","Strong Wind")))</f>
        <v>Light Wind</v>
      </c>
      <c r="U475">
        <v>1</v>
      </c>
      <c r="V475">
        <v>119</v>
      </c>
      <c r="W475">
        <v>120</v>
      </c>
      <c r="X475" t="str">
        <f>IF(W475&lt;=75,"Low Demand",IF(W475&lt;=150,"Medium Demand",IF(W475&lt;=225,"High Demand","Very High Demand")))</f>
        <v>Medium Demand</v>
      </c>
    </row>
    <row r="476" spans="1:24" x14ac:dyDescent="0.25">
      <c r="A476">
        <v>475</v>
      </c>
      <c r="B476" s="2">
        <v>40564</v>
      </c>
      <c r="C476">
        <v>1</v>
      </c>
      <c r="D476">
        <v>0</v>
      </c>
      <c r="E476">
        <v>1</v>
      </c>
      <c r="F476">
        <v>19</v>
      </c>
      <c r="G476" t="str">
        <f>IF(F476&lt;6,"Night",IF(F476&lt;12,"Morning",IF(F476&lt;18,"Afternoon","Evening")))</f>
        <v>Evening</v>
      </c>
      <c r="H476">
        <v>0</v>
      </c>
      <c r="I476">
        <v>5</v>
      </c>
      <c r="J476" t="str">
        <f>CHOOSE(I476+1,"Monday","Tuesday","Wednesday","Thursday","Friday","Saturday","Sunday")</f>
        <v>Saturday</v>
      </c>
      <c r="K476">
        <v>1</v>
      </c>
      <c r="L476" t="str">
        <f>CHOOSE(K476+1,"error","Clear","Misty","Rainy","Severe heater")</f>
        <v>Clear</v>
      </c>
      <c r="M476">
        <v>0.12</v>
      </c>
      <c r="N476" t="str">
        <f>IF(M476&lt;=0.2,"Low",IF(M476&lt;=0.4,"Mid","High"))</f>
        <v>Low</v>
      </c>
      <c r="O476">
        <v>0.1061</v>
      </c>
      <c r="P476" t="str">
        <f>IF(O476&lt;=0.15,"Very Cold",IF(O476&lt;=0.3,"Cold",IF(O476&lt;=0.45,"Pleasant","Hot")))</f>
        <v>Very Cold</v>
      </c>
      <c r="Q476">
        <v>0.3</v>
      </c>
      <c r="R476" t="str">
        <f>IF(Q476&lt;=0.25,"Low ",IF(Q476&lt;=0.5,"Moderate ",IF(Q476&lt;=0.75,"High ","Very High ")))</f>
        <v xml:space="preserve">Moderate </v>
      </c>
      <c r="S476">
        <v>0.32840000000000003</v>
      </c>
      <c r="T476" t="str">
        <f>IF(S476&lt;=0.15,"Calm",IF(S476&lt;=0.3,"Light Wind",IF(S476&lt;=0.45,"Moderate Wind","Strong Wind")))</f>
        <v>Moderate Wind</v>
      </c>
      <c r="U476">
        <v>3</v>
      </c>
      <c r="V476">
        <v>93</v>
      </c>
      <c r="W476">
        <v>96</v>
      </c>
      <c r="X476" t="str">
        <f>IF(W476&lt;=75,"Low Demand",IF(W476&lt;=150,"Medium Demand",IF(W476&lt;=225,"High Demand","Very High Demand")))</f>
        <v>Medium Demand</v>
      </c>
    </row>
    <row r="477" spans="1:24" x14ac:dyDescent="0.25">
      <c r="A477">
        <v>476</v>
      </c>
      <c r="B477" s="2">
        <v>40564</v>
      </c>
      <c r="C477">
        <v>1</v>
      </c>
      <c r="D477">
        <v>0</v>
      </c>
      <c r="E477">
        <v>1</v>
      </c>
      <c r="F477">
        <v>20</v>
      </c>
      <c r="G477" t="str">
        <f>IF(F477&lt;6,"Night",IF(F477&lt;12,"Morning",IF(F477&lt;18,"Afternoon","Evening")))</f>
        <v>Evening</v>
      </c>
      <c r="H477">
        <v>0</v>
      </c>
      <c r="I477">
        <v>5</v>
      </c>
      <c r="J477" t="str">
        <f>CHOOSE(I477+1,"Monday","Tuesday","Wednesday","Thursday","Friday","Saturday","Sunday")</f>
        <v>Saturday</v>
      </c>
      <c r="K477">
        <v>1</v>
      </c>
      <c r="L477" t="str">
        <f>CHOOSE(K477+1,"error","Clear","Misty","Rainy","Severe heater")</f>
        <v>Clear</v>
      </c>
      <c r="M477">
        <v>0.1</v>
      </c>
      <c r="N477" t="str">
        <f>IF(M477&lt;=0.2,"Low",IF(M477&lt;=0.4,"Mid","High"))</f>
        <v>Low</v>
      </c>
      <c r="O477">
        <v>7.5800000000000006E-2</v>
      </c>
      <c r="P477" t="str">
        <f>IF(O477&lt;=0.15,"Very Cold",IF(O477&lt;=0.3,"Cold",IF(O477&lt;=0.45,"Pleasant","Hot")))</f>
        <v>Very Cold</v>
      </c>
      <c r="Q477">
        <v>0.33</v>
      </c>
      <c r="R477" t="str">
        <f>IF(Q477&lt;=0.25,"Low ",IF(Q477&lt;=0.5,"Moderate ",IF(Q477&lt;=0.75,"High ","Very High ")))</f>
        <v xml:space="preserve">Moderate </v>
      </c>
      <c r="S477">
        <v>0.41789999999999999</v>
      </c>
      <c r="T477" t="str">
        <f>IF(S477&lt;=0.15,"Calm",IF(S477&lt;=0.3,"Light Wind",IF(S477&lt;=0.45,"Moderate Wind","Strong Wind")))</f>
        <v>Moderate Wind</v>
      </c>
      <c r="U477">
        <v>1</v>
      </c>
      <c r="V477">
        <v>52</v>
      </c>
      <c r="W477">
        <v>53</v>
      </c>
      <c r="X477" t="str">
        <f>IF(W477&lt;=75,"Low Demand",IF(W477&lt;=150,"Medium Demand",IF(W477&lt;=225,"High Demand","Very High Demand")))</f>
        <v>Low Demand</v>
      </c>
    </row>
    <row r="478" spans="1:24" x14ac:dyDescent="0.25">
      <c r="A478">
        <v>477</v>
      </c>
      <c r="B478" s="2">
        <v>40564</v>
      </c>
      <c r="C478">
        <v>1</v>
      </c>
      <c r="D478">
        <v>0</v>
      </c>
      <c r="E478">
        <v>1</v>
      </c>
      <c r="F478">
        <v>21</v>
      </c>
      <c r="G478" t="str">
        <f>IF(F478&lt;6,"Night",IF(F478&lt;12,"Morning",IF(F478&lt;18,"Afternoon","Evening")))</f>
        <v>Evening</v>
      </c>
      <c r="H478">
        <v>0</v>
      </c>
      <c r="I478">
        <v>5</v>
      </c>
      <c r="J478" t="str">
        <f>CHOOSE(I478+1,"Monday","Tuesday","Wednesday","Thursday","Friday","Saturday","Sunday")</f>
        <v>Saturday</v>
      </c>
      <c r="K478">
        <v>1</v>
      </c>
      <c r="L478" t="str">
        <f>CHOOSE(K478+1,"error","Clear","Misty","Rainy","Severe heater")</f>
        <v>Clear</v>
      </c>
      <c r="M478">
        <v>0.08</v>
      </c>
      <c r="N478" t="str">
        <f>IF(M478&lt;=0.2,"Low",IF(M478&lt;=0.4,"Mid","High"))</f>
        <v>Low</v>
      </c>
      <c r="O478">
        <v>7.5800000000000006E-2</v>
      </c>
      <c r="P478" t="str">
        <f>IF(O478&lt;=0.15,"Very Cold",IF(O478&lt;=0.3,"Cold",IF(O478&lt;=0.45,"Pleasant","Hot")))</f>
        <v>Very Cold</v>
      </c>
      <c r="Q478">
        <v>0.38</v>
      </c>
      <c r="R478" t="str">
        <f>IF(Q478&lt;=0.25,"Low ",IF(Q478&lt;=0.5,"Moderate ",IF(Q478&lt;=0.75,"High ","Very High ")))</f>
        <v xml:space="preserve">Moderate </v>
      </c>
      <c r="S478">
        <v>0.28360000000000002</v>
      </c>
      <c r="T478" t="str">
        <f>IF(S478&lt;=0.15,"Calm",IF(S478&lt;=0.3,"Light Wind",IF(S478&lt;=0.45,"Moderate Wind","Strong Wind")))</f>
        <v>Light Wind</v>
      </c>
      <c r="U478">
        <v>0</v>
      </c>
      <c r="V478">
        <v>41</v>
      </c>
      <c r="W478">
        <v>41</v>
      </c>
      <c r="X478" t="str">
        <f>IF(W478&lt;=75,"Low Demand",IF(W478&lt;=150,"Medium Demand",IF(W478&lt;=225,"High Demand","Very High Demand")))</f>
        <v>Low Demand</v>
      </c>
    </row>
    <row r="479" spans="1:24" x14ac:dyDescent="0.25">
      <c r="A479">
        <v>478</v>
      </c>
      <c r="B479" s="2">
        <v>40564</v>
      </c>
      <c r="C479">
        <v>1</v>
      </c>
      <c r="D479">
        <v>0</v>
      </c>
      <c r="E479">
        <v>1</v>
      </c>
      <c r="F479">
        <v>22</v>
      </c>
      <c r="G479" t="str">
        <f>IF(F479&lt;6,"Night",IF(F479&lt;12,"Morning",IF(F479&lt;18,"Afternoon","Evening")))</f>
        <v>Evening</v>
      </c>
      <c r="H479">
        <v>0</v>
      </c>
      <c r="I479">
        <v>5</v>
      </c>
      <c r="J479" t="str">
        <f>CHOOSE(I479+1,"Monday","Tuesday","Wednesday","Thursday","Friday","Saturday","Sunday")</f>
        <v>Saturday</v>
      </c>
      <c r="K479">
        <v>1</v>
      </c>
      <c r="L479" t="str">
        <f>CHOOSE(K479+1,"error","Clear","Misty","Rainy","Severe heater")</f>
        <v>Clear</v>
      </c>
      <c r="M479">
        <v>0.06</v>
      </c>
      <c r="N479" t="str">
        <f>IF(M479&lt;=0.2,"Low",IF(M479&lt;=0.4,"Mid","High"))</f>
        <v>Low</v>
      </c>
      <c r="O479">
        <v>3.0300000000000001E-2</v>
      </c>
      <c r="P479" t="str">
        <f>IF(O479&lt;=0.15,"Very Cold",IF(O479&lt;=0.3,"Cold",IF(O479&lt;=0.45,"Pleasant","Hot")))</f>
        <v>Very Cold</v>
      </c>
      <c r="Q479">
        <v>0.41</v>
      </c>
      <c r="R479" t="str">
        <f>IF(Q479&lt;=0.25,"Low ",IF(Q479&lt;=0.5,"Moderate ",IF(Q479&lt;=0.75,"High ","Very High ")))</f>
        <v xml:space="preserve">Moderate </v>
      </c>
      <c r="S479">
        <v>0.3881</v>
      </c>
      <c r="T479" t="str">
        <f>IF(S479&lt;=0.15,"Calm",IF(S479&lt;=0.3,"Light Wind",IF(S479&lt;=0.45,"Moderate Wind","Strong Wind")))</f>
        <v>Moderate Wind</v>
      </c>
      <c r="U479">
        <v>1</v>
      </c>
      <c r="V479">
        <v>33</v>
      </c>
      <c r="W479">
        <v>34</v>
      </c>
      <c r="X479" t="str">
        <f>IF(W479&lt;=75,"Low Demand",IF(W479&lt;=150,"Medium Demand",IF(W479&lt;=225,"High Demand","Very High Demand")))</f>
        <v>Low Demand</v>
      </c>
    </row>
    <row r="480" spans="1:24" x14ac:dyDescent="0.25">
      <c r="A480">
        <v>479</v>
      </c>
      <c r="B480" s="2">
        <v>40564</v>
      </c>
      <c r="C480">
        <v>1</v>
      </c>
      <c r="D480">
        <v>0</v>
      </c>
      <c r="E480">
        <v>1</v>
      </c>
      <c r="F480">
        <v>23</v>
      </c>
      <c r="G480" t="str">
        <f>IF(F480&lt;6,"Night",IF(F480&lt;12,"Morning",IF(F480&lt;18,"Afternoon","Evening")))</f>
        <v>Evening</v>
      </c>
      <c r="H480">
        <v>0</v>
      </c>
      <c r="I480">
        <v>5</v>
      </c>
      <c r="J480" t="str">
        <f>CHOOSE(I480+1,"Monday","Tuesday","Wednesday","Thursday","Friday","Saturday","Sunday")</f>
        <v>Saturday</v>
      </c>
      <c r="K480">
        <v>1</v>
      </c>
      <c r="L480" t="str">
        <f>CHOOSE(K480+1,"error","Clear","Misty","Rainy","Severe heater")</f>
        <v>Clear</v>
      </c>
      <c r="M480">
        <v>0.06</v>
      </c>
      <c r="N480" t="str">
        <f>IF(M480&lt;=0.2,"Low",IF(M480&lt;=0.4,"Mid","High"))</f>
        <v>Low</v>
      </c>
      <c r="O480">
        <v>4.5499999999999999E-2</v>
      </c>
      <c r="P480" t="str">
        <f>IF(O480&lt;=0.15,"Very Cold",IF(O480&lt;=0.3,"Cold",IF(O480&lt;=0.45,"Pleasant","Hot")))</f>
        <v>Very Cold</v>
      </c>
      <c r="Q480">
        <v>0.38</v>
      </c>
      <c r="R480" t="str">
        <f>IF(Q480&lt;=0.25,"Low ",IF(Q480&lt;=0.5,"Moderate ",IF(Q480&lt;=0.75,"High ","Very High ")))</f>
        <v xml:space="preserve">Moderate </v>
      </c>
      <c r="S480">
        <v>0.32840000000000003</v>
      </c>
      <c r="T480" t="str">
        <f>IF(S480&lt;=0.15,"Calm",IF(S480&lt;=0.3,"Light Wind",IF(S480&lt;=0.45,"Moderate Wind","Strong Wind")))</f>
        <v>Moderate Wind</v>
      </c>
      <c r="U480">
        <v>0</v>
      </c>
      <c r="V480">
        <v>27</v>
      </c>
      <c r="W480">
        <v>27</v>
      </c>
      <c r="X480" t="str">
        <f>IF(W480&lt;=75,"Low Demand",IF(W480&lt;=150,"Medium Demand",IF(W480&lt;=225,"High Demand","Very High Demand")))</f>
        <v>Low Demand</v>
      </c>
    </row>
    <row r="481" spans="1:24" x14ac:dyDescent="0.25">
      <c r="A481">
        <v>480</v>
      </c>
      <c r="B481" s="2">
        <v>40565</v>
      </c>
      <c r="C481">
        <v>1</v>
      </c>
      <c r="D481">
        <v>0</v>
      </c>
      <c r="E481">
        <v>1</v>
      </c>
      <c r="F481">
        <v>0</v>
      </c>
      <c r="G481" t="str">
        <f>IF(F481&lt;6,"Night",IF(F481&lt;12,"Morning",IF(F481&lt;18,"Afternoon","Evening")))</f>
        <v>Night</v>
      </c>
      <c r="H481">
        <v>0</v>
      </c>
      <c r="I481">
        <v>6</v>
      </c>
      <c r="J481" t="str">
        <f>CHOOSE(I481+1,"Monday","Tuesday","Wednesday","Thursday","Friday","Saturday","Sunday")</f>
        <v>Sunday</v>
      </c>
      <c r="K481">
        <v>1</v>
      </c>
      <c r="L481" t="str">
        <f>CHOOSE(K481+1,"error","Clear","Misty","Rainy","Severe heater")</f>
        <v>Clear</v>
      </c>
      <c r="M481">
        <v>0.04</v>
      </c>
      <c r="N481" t="str">
        <f>IF(M481&lt;=0.2,"Low",IF(M481&lt;=0.4,"Mid","High"))</f>
        <v>Low</v>
      </c>
      <c r="O481">
        <v>3.0300000000000001E-2</v>
      </c>
      <c r="P481" t="str">
        <f>IF(O481&lt;=0.15,"Very Cold",IF(O481&lt;=0.3,"Cold",IF(O481&lt;=0.45,"Pleasant","Hot")))</f>
        <v>Very Cold</v>
      </c>
      <c r="Q481">
        <v>0.45</v>
      </c>
      <c r="R481" t="str">
        <f>IF(Q481&lt;=0.25,"Low ",IF(Q481&lt;=0.5,"Moderate ",IF(Q481&lt;=0.75,"High ","Very High ")))</f>
        <v xml:space="preserve">Moderate </v>
      </c>
      <c r="S481">
        <v>0.25369999999999998</v>
      </c>
      <c r="T481" t="str">
        <f>IF(S481&lt;=0.15,"Calm",IF(S481&lt;=0.3,"Light Wind",IF(S481&lt;=0.45,"Moderate Wind","Strong Wind")))</f>
        <v>Light Wind</v>
      </c>
      <c r="U481">
        <v>0</v>
      </c>
      <c r="V481">
        <v>13</v>
      </c>
      <c r="W481">
        <v>13</v>
      </c>
      <c r="X481" t="str">
        <f>IF(W481&lt;=75,"Low Demand",IF(W481&lt;=150,"Medium Demand",IF(W481&lt;=225,"High Demand","Very High Demand")))</f>
        <v>Low Demand</v>
      </c>
    </row>
    <row r="482" spans="1:24" x14ac:dyDescent="0.25">
      <c r="A482">
        <v>481</v>
      </c>
      <c r="B482" s="2">
        <v>40565</v>
      </c>
      <c r="C482">
        <v>1</v>
      </c>
      <c r="D482">
        <v>0</v>
      </c>
      <c r="E482">
        <v>1</v>
      </c>
      <c r="F482">
        <v>1</v>
      </c>
      <c r="G482" t="str">
        <f>IF(F482&lt;6,"Night",IF(F482&lt;12,"Morning",IF(F482&lt;18,"Afternoon","Evening")))</f>
        <v>Night</v>
      </c>
      <c r="H482">
        <v>0</v>
      </c>
      <c r="I482">
        <v>6</v>
      </c>
      <c r="J482" t="str">
        <f>CHOOSE(I482+1,"Monday","Tuesday","Wednesday","Thursday","Friday","Saturday","Sunday")</f>
        <v>Sunday</v>
      </c>
      <c r="K482">
        <v>2</v>
      </c>
      <c r="L482" t="str">
        <f>CHOOSE(K482+1,"error","Clear","Misty","Rainy","Severe heater")</f>
        <v>Misty</v>
      </c>
      <c r="M482">
        <v>0.04</v>
      </c>
      <c r="N482" t="str">
        <f>IF(M482&lt;=0.2,"Low",IF(M482&lt;=0.4,"Mid","High"))</f>
        <v>Low</v>
      </c>
      <c r="O482">
        <v>0</v>
      </c>
      <c r="P482" t="str">
        <f>IF(O482&lt;=0.15,"Very Cold",IF(O482&lt;=0.3,"Cold",IF(O482&lt;=0.45,"Pleasant","Hot")))</f>
        <v>Very Cold</v>
      </c>
      <c r="Q482">
        <v>0.41</v>
      </c>
      <c r="R482" t="str">
        <f>IF(Q482&lt;=0.25,"Low ",IF(Q482&lt;=0.5,"Moderate ",IF(Q482&lt;=0.75,"High ","Very High ")))</f>
        <v xml:space="preserve">Moderate </v>
      </c>
      <c r="S482">
        <v>0.3881</v>
      </c>
      <c r="T482" t="str">
        <f>IF(S482&lt;=0.15,"Calm",IF(S482&lt;=0.3,"Light Wind",IF(S482&lt;=0.45,"Moderate Wind","Strong Wind")))</f>
        <v>Moderate Wind</v>
      </c>
      <c r="U482">
        <v>3</v>
      </c>
      <c r="V482">
        <v>9</v>
      </c>
      <c r="W482">
        <v>12</v>
      </c>
      <c r="X482" t="str">
        <f>IF(W482&lt;=75,"Low Demand",IF(W482&lt;=150,"Medium Demand",IF(W482&lt;=225,"High Demand","Very High Demand")))</f>
        <v>Low Demand</v>
      </c>
    </row>
    <row r="483" spans="1:24" x14ac:dyDescent="0.25">
      <c r="A483">
        <v>482</v>
      </c>
      <c r="B483" s="2">
        <v>40565</v>
      </c>
      <c r="C483">
        <v>1</v>
      </c>
      <c r="D483">
        <v>0</v>
      </c>
      <c r="E483">
        <v>1</v>
      </c>
      <c r="F483">
        <v>2</v>
      </c>
      <c r="G483" t="str">
        <f>IF(F483&lt;6,"Night",IF(F483&lt;12,"Morning",IF(F483&lt;18,"Afternoon","Evening")))</f>
        <v>Night</v>
      </c>
      <c r="H483">
        <v>0</v>
      </c>
      <c r="I483">
        <v>6</v>
      </c>
      <c r="J483" t="str">
        <f>CHOOSE(I483+1,"Monday","Tuesday","Wednesday","Thursday","Friday","Saturday","Sunday")</f>
        <v>Sunday</v>
      </c>
      <c r="K483">
        <v>2</v>
      </c>
      <c r="L483" t="str">
        <f>CHOOSE(K483+1,"error","Clear","Misty","Rainy","Severe heater")</f>
        <v>Misty</v>
      </c>
      <c r="M483">
        <v>0.04</v>
      </c>
      <c r="N483" t="str">
        <f>IF(M483&lt;=0.2,"Low",IF(M483&lt;=0.4,"Mid","High"))</f>
        <v>Low</v>
      </c>
      <c r="O483">
        <v>3.0300000000000001E-2</v>
      </c>
      <c r="P483" t="str">
        <f>IF(O483&lt;=0.15,"Very Cold",IF(O483&lt;=0.3,"Cold",IF(O483&lt;=0.45,"Pleasant","Hot")))</f>
        <v>Very Cold</v>
      </c>
      <c r="Q483">
        <v>0.41</v>
      </c>
      <c r="R483" t="str">
        <f>IF(Q483&lt;=0.25,"Low ",IF(Q483&lt;=0.5,"Moderate ",IF(Q483&lt;=0.75,"High ","Very High ")))</f>
        <v xml:space="preserve">Moderate </v>
      </c>
      <c r="S483">
        <v>0.25369999999999998</v>
      </c>
      <c r="T483" t="str">
        <f>IF(S483&lt;=0.15,"Calm",IF(S483&lt;=0.3,"Light Wind",IF(S483&lt;=0.45,"Moderate Wind","Strong Wind")))</f>
        <v>Light Wind</v>
      </c>
      <c r="U483">
        <v>0</v>
      </c>
      <c r="V483">
        <v>11</v>
      </c>
      <c r="W483">
        <v>11</v>
      </c>
      <c r="X483" t="str">
        <f>IF(W483&lt;=75,"Low Demand",IF(W483&lt;=150,"Medium Demand",IF(W483&lt;=225,"High Demand","Very High Demand")))</f>
        <v>Low Demand</v>
      </c>
    </row>
    <row r="484" spans="1:24" x14ac:dyDescent="0.25">
      <c r="A484">
        <v>483</v>
      </c>
      <c r="B484" s="2">
        <v>40565</v>
      </c>
      <c r="C484">
        <v>1</v>
      </c>
      <c r="D484">
        <v>0</v>
      </c>
      <c r="E484">
        <v>1</v>
      </c>
      <c r="F484">
        <v>3</v>
      </c>
      <c r="G484" t="str">
        <f>IF(F484&lt;6,"Night",IF(F484&lt;12,"Morning",IF(F484&lt;18,"Afternoon","Evening")))</f>
        <v>Night</v>
      </c>
      <c r="H484">
        <v>0</v>
      </c>
      <c r="I484">
        <v>6</v>
      </c>
      <c r="J484" t="str">
        <f>CHOOSE(I484+1,"Monday","Tuesday","Wednesday","Thursday","Friday","Saturday","Sunday")</f>
        <v>Sunday</v>
      </c>
      <c r="K484">
        <v>2</v>
      </c>
      <c r="L484" t="str">
        <f>CHOOSE(K484+1,"error","Clear","Misty","Rainy","Severe heater")</f>
        <v>Misty</v>
      </c>
      <c r="M484">
        <v>0.04</v>
      </c>
      <c r="N484" t="str">
        <f>IF(M484&lt;=0.2,"Low",IF(M484&lt;=0.4,"Mid","High"))</f>
        <v>Low</v>
      </c>
      <c r="O484">
        <v>3.0300000000000001E-2</v>
      </c>
      <c r="P484" t="str">
        <f>IF(O484&lt;=0.15,"Very Cold",IF(O484&lt;=0.3,"Cold",IF(O484&lt;=0.45,"Pleasant","Hot")))</f>
        <v>Very Cold</v>
      </c>
      <c r="Q484">
        <v>0.41</v>
      </c>
      <c r="R484" t="str">
        <f>IF(Q484&lt;=0.25,"Low ",IF(Q484&lt;=0.5,"Moderate ",IF(Q484&lt;=0.75,"High ","Very High ")))</f>
        <v xml:space="preserve">Moderate </v>
      </c>
      <c r="S484">
        <v>0.28360000000000002</v>
      </c>
      <c r="T484" t="str">
        <f>IF(S484&lt;=0.15,"Calm",IF(S484&lt;=0.3,"Light Wind",IF(S484&lt;=0.45,"Moderate Wind","Strong Wind")))</f>
        <v>Light Wind</v>
      </c>
      <c r="U484">
        <v>1</v>
      </c>
      <c r="V484">
        <v>6</v>
      </c>
      <c r="W484">
        <v>7</v>
      </c>
      <c r="X484" t="str">
        <f>IF(W484&lt;=75,"Low Demand",IF(W484&lt;=150,"Medium Demand",IF(W484&lt;=225,"High Demand","Very High Demand")))</f>
        <v>Low Demand</v>
      </c>
    </row>
    <row r="485" spans="1:24" x14ac:dyDescent="0.25">
      <c r="A485">
        <v>484</v>
      </c>
      <c r="B485" s="2">
        <v>40565</v>
      </c>
      <c r="C485">
        <v>1</v>
      </c>
      <c r="D485">
        <v>0</v>
      </c>
      <c r="E485">
        <v>1</v>
      </c>
      <c r="F485">
        <v>4</v>
      </c>
      <c r="G485" t="str">
        <f>IF(F485&lt;6,"Night",IF(F485&lt;12,"Morning",IF(F485&lt;18,"Afternoon","Evening")))</f>
        <v>Night</v>
      </c>
      <c r="H485">
        <v>0</v>
      </c>
      <c r="I485">
        <v>6</v>
      </c>
      <c r="J485" t="str">
        <f>CHOOSE(I485+1,"Monday","Tuesday","Wednesday","Thursday","Friday","Saturday","Sunday")</f>
        <v>Sunday</v>
      </c>
      <c r="K485">
        <v>2</v>
      </c>
      <c r="L485" t="str">
        <f>CHOOSE(K485+1,"error","Clear","Misty","Rainy","Severe heater")</f>
        <v>Misty</v>
      </c>
      <c r="M485">
        <v>0.02</v>
      </c>
      <c r="N485" t="str">
        <f>IF(M485&lt;=0.2,"Low",IF(M485&lt;=0.4,"Mid","High"))</f>
        <v>Low</v>
      </c>
      <c r="O485">
        <v>1.52E-2</v>
      </c>
      <c r="P485" t="str">
        <f>IF(O485&lt;=0.15,"Very Cold",IF(O485&lt;=0.3,"Cold",IF(O485&lt;=0.45,"Pleasant","Hot")))</f>
        <v>Very Cold</v>
      </c>
      <c r="Q485">
        <v>0.48</v>
      </c>
      <c r="R485" t="str">
        <f>IF(Q485&lt;=0.25,"Low ",IF(Q485&lt;=0.5,"Moderate ",IF(Q485&lt;=0.75,"High ","Very High ")))</f>
        <v xml:space="preserve">Moderate </v>
      </c>
      <c r="S485">
        <v>0.29849999999999999</v>
      </c>
      <c r="T485" t="str">
        <f>IF(S485&lt;=0.15,"Calm",IF(S485&lt;=0.3,"Light Wind",IF(S485&lt;=0.45,"Moderate Wind","Strong Wind")))</f>
        <v>Light Wind</v>
      </c>
      <c r="U485">
        <v>0</v>
      </c>
      <c r="V485">
        <v>3</v>
      </c>
      <c r="W485">
        <v>3</v>
      </c>
      <c r="X485" t="str">
        <f>IF(W485&lt;=75,"Low Demand",IF(W485&lt;=150,"Medium Demand",IF(W485&lt;=225,"High Demand","Very High Demand")))</f>
        <v>Low Demand</v>
      </c>
    </row>
    <row r="486" spans="1:24" x14ac:dyDescent="0.25">
      <c r="A486">
        <v>485</v>
      </c>
      <c r="B486" s="2">
        <v>40565</v>
      </c>
      <c r="C486">
        <v>1</v>
      </c>
      <c r="D486">
        <v>0</v>
      </c>
      <c r="E486">
        <v>1</v>
      </c>
      <c r="F486">
        <v>6</v>
      </c>
      <c r="G486" t="str">
        <f>IF(F486&lt;6,"Night",IF(F486&lt;12,"Morning",IF(F486&lt;18,"Afternoon","Evening")))</f>
        <v>Morning</v>
      </c>
      <c r="H486">
        <v>0</v>
      </c>
      <c r="I486">
        <v>6</v>
      </c>
      <c r="J486" t="str">
        <f>CHOOSE(I486+1,"Monday","Tuesday","Wednesday","Thursday","Friday","Saturday","Sunday")</f>
        <v>Sunday</v>
      </c>
      <c r="K486">
        <v>2</v>
      </c>
      <c r="L486" t="str">
        <f>CHOOSE(K486+1,"error","Clear","Misty","Rainy","Severe heater")</f>
        <v>Misty</v>
      </c>
      <c r="M486">
        <v>0.02</v>
      </c>
      <c r="N486" t="str">
        <f>IF(M486&lt;=0.2,"Low",IF(M486&lt;=0.4,"Mid","High"))</f>
        <v>Low</v>
      </c>
      <c r="O486">
        <v>3.0300000000000001E-2</v>
      </c>
      <c r="P486" t="str">
        <f>IF(O486&lt;=0.15,"Very Cold",IF(O486&lt;=0.3,"Cold",IF(O486&lt;=0.45,"Pleasant","Hot")))</f>
        <v>Very Cold</v>
      </c>
      <c r="Q486">
        <v>0.44</v>
      </c>
      <c r="R486" t="str">
        <f>IF(Q486&lt;=0.25,"Low ",IF(Q486&lt;=0.5,"Moderate ",IF(Q486&lt;=0.75,"High ","Very High ")))</f>
        <v xml:space="preserve">Moderate </v>
      </c>
      <c r="S486">
        <v>0.22389999999999999</v>
      </c>
      <c r="T486" t="str">
        <f>IF(S486&lt;=0.15,"Calm",IF(S486&lt;=0.3,"Light Wind",IF(S486&lt;=0.45,"Moderate Wind","Strong Wind")))</f>
        <v>Light Wind</v>
      </c>
      <c r="U486">
        <v>0</v>
      </c>
      <c r="V486">
        <v>2</v>
      </c>
      <c r="W486">
        <v>2</v>
      </c>
      <c r="X486" t="str">
        <f>IF(W486&lt;=75,"Low Demand",IF(W486&lt;=150,"Medium Demand",IF(W486&lt;=225,"High Demand","Very High Demand")))</f>
        <v>Low Demand</v>
      </c>
    </row>
    <row r="487" spans="1:24" x14ac:dyDescent="0.25">
      <c r="A487">
        <v>486</v>
      </c>
      <c r="B487" s="2">
        <v>40565</v>
      </c>
      <c r="C487">
        <v>1</v>
      </c>
      <c r="D487">
        <v>0</v>
      </c>
      <c r="E487">
        <v>1</v>
      </c>
      <c r="F487">
        <v>7</v>
      </c>
      <c r="G487" t="str">
        <f>IF(F487&lt;6,"Night",IF(F487&lt;12,"Morning",IF(F487&lt;18,"Afternoon","Evening")))</f>
        <v>Morning</v>
      </c>
      <c r="H487">
        <v>0</v>
      </c>
      <c r="I487">
        <v>6</v>
      </c>
      <c r="J487" t="str">
        <f>CHOOSE(I487+1,"Monday","Tuesday","Wednesday","Thursday","Friday","Saturday","Sunday")</f>
        <v>Sunday</v>
      </c>
      <c r="K487">
        <v>1</v>
      </c>
      <c r="L487" t="str">
        <f>CHOOSE(K487+1,"error","Clear","Misty","Rainy","Severe heater")</f>
        <v>Clear</v>
      </c>
      <c r="M487">
        <v>0.02</v>
      </c>
      <c r="N487" t="str">
        <f>IF(M487&lt;=0.2,"Low",IF(M487&lt;=0.4,"Mid","High"))</f>
        <v>Low</v>
      </c>
      <c r="O487">
        <v>1.52E-2</v>
      </c>
      <c r="P487" t="str">
        <f>IF(O487&lt;=0.15,"Very Cold",IF(O487&lt;=0.3,"Cold",IF(O487&lt;=0.45,"Pleasant","Hot")))</f>
        <v>Very Cold</v>
      </c>
      <c r="Q487">
        <v>0.44</v>
      </c>
      <c r="R487" t="str">
        <f>IF(Q487&lt;=0.25,"Low ",IF(Q487&lt;=0.5,"Moderate ",IF(Q487&lt;=0.75,"High ","Very High ")))</f>
        <v xml:space="preserve">Moderate </v>
      </c>
      <c r="S487">
        <v>0.28360000000000002</v>
      </c>
      <c r="T487" t="str">
        <f>IF(S487&lt;=0.15,"Calm",IF(S487&lt;=0.3,"Light Wind",IF(S487&lt;=0.45,"Moderate Wind","Strong Wind")))</f>
        <v>Light Wind</v>
      </c>
      <c r="U487">
        <v>0</v>
      </c>
      <c r="V487">
        <v>8</v>
      </c>
      <c r="W487">
        <v>8</v>
      </c>
      <c r="X487" t="str">
        <f>IF(W487&lt;=75,"Low Demand",IF(W487&lt;=150,"Medium Demand",IF(W487&lt;=225,"High Demand","Very High Demand")))</f>
        <v>Low Demand</v>
      </c>
    </row>
    <row r="488" spans="1:24" x14ac:dyDescent="0.25">
      <c r="A488">
        <v>487</v>
      </c>
      <c r="B488" s="2">
        <v>40565</v>
      </c>
      <c r="C488">
        <v>1</v>
      </c>
      <c r="D488">
        <v>0</v>
      </c>
      <c r="E488">
        <v>1</v>
      </c>
      <c r="F488">
        <v>8</v>
      </c>
      <c r="G488" t="str">
        <f>IF(F488&lt;6,"Night",IF(F488&lt;12,"Morning",IF(F488&lt;18,"Afternoon","Evening")))</f>
        <v>Morning</v>
      </c>
      <c r="H488">
        <v>0</v>
      </c>
      <c r="I488">
        <v>6</v>
      </c>
      <c r="J488" t="str">
        <f>CHOOSE(I488+1,"Monday","Tuesday","Wednesday","Thursday","Friday","Saturday","Sunday")</f>
        <v>Sunday</v>
      </c>
      <c r="K488">
        <v>1</v>
      </c>
      <c r="L488" t="str">
        <f>CHOOSE(K488+1,"error","Clear","Misty","Rainy","Severe heater")</f>
        <v>Clear</v>
      </c>
      <c r="M488">
        <v>0.02</v>
      </c>
      <c r="N488" t="str">
        <f>IF(M488&lt;=0.2,"Low",IF(M488&lt;=0.4,"Mid","High"))</f>
        <v>Low</v>
      </c>
      <c r="O488">
        <v>0</v>
      </c>
      <c r="P488" t="str">
        <f>IF(O488&lt;=0.15,"Very Cold",IF(O488&lt;=0.3,"Cold",IF(O488&lt;=0.45,"Pleasant","Hot")))</f>
        <v>Very Cold</v>
      </c>
      <c r="Q488">
        <v>0.44</v>
      </c>
      <c r="R488" t="str">
        <f>IF(Q488&lt;=0.25,"Low ",IF(Q488&lt;=0.5,"Moderate ",IF(Q488&lt;=0.75,"High ","Very High ")))</f>
        <v xml:space="preserve">Moderate </v>
      </c>
      <c r="S488">
        <v>0.32840000000000003</v>
      </c>
      <c r="T488" t="str">
        <f>IF(S488&lt;=0.15,"Calm",IF(S488&lt;=0.3,"Light Wind",IF(S488&lt;=0.45,"Moderate Wind","Strong Wind")))</f>
        <v>Moderate Wind</v>
      </c>
      <c r="U488">
        <v>1</v>
      </c>
      <c r="V488">
        <v>26</v>
      </c>
      <c r="W488">
        <v>27</v>
      </c>
      <c r="X488" t="str">
        <f>IF(W488&lt;=75,"Low Demand",IF(W488&lt;=150,"Medium Demand",IF(W488&lt;=225,"High Demand","Very High Demand")))</f>
        <v>Low Demand</v>
      </c>
    </row>
    <row r="489" spans="1:24" x14ac:dyDescent="0.25">
      <c r="A489">
        <v>488</v>
      </c>
      <c r="B489" s="2">
        <v>40565</v>
      </c>
      <c r="C489">
        <v>1</v>
      </c>
      <c r="D489">
        <v>0</v>
      </c>
      <c r="E489">
        <v>1</v>
      </c>
      <c r="F489">
        <v>9</v>
      </c>
      <c r="G489" t="str">
        <f>IF(F489&lt;6,"Night",IF(F489&lt;12,"Morning",IF(F489&lt;18,"Afternoon","Evening")))</f>
        <v>Morning</v>
      </c>
      <c r="H489">
        <v>0</v>
      </c>
      <c r="I489">
        <v>6</v>
      </c>
      <c r="J489" t="str">
        <f>CHOOSE(I489+1,"Monday","Tuesday","Wednesday","Thursday","Friday","Saturday","Sunday")</f>
        <v>Sunday</v>
      </c>
      <c r="K489">
        <v>1</v>
      </c>
      <c r="L489" t="str">
        <f>CHOOSE(K489+1,"error","Clear","Misty","Rainy","Severe heater")</f>
        <v>Clear</v>
      </c>
      <c r="M489">
        <v>0.04</v>
      </c>
      <c r="N489" t="str">
        <f>IF(M489&lt;=0.2,"Low",IF(M489&lt;=0.4,"Mid","High"))</f>
        <v>Low</v>
      </c>
      <c r="O489">
        <v>3.0300000000000001E-2</v>
      </c>
      <c r="P489" t="str">
        <f>IF(O489&lt;=0.15,"Very Cold",IF(O489&lt;=0.3,"Cold",IF(O489&lt;=0.45,"Pleasant","Hot")))</f>
        <v>Very Cold</v>
      </c>
      <c r="Q489">
        <v>0.41</v>
      </c>
      <c r="R489" t="str">
        <f>IF(Q489&lt;=0.25,"Low ",IF(Q489&lt;=0.5,"Moderate ",IF(Q489&lt;=0.75,"High ","Very High ")))</f>
        <v xml:space="preserve">Moderate </v>
      </c>
      <c r="S489">
        <v>0.25369999999999998</v>
      </c>
      <c r="T489" t="str">
        <f>IF(S489&lt;=0.15,"Calm",IF(S489&lt;=0.3,"Light Wind",IF(S489&lt;=0.45,"Moderate Wind","Strong Wind")))</f>
        <v>Light Wind</v>
      </c>
      <c r="U489">
        <v>3</v>
      </c>
      <c r="V489">
        <v>37</v>
      </c>
      <c r="W489">
        <v>40</v>
      </c>
      <c r="X489" t="str">
        <f>IF(W489&lt;=75,"Low Demand",IF(W489&lt;=150,"Medium Demand",IF(W489&lt;=225,"High Demand","Very High Demand")))</f>
        <v>Low Demand</v>
      </c>
    </row>
    <row r="490" spans="1:24" x14ac:dyDescent="0.25">
      <c r="A490">
        <v>489</v>
      </c>
      <c r="B490" s="2">
        <v>40565</v>
      </c>
      <c r="C490">
        <v>1</v>
      </c>
      <c r="D490">
        <v>0</v>
      </c>
      <c r="E490">
        <v>1</v>
      </c>
      <c r="F490">
        <v>10</v>
      </c>
      <c r="G490" t="str">
        <f>IF(F490&lt;6,"Night",IF(F490&lt;12,"Morning",IF(F490&lt;18,"Afternoon","Evening")))</f>
        <v>Morning</v>
      </c>
      <c r="H490">
        <v>0</v>
      </c>
      <c r="I490">
        <v>6</v>
      </c>
      <c r="J490" t="str">
        <f>CHOOSE(I490+1,"Monday","Tuesday","Wednesday","Thursday","Friday","Saturday","Sunday")</f>
        <v>Sunday</v>
      </c>
      <c r="K490">
        <v>2</v>
      </c>
      <c r="L490" t="str">
        <f>CHOOSE(K490+1,"error","Clear","Misty","Rainy","Severe heater")</f>
        <v>Misty</v>
      </c>
      <c r="M490">
        <v>0.04</v>
      </c>
      <c r="N490" t="str">
        <f>IF(M490&lt;=0.2,"Low",IF(M490&lt;=0.4,"Mid","High"))</f>
        <v>Low</v>
      </c>
      <c r="O490">
        <v>6.0600000000000001E-2</v>
      </c>
      <c r="P490" t="str">
        <f>IF(O490&lt;=0.15,"Very Cold",IF(O490&lt;=0.3,"Cold",IF(O490&lt;=0.45,"Pleasant","Hot")))</f>
        <v>Very Cold</v>
      </c>
      <c r="Q490">
        <v>0.41</v>
      </c>
      <c r="R490" t="str">
        <f>IF(Q490&lt;=0.25,"Low ",IF(Q490&lt;=0.5,"Moderate ",IF(Q490&lt;=0.75,"High ","Very High ")))</f>
        <v xml:space="preserve">Moderate </v>
      </c>
      <c r="S490">
        <v>0.16420000000000001</v>
      </c>
      <c r="T490" t="str">
        <f>IF(S490&lt;=0.15,"Calm",IF(S490&lt;=0.3,"Light Wind",IF(S490&lt;=0.45,"Moderate Wind","Strong Wind")))</f>
        <v>Light Wind</v>
      </c>
      <c r="U490">
        <v>3</v>
      </c>
      <c r="V490">
        <v>50</v>
      </c>
      <c r="W490">
        <v>53</v>
      </c>
      <c r="X490" t="str">
        <f>IF(W490&lt;=75,"Low Demand",IF(W490&lt;=150,"Medium Demand",IF(W490&lt;=225,"High Demand","Very High Demand")))</f>
        <v>Low Demand</v>
      </c>
    </row>
    <row r="491" spans="1:24" x14ac:dyDescent="0.25">
      <c r="A491">
        <v>490</v>
      </c>
      <c r="B491" s="2">
        <v>40565</v>
      </c>
      <c r="C491">
        <v>1</v>
      </c>
      <c r="D491">
        <v>0</v>
      </c>
      <c r="E491">
        <v>1</v>
      </c>
      <c r="F491">
        <v>11</v>
      </c>
      <c r="G491" t="str">
        <f>IF(F491&lt;6,"Night",IF(F491&lt;12,"Morning",IF(F491&lt;18,"Afternoon","Evening")))</f>
        <v>Morning</v>
      </c>
      <c r="H491">
        <v>0</v>
      </c>
      <c r="I491">
        <v>6</v>
      </c>
      <c r="J491" t="str">
        <f>CHOOSE(I491+1,"Monday","Tuesday","Wednesday","Thursday","Friday","Saturday","Sunday")</f>
        <v>Sunday</v>
      </c>
      <c r="K491">
        <v>2</v>
      </c>
      <c r="L491" t="str">
        <f>CHOOSE(K491+1,"error","Clear","Misty","Rainy","Severe heater")</f>
        <v>Misty</v>
      </c>
      <c r="M491">
        <v>0.06</v>
      </c>
      <c r="N491" t="str">
        <f>IF(M491&lt;=0.2,"Low",IF(M491&lt;=0.4,"Mid","High"))</f>
        <v>Low</v>
      </c>
      <c r="O491">
        <v>7.5800000000000006E-2</v>
      </c>
      <c r="P491" t="str">
        <f>IF(O491&lt;=0.15,"Very Cold",IF(O491&lt;=0.3,"Cold",IF(O491&lt;=0.45,"Pleasant","Hot")))</f>
        <v>Very Cold</v>
      </c>
      <c r="Q491">
        <v>0.38</v>
      </c>
      <c r="R491" t="str">
        <f>IF(Q491&lt;=0.25,"Low ",IF(Q491&lt;=0.5,"Moderate ",IF(Q491&lt;=0.75,"High ","Very High ")))</f>
        <v xml:space="preserve">Moderate </v>
      </c>
      <c r="S491">
        <v>0.1343</v>
      </c>
      <c r="T491" t="str">
        <f>IF(S491&lt;=0.15,"Calm",IF(S491&lt;=0.3,"Light Wind",IF(S491&lt;=0.45,"Moderate Wind","Strong Wind")))</f>
        <v>Calm</v>
      </c>
      <c r="U491">
        <v>4</v>
      </c>
      <c r="V491">
        <v>59</v>
      </c>
      <c r="W491">
        <v>63</v>
      </c>
      <c r="X491" t="str">
        <f>IF(W491&lt;=75,"Low Demand",IF(W491&lt;=150,"Medium Demand",IF(W491&lt;=225,"High Demand","Very High Demand")))</f>
        <v>Low Demand</v>
      </c>
    </row>
    <row r="492" spans="1:24" x14ac:dyDescent="0.25">
      <c r="A492">
        <v>491</v>
      </c>
      <c r="B492" s="2">
        <v>40565</v>
      </c>
      <c r="C492">
        <v>1</v>
      </c>
      <c r="D492">
        <v>0</v>
      </c>
      <c r="E492">
        <v>1</v>
      </c>
      <c r="F492">
        <v>12</v>
      </c>
      <c r="G492" t="str">
        <f>IF(F492&lt;6,"Night",IF(F492&lt;12,"Morning",IF(F492&lt;18,"Afternoon","Evening")))</f>
        <v>Afternoon</v>
      </c>
      <c r="H492">
        <v>0</v>
      </c>
      <c r="I492">
        <v>6</v>
      </c>
      <c r="J492" t="str">
        <f>CHOOSE(I492+1,"Monday","Tuesday","Wednesday","Thursday","Friday","Saturday","Sunday")</f>
        <v>Sunday</v>
      </c>
      <c r="K492">
        <v>2</v>
      </c>
      <c r="L492" t="str">
        <f>CHOOSE(K492+1,"error","Clear","Misty","Rainy","Severe heater")</f>
        <v>Misty</v>
      </c>
      <c r="M492">
        <v>0.06</v>
      </c>
      <c r="N492" t="str">
        <f>IF(M492&lt;=0.2,"Low",IF(M492&lt;=0.4,"Mid","High"))</f>
        <v>Low</v>
      </c>
      <c r="O492">
        <v>0.1061</v>
      </c>
      <c r="P492" t="str">
        <f>IF(O492&lt;=0.15,"Very Cold",IF(O492&lt;=0.3,"Cold",IF(O492&lt;=0.45,"Pleasant","Hot")))</f>
        <v>Very Cold</v>
      </c>
      <c r="Q492">
        <v>0.38</v>
      </c>
      <c r="R492" t="str">
        <f>IF(Q492&lt;=0.25,"Low ",IF(Q492&lt;=0.5,"Moderate ",IF(Q492&lt;=0.75,"High ","Very High ")))</f>
        <v xml:space="preserve">Moderate </v>
      </c>
      <c r="S492">
        <v>0.1045</v>
      </c>
      <c r="T492" t="str">
        <f>IF(S492&lt;=0.15,"Calm",IF(S492&lt;=0.3,"Light Wind",IF(S492&lt;=0.45,"Moderate Wind","Strong Wind")))</f>
        <v>Calm</v>
      </c>
      <c r="U492">
        <v>10</v>
      </c>
      <c r="V492">
        <v>60</v>
      </c>
      <c r="W492">
        <v>70</v>
      </c>
      <c r="X492" t="str">
        <f>IF(W492&lt;=75,"Low Demand",IF(W492&lt;=150,"Medium Demand",IF(W492&lt;=225,"High Demand","Very High Demand")))</f>
        <v>Low Demand</v>
      </c>
    </row>
    <row r="493" spans="1:24" x14ac:dyDescent="0.25">
      <c r="A493">
        <v>492</v>
      </c>
      <c r="B493" s="2">
        <v>40565</v>
      </c>
      <c r="C493">
        <v>1</v>
      </c>
      <c r="D493">
        <v>0</v>
      </c>
      <c r="E493">
        <v>1</v>
      </c>
      <c r="F493">
        <v>13</v>
      </c>
      <c r="G493" t="str">
        <f>IF(F493&lt;6,"Night",IF(F493&lt;12,"Morning",IF(F493&lt;18,"Afternoon","Evening")))</f>
        <v>Afternoon</v>
      </c>
      <c r="H493">
        <v>0</v>
      </c>
      <c r="I493">
        <v>6</v>
      </c>
      <c r="J493" t="str">
        <f>CHOOSE(I493+1,"Monday","Tuesday","Wednesday","Thursday","Friday","Saturday","Sunday")</f>
        <v>Sunday</v>
      </c>
      <c r="K493">
        <v>1</v>
      </c>
      <c r="L493" t="str">
        <f>CHOOSE(K493+1,"error","Clear","Misty","Rainy","Severe heater")</f>
        <v>Clear</v>
      </c>
      <c r="M493">
        <v>0.08</v>
      </c>
      <c r="N493" t="str">
        <f>IF(M493&lt;=0.2,"Low",IF(M493&lt;=0.4,"Mid","High"))</f>
        <v>Low</v>
      </c>
      <c r="O493">
        <v>0.16669999999999999</v>
      </c>
      <c r="P493" t="str">
        <f>IF(O493&lt;=0.15,"Very Cold",IF(O493&lt;=0.3,"Cold",IF(O493&lt;=0.45,"Pleasant","Hot")))</f>
        <v>Cold</v>
      </c>
      <c r="Q493">
        <v>0.35</v>
      </c>
      <c r="R493" t="str">
        <f>IF(Q493&lt;=0.25,"Low ",IF(Q493&lt;=0.5,"Moderate ",IF(Q493&lt;=0.75,"High ","Very High ")))</f>
        <v xml:space="preserve">Moderate </v>
      </c>
      <c r="S493">
        <v>0</v>
      </c>
      <c r="T493" t="str">
        <f>IF(S493&lt;=0.15,"Calm",IF(S493&lt;=0.3,"Light Wind",IF(S493&lt;=0.45,"Moderate Wind","Strong Wind")))</f>
        <v>Calm</v>
      </c>
      <c r="U493">
        <v>12</v>
      </c>
      <c r="V493">
        <v>72</v>
      </c>
      <c r="W493">
        <v>84</v>
      </c>
      <c r="X493" t="str">
        <f>IF(W493&lt;=75,"Low Demand",IF(W493&lt;=150,"Medium Demand",IF(W493&lt;=225,"High Demand","Very High Demand")))</f>
        <v>Medium Demand</v>
      </c>
    </row>
    <row r="494" spans="1:24" x14ac:dyDescent="0.25">
      <c r="A494">
        <v>493</v>
      </c>
      <c r="B494" s="2">
        <v>40565</v>
      </c>
      <c r="C494">
        <v>1</v>
      </c>
      <c r="D494">
        <v>0</v>
      </c>
      <c r="E494">
        <v>1</v>
      </c>
      <c r="F494">
        <v>14</v>
      </c>
      <c r="G494" t="str">
        <f>IF(F494&lt;6,"Night",IF(F494&lt;12,"Morning",IF(F494&lt;18,"Afternoon","Evening")))</f>
        <v>Afternoon</v>
      </c>
      <c r="H494">
        <v>0</v>
      </c>
      <c r="I494">
        <v>6</v>
      </c>
      <c r="J494" t="str">
        <f>CHOOSE(I494+1,"Monday","Tuesday","Wednesday","Thursday","Friday","Saturday","Sunday")</f>
        <v>Sunday</v>
      </c>
      <c r="K494">
        <v>1</v>
      </c>
      <c r="L494" t="str">
        <f>CHOOSE(K494+1,"error","Clear","Misty","Rainy","Severe heater")</f>
        <v>Clear</v>
      </c>
      <c r="M494">
        <v>0.1</v>
      </c>
      <c r="N494" t="str">
        <f>IF(M494&lt;=0.2,"Low",IF(M494&lt;=0.4,"Mid","High"))</f>
        <v>Low</v>
      </c>
      <c r="O494">
        <v>0.13639999999999999</v>
      </c>
      <c r="P494" t="str">
        <f>IF(O494&lt;=0.15,"Very Cold",IF(O494&lt;=0.3,"Cold",IF(O494&lt;=0.45,"Pleasant","Hot")))</f>
        <v>Very Cold</v>
      </c>
      <c r="Q494">
        <v>0.33</v>
      </c>
      <c r="R494" t="str">
        <f>IF(Q494&lt;=0.25,"Low ",IF(Q494&lt;=0.5,"Moderate ",IF(Q494&lt;=0.75,"High ","Very High ")))</f>
        <v xml:space="preserve">Moderate </v>
      </c>
      <c r="S494">
        <v>0.1045</v>
      </c>
      <c r="T494" t="str">
        <f>IF(S494&lt;=0.15,"Calm",IF(S494&lt;=0.3,"Light Wind",IF(S494&lt;=0.45,"Moderate Wind","Strong Wind")))</f>
        <v>Calm</v>
      </c>
      <c r="U494">
        <v>11</v>
      </c>
      <c r="V494">
        <v>64</v>
      </c>
      <c r="W494">
        <v>75</v>
      </c>
      <c r="X494" t="str">
        <f>IF(W494&lt;=75,"Low Demand",IF(W494&lt;=150,"Medium Demand",IF(W494&lt;=225,"High Demand","Very High Demand")))</f>
        <v>Low Demand</v>
      </c>
    </row>
    <row r="495" spans="1:24" x14ac:dyDescent="0.25">
      <c r="A495">
        <v>494</v>
      </c>
      <c r="B495" s="2">
        <v>40565</v>
      </c>
      <c r="C495">
        <v>1</v>
      </c>
      <c r="D495">
        <v>0</v>
      </c>
      <c r="E495">
        <v>1</v>
      </c>
      <c r="F495">
        <v>15</v>
      </c>
      <c r="G495" t="str">
        <f>IF(F495&lt;6,"Night",IF(F495&lt;12,"Morning",IF(F495&lt;18,"Afternoon","Evening")))</f>
        <v>Afternoon</v>
      </c>
      <c r="H495">
        <v>0</v>
      </c>
      <c r="I495">
        <v>6</v>
      </c>
      <c r="J495" t="str">
        <f>CHOOSE(I495+1,"Monday","Tuesday","Wednesday","Thursday","Friday","Saturday","Sunday")</f>
        <v>Sunday</v>
      </c>
      <c r="K495">
        <v>1</v>
      </c>
      <c r="L495" t="str">
        <f>CHOOSE(K495+1,"error","Clear","Misty","Rainy","Severe heater")</f>
        <v>Clear</v>
      </c>
      <c r="M495">
        <v>0.12</v>
      </c>
      <c r="N495" t="str">
        <f>IF(M495&lt;=0.2,"Low",IF(M495&lt;=0.4,"Mid","High"))</f>
        <v>Low</v>
      </c>
      <c r="O495">
        <v>0.1515</v>
      </c>
      <c r="P495" t="str">
        <f>IF(O495&lt;=0.15,"Very Cold",IF(O495&lt;=0.3,"Cold",IF(O495&lt;=0.45,"Pleasant","Hot")))</f>
        <v>Cold</v>
      </c>
      <c r="Q495">
        <v>0.28000000000000003</v>
      </c>
      <c r="R495" t="str">
        <f>IF(Q495&lt;=0.25,"Low ",IF(Q495&lt;=0.5,"Moderate ",IF(Q495&lt;=0.75,"High ","Very High ")))</f>
        <v xml:space="preserve">Moderate </v>
      </c>
      <c r="S495">
        <v>0</v>
      </c>
      <c r="T495" t="str">
        <f>IF(S495&lt;=0.15,"Calm",IF(S495&lt;=0.3,"Light Wind",IF(S495&lt;=0.45,"Moderate Wind","Strong Wind")))</f>
        <v>Calm</v>
      </c>
      <c r="U495">
        <v>10</v>
      </c>
      <c r="V495">
        <v>93</v>
      </c>
      <c r="W495">
        <v>103</v>
      </c>
      <c r="X495" t="str">
        <f>IF(W495&lt;=75,"Low Demand",IF(W495&lt;=150,"Medium Demand",IF(W495&lt;=225,"High Demand","Very High Demand")))</f>
        <v>Medium Demand</v>
      </c>
    </row>
    <row r="496" spans="1:24" x14ac:dyDescent="0.25">
      <c r="A496">
        <v>495</v>
      </c>
      <c r="B496" s="2">
        <v>40565</v>
      </c>
      <c r="C496">
        <v>1</v>
      </c>
      <c r="D496">
        <v>0</v>
      </c>
      <c r="E496">
        <v>1</v>
      </c>
      <c r="F496">
        <v>16</v>
      </c>
      <c r="G496" t="str">
        <f>IF(F496&lt;6,"Night",IF(F496&lt;12,"Morning",IF(F496&lt;18,"Afternoon","Evening")))</f>
        <v>Afternoon</v>
      </c>
      <c r="H496">
        <v>0</v>
      </c>
      <c r="I496">
        <v>6</v>
      </c>
      <c r="J496" t="str">
        <f>CHOOSE(I496+1,"Monday","Tuesday","Wednesday","Thursday","Friday","Saturday","Sunday")</f>
        <v>Sunday</v>
      </c>
      <c r="K496">
        <v>1</v>
      </c>
      <c r="L496" t="str">
        <f>CHOOSE(K496+1,"error","Clear","Misty","Rainy","Severe heater")</f>
        <v>Clear</v>
      </c>
      <c r="M496">
        <v>0.12</v>
      </c>
      <c r="N496" t="str">
        <f>IF(M496&lt;=0.2,"Low",IF(M496&lt;=0.4,"Mid","High"))</f>
        <v>Low</v>
      </c>
      <c r="O496">
        <v>0.13639999999999999</v>
      </c>
      <c r="P496" t="str">
        <f>IF(O496&lt;=0.15,"Very Cold",IF(O496&lt;=0.3,"Cold",IF(O496&lt;=0.45,"Pleasant","Hot")))</f>
        <v>Very Cold</v>
      </c>
      <c r="Q496">
        <v>0.28000000000000003</v>
      </c>
      <c r="R496" t="str">
        <f>IF(Q496&lt;=0.25,"Low ",IF(Q496&lt;=0.5,"Moderate ",IF(Q496&lt;=0.75,"High ","Very High ")))</f>
        <v xml:space="preserve">Moderate </v>
      </c>
      <c r="S496">
        <v>0.19400000000000001</v>
      </c>
      <c r="T496" t="str">
        <f>IF(S496&lt;=0.15,"Calm",IF(S496&lt;=0.3,"Light Wind",IF(S496&lt;=0.45,"Moderate Wind","Strong Wind")))</f>
        <v>Light Wind</v>
      </c>
      <c r="U496">
        <v>11</v>
      </c>
      <c r="V496">
        <v>72</v>
      </c>
      <c r="W496">
        <v>83</v>
      </c>
      <c r="X496" t="str">
        <f>IF(W496&lt;=75,"Low Demand",IF(W496&lt;=150,"Medium Demand",IF(W496&lt;=225,"High Demand","Very High Demand")))</f>
        <v>Medium Demand</v>
      </c>
    </row>
    <row r="497" spans="1:24" x14ac:dyDescent="0.25">
      <c r="A497">
        <v>496</v>
      </c>
      <c r="B497" s="2">
        <v>40565</v>
      </c>
      <c r="C497">
        <v>1</v>
      </c>
      <c r="D497">
        <v>0</v>
      </c>
      <c r="E497">
        <v>1</v>
      </c>
      <c r="F497">
        <v>17</v>
      </c>
      <c r="G497" t="str">
        <f>IF(F497&lt;6,"Night",IF(F497&lt;12,"Morning",IF(F497&lt;18,"Afternoon","Evening")))</f>
        <v>Afternoon</v>
      </c>
      <c r="H497">
        <v>0</v>
      </c>
      <c r="I497">
        <v>6</v>
      </c>
      <c r="J497" t="str">
        <f>CHOOSE(I497+1,"Monday","Tuesday","Wednesday","Thursday","Friday","Saturday","Sunday")</f>
        <v>Sunday</v>
      </c>
      <c r="K497">
        <v>1</v>
      </c>
      <c r="L497" t="str">
        <f>CHOOSE(K497+1,"error","Clear","Misty","Rainy","Severe heater")</f>
        <v>Clear</v>
      </c>
      <c r="M497">
        <v>0.12</v>
      </c>
      <c r="N497" t="str">
        <f>IF(M497&lt;=0.2,"Low",IF(M497&lt;=0.4,"Mid","High"))</f>
        <v>Low</v>
      </c>
      <c r="O497">
        <v>0.19700000000000001</v>
      </c>
      <c r="P497" t="str">
        <f>IF(O497&lt;=0.15,"Very Cold",IF(O497&lt;=0.3,"Cold",IF(O497&lt;=0.45,"Pleasant","Hot")))</f>
        <v>Cold</v>
      </c>
      <c r="Q497">
        <v>0.28000000000000003</v>
      </c>
      <c r="R497" t="str">
        <f>IF(Q497&lt;=0.25,"Low ",IF(Q497&lt;=0.5,"Moderate ",IF(Q497&lt;=0.75,"High ","Very High ")))</f>
        <v xml:space="preserve">Moderate </v>
      </c>
      <c r="S497">
        <v>0</v>
      </c>
      <c r="T497" t="str">
        <f>IF(S497&lt;=0.15,"Calm",IF(S497&lt;=0.3,"Light Wind",IF(S497&lt;=0.45,"Moderate Wind","Strong Wind")))</f>
        <v>Calm</v>
      </c>
      <c r="U497">
        <v>8</v>
      </c>
      <c r="V497">
        <v>59</v>
      </c>
      <c r="W497">
        <v>67</v>
      </c>
      <c r="X497" t="str">
        <f>IF(W497&lt;=75,"Low Demand",IF(W497&lt;=150,"Medium Demand",IF(W497&lt;=225,"High Demand","Very High Demand")))</f>
        <v>Low Demand</v>
      </c>
    </row>
    <row r="498" spans="1:24" x14ac:dyDescent="0.25">
      <c r="A498">
        <v>497</v>
      </c>
      <c r="B498" s="2">
        <v>40565</v>
      </c>
      <c r="C498">
        <v>1</v>
      </c>
      <c r="D498">
        <v>0</v>
      </c>
      <c r="E498">
        <v>1</v>
      </c>
      <c r="F498">
        <v>18</v>
      </c>
      <c r="G498" t="str">
        <f>IF(F498&lt;6,"Night",IF(F498&lt;12,"Morning",IF(F498&lt;18,"Afternoon","Evening")))</f>
        <v>Evening</v>
      </c>
      <c r="H498">
        <v>0</v>
      </c>
      <c r="I498">
        <v>6</v>
      </c>
      <c r="J498" t="str">
        <f>CHOOSE(I498+1,"Monday","Tuesday","Wednesday","Thursday","Friday","Saturday","Sunday")</f>
        <v>Sunday</v>
      </c>
      <c r="K498">
        <v>1</v>
      </c>
      <c r="L498" t="str">
        <f>CHOOSE(K498+1,"error","Clear","Misty","Rainy","Severe heater")</f>
        <v>Clear</v>
      </c>
      <c r="M498">
        <v>0.08</v>
      </c>
      <c r="N498" t="str">
        <f>IF(M498&lt;=0.2,"Low",IF(M498&lt;=0.4,"Mid","High"))</f>
        <v>Low</v>
      </c>
      <c r="O498">
        <v>9.0899999999999995E-2</v>
      </c>
      <c r="P498" t="str">
        <f>IF(O498&lt;=0.15,"Very Cold",IF(O498&lt;=0.3,"Cold",IF(O498&lt;=0.45,"Pleasant","Hot")))</f>
        <v>Very Cold</v>
      </c>
      <c r="Q498">
        <v>0.35</v>
      </c>
      <c r="R498" t="str">
        <f>IF(Q498&lt;=0.25,"Low ",IF(Q498&lt;=0.5,"Moderate ",IF(Q498&lt;=0.75,"High ","Very High ")))</f>
        <v xml:space="preserve">Moderate </v>
      </c>
      <c r="S498">
        <v>0.19400000000000001</v>
      </c>
      <c r="T498" t="str">
        <f>IF(S498&lt;=0.15,"Calm",IF(S498&lt;=0.3,"Light Wind",IF(S498&lt;=0.45,"Moderate Wind","Strong Wind")))</f>
        <v>Light Wind</v>
      </c>
      <c r="U498">
        <v>0</v>
      </c>
      <c r="V498">
        <v>54</v>
      </c>
      <c r="W498">
        <v>54</v>
      </c>
      <c r="X498" t="str">
        <f>IF(W498&lt;=75,"Low Demand",IF(W498&lt;=150,"Medium Demand",IF(W498&lt;=225,"High Demand","Very High Demand")))</f>
        <v>Low Demand</v>
      </c>
    </row>
    <row r="499" spans="1:24" x14ac:dyDescent="0.25">
      <c r="A499">
        <v>498</v>
      </c>
      <c r="B499" s="2">
        <v>40565</v>
      </c>
      <c r="C499">
        <v>1</v>
      </c>
      <c r="D499">
        <v>0</v>
      </c>
      <c r="E499">
        <v>1</v>
      </c>
      <c r="F499">
        <v>19</v>
      </c>
      <c r="G499" t="str">
        <f>IF(F499&lt;6,"Night",IF(F499&lt;12,"Morning",IF(F499&lt;18,"Afternoon","Evening")))</f>
        <v>Evening</v>
      </c>
      <c r="H499">
        <v>0</v>
      </c>
      <c r="I499">
        <v>6</v>
      </c>
      <c r="J499" t="str">
        <f>CHOOSE(I499+1,"Monday","Tuesday","Wednesday","Thursday","Friday","Saturday","Sunday")</f>
        <v>Sunday</v>
      </c>
      <c r="K499">
        <v>1</v>
      </c>
      <c r="L499" t="str">
        <f>CHOOSE(K499+1,"error","Clear","Misty","Rainy","Severe heater")</f>
        <v>Clear</v>
      </c>
      <c r="M499">
        <v>0.08</v>
      </c>
      <c r="N499" t="str">
        <f>IF(M499&lt;=0.2,"Low",IF(M499&lt;=0.4,"Mid","High"))</f>
        <v>Low</v>
      </c>
      <c r="O499">
        <v>0.1061</v>
      </c>
      <c r="P499" t="str">
        <f>IF(O499&lt;=0.15,"Very Cold",IF(O499&lt;=0.3,"Cold",IF(O499&lt;=0.45,"Pleasant","Hot")))</f>
        <v>Very Cold</v>
      </c>
      <c r="Q499">
        <v>0.35</v>
      </c>
      <c r="R499" t="str">
        <f>IF(Q499&lt;=0.25,"Low ",IF(Q499&lt;=0.5,"Moderate ",IF(Q499&lt;=0.75,"High ","Very High ")))</f>
        <v xml:space="preserve">Moderate </v>
      </c>
      <c r="S499">
        <v>0.1343</v>
      </c>
      <c r="T499" t="str">
        <f>IF(S499&lt;=0.15,"Calm",IF(S499&lt;=0.3,"Light Wind",IF(S499&lt;=0.45,"Moderate Wind","Strong Wind")))</f>
        <v>Calm</v>
      </c>
      <c r="U499">
        <v>6</v>
      </c>
      <c r="V499">
        <v>53</v>
      </c>
      <c r="W499">
        <v>59</v>
      </c>
      <c r="X499" t="str">
        <f>IF(W499&lt;=75,"Low Demand",IF(W499&lt;=150,"Medium Demand",IF(W499&lt;=225,"High Demand","Very High Demand")))</f>
        <v>Low Demand</v>
      </c>
    </row>
    <row r="500" spans="1:24" x14ac:dyDescent="0.25">
      <c r="A500">
        <v>499</v>
      </c>
      <c r="B500" s="2">
        <v>40565</v>
      </c>
      <c r="C500">
        <v>1</v>
      </c>
      <c r="D500">
        <v>0</v>
      </c>
      <c r="E500">
        <v>1</v>
      </c>
      <c r="F500">
        <v>20</v>
      </c>
      <c r="G500" t="str">
        <f>IF(F500&lt;6,"Night",IF(F500&lt;12,"Morning",IF(F500&lt;18,"Afternoon","Evening")))</f>
        <v>Evening</v>
      </c>
      <c r="H500">
        <v>0</v>
      </c>
      <c r="I500">
        <v>6</v>
      </c>
      <c r="J500" t="str">
        <f>CHOOSE(I500+1,"Monday","Tuesday","Wednesday","Thursday","Friday","Saturday","Sunday")</f>
        <v>Sunday</v>
      </c>
      <c r="K500">
        <v>1</v>
      </c>
      <c r="L500" t="str">
        <f>CHOOSE(K500+1,"error","Clear","Misty","Rainy","Severe heater")</f>
        <v>Clear</v>
      </c>
      <c r="M500">
        <v>0.06</v>
      </c>
      <c r="N500" t="str">
        <f>IF(M500&lt;=0.2,"Low",IF(M500&lt;=0.4,"Mid","High"))</f>
        <v>Low</v>
      </c>
      <c r="O500">
        <v>7.5800000000000006E-2</v>
      </c>
      <c r="P500" t="str">
        <f>IF(O500&lt;=0.15,"Very Cold",IF(O500&lt;=0.3,"Cold",IF(O500&lt;=0.45,"Pleasant","Hot")))</f>
        <v>Very Cold</v>
      </c>
      <c r="Q500">
        <v>0.45</v>
      </c>
      <c r="R500" t="str">
        <f>IF(Q500&lt;=0.25,"Low ",IF(Q500&lt;=0.5,"Moderate ",IF(Q500&lt;=0.75,"High ","Very High ")))</f>
        <v xml:space="preserve">Moderate </v>
      </c>
      <c r="S500">
        <v>0.16420000000000001</v>
      </c>
      <c r="T500" t="str">
        <f>IF(S500&lt;=0.15,"Calm",IF(S500&lt;=0.3,"Light Wind",IF(S500&lt;=0.45,"Moderate Wind","Strong Wind")))</f>
        <v>Light Wind</v>
      </c>
      <c r="U500">
        <v>1</v>
      </c>
      <c r="V500">
        <v>44</v>
      </c>
      <c r="W500">
        <v>45</v>
      </c>
      <c r="X500" t="str">
        <f>IF(W500&lt;=75,"Low Demand",IF(W500&lt;=150,"Medium Demand",IF(W500&lt;=225,"High Demand","Very High Demand")))</f>
        <v>Low Demand</v>
      </c>
    </row>
    <row r="501" spans="1:24" x14ac:dyDescent="0.25">
      <c r="A501">
        <v>500</v>
      </c>
      <c r="B501" s="2">
        <v>40565</v>
      </c>
      <c r="C501">
        <v>1</v>
      </c>
      <c r="D501">
        <v>0</v>
      </c>
      <c r="E501">
        <v>1</v>
      </c>
      <c r="F501">
        <v>21</v>
      </c>
      <c r="G501" t="str">
        <f>IF(F501&lt;6,"Night",IF(F501&lt;12,"Morning",IF(F501&lt;18,"Afternoon","Evening")))</f>
        <v>Evening</v>
      </c>
      <c r="H501">
        <v>0</v>
      </c>
      <c r="I501">
        <v>6</v>
      </c>
      <c r="J501" t="str">
        <f>CHOOSE(I501+1,"Monday","Tuesday","Wednesday","Thursday","Friday","Saturday","Sunday")</f>
        <v>Sunday</v>
      </c>
      <c r="K501">
        <v>1</v>
      </c>
      <c r="L501" t="str">
        <f>CHOOSE(K501+1,"error","Clear","Misty","Rainy","Severe heater")</f>
        <v>Clear</v>
      </c>
      <c r="M501">
        <v>0.06</v>
      </c>
      <c r="N501" t="str">
        <f>IF(M501&lt;=0.2,"Low",IF(M501&lt;=0.4,"Mid","High"))</f>
        <v>Low</v>
      </c>
      <c r="O501">
        <v>0.1061</v>
      </c>
      <c r="P501" t="str">
        <f>IF(O501&lt;=0.15,"Very Cold",IF(O501&lt;=0.3,"Cold",IF(O501&lt;=0.45,"Pleasant","Hot")))</f>
        <v>Very Cold</v>
      </c>
      <c r="Q501">
        <v>0.41</v>
      </c>
      <c r="R501" t="str">
        <f>IF(Q501&lt;=0.25,"Low ",IF(Q501&lt;=0.5,"Moderate ",IF(Q501&lt;=0.75,"High ","Very High ")))</f>
        <v xml:space="preserve">Moderate </v>
      </c>
      <c r="S501">
        <v>8.9599999999999999E-2</v>
      </c>
      <c r="T501" t="str">
        <f>IF(S501&lt;=0.15,"Calm",IF(S501&lt;=0.3,"Light Wind",IF(S501&lt;=0.45,"Moderate Wind","Strong Wind")))</f>
        <v>Calm</v>
      </c>
      <c r="U501">
        <v>0</v>
      </c>
      <c r="V501">
        <v>39</v>
      </c>
      <c r="W501">
        <v>39</v>
      </c>
      <c r="X501" t="str">
        <f>IF(W501&lt;=75,"Low Demand",IF(W501&lt;=150,"Medium Demand",IF(W501&lt;=225,"High Demand","Very High Demand")))</f>
        <v>Low Demand</v>
      </c>
    </row>
    <row r="502" spans="1:24" x14ac:dyDescent="0.25">
      <c r="A502">
        <v>501</v>
      </c>
      <c r="B502" s="2">
        <v>40565</v>
      </c>
      <c r="C502">
        <v>1</v>
      </c>
      <c r="D502">
        <v>0</v>
      </c>
      <c r="E502">
        <v>1</v>
      </c>
      <c r="F502">
        <v>22</v>
      </c>
      <c r="G502" t="str">
        <f>IF(F502&lt;6,"Night",IF(F502&lt;12,"Morning",IF(F502&lt;18,"Afternoon","Evening")))</f>
        <v>Evening</v>
      </c>
      <c r="H502">
        <v>0</v>
      </c>
      <c r="I502">
        <v>6</v>
      </c>
      <c r="J502" t="str">
        <f>CHOOSE(I502+1,"Monday","Tuesday","Wednesday","Thursday","Friday","Saturday","Sunday")</f>
        <v>Sunday</v>
      </c>
      <c r="K502">
        <v>1</v>
      </c>
      <c r="L502" t="str">
        <f>CHOOSE(K502+1,"error","Clear","Misty","Rainy","Severe heater")</f>
        <v>Clear</v>
      </c>
      <c r="M502">
        <v>0.06</v>
      </c>
      <c r="N502" t="str">
        <f>IF(M502&lt;=0.2,"Low",IF(M502&lt;=0.4,"Mid","High"))</f>
        <v>Low</v>
      </c>
      <c r="O502">
        <v>0.1515</v>
      </c>
      <c r="P502" t="str">
        <f>IF(O502&lt;=0.15,"Very Cold",IF(O502&lt;=0.3,"Cold",IF(O502&lt;=0.45,"Pleasant","Hot")))</f>
        <v>Cold</v>
      </c>
      <c r="Q502">
        <v>0.49</v>
      </c>
      <c r="R502" t="str">
        <f>IF(Q502&lt;=0.25,"Low ",IF(Q502&lt;=0.5,"Moderate ",IF(Q502&lt;=0.75,"High ","Very High ")))</f>
        <v xml:space="preserve">Moderate </v>
      </c>
      <c r="S502">
        <v>0</v>
      </c>
      <c r="T502" t="str">
        <f>IF(S502&lt;=0.15,"Calm",IF(S502&lt;=0.3,"Light Wind",IF(S502&lt;=0.45,"Moderate Wind","Strong Wind")))</f>
        <v>Calm</v>
      </c>
      <c r="U502">
        <v>7</v>
      </c>
      <c r="V502">
        <v>23</v>
      </c>
      <c r="W502">
        <v>30</v>
      </c>
      <c r="X502" t="str">
        <f>IF(W502&lt;=75,"Low Demand",IF(W502&lt;=150,"Medium Demand",IF(W502&lt;=225,"High Demand","Very High Demand")))</f>
        <v>Low Demand</v>
      </c>
    </row>
    <row r="503" spans="1:24" x14ac:dyDescent="0.25">
      <c r="A503">
        <v>502</v>
      </c>
      <c r="B503" s="2">
        <v>40565</v>
      </c>
      <c r="C503">
        <v>1</v>
      </c>
      <c r="D503">
        <v>0</v>
      </c>
      <c r="E503">
        <v>1</v>
      </c>
      <c r="F503">
        <v>23</v>
      </c>
      <c r="G503" t="str">
        <f>IF(F503&lt;6,"Night",IF(F503&lt;12,"Morning",IF(F503&lt;18,"Afternoon","Evening")))</f>
        <v>Evening</v>
      </c>
      <c r="H503">
        <v>0</v>
      </c>
      <c r="I503">
        <v>6</v>
      </c>
      <c r="J503" t="str">
        <f>CHOOSE(I503+1,"Monday","Tuesday","Wednesday","Thursday","Friday","Saturday","Sunday")</f>
        <v>Sunday</v>
      </c>
      <c r="K503">
        <v>1</v>
      </c>
      <c r="L503" t="str">
        <f>CHOOSE(K503+1,"error","Clear","Misty","Rainy","Severe heater")</f>
        <v>Clear</v>
      </c>
      <c r="M503">
        <v>0.04</v>
      </c>
      <c r="N503" t="str">
        <f>IF(M503&lt;=0.2,"Low",IF(M503&lt;=0.4,"Mid","High"))</f>
        <v>Low</v>
      </c>
      <c r="O503">
        <v>7.5800000000000006E-2</v>
      </c>
      <c r="P503" t="str">
        <f>IF(O503&lt;=0.15,"Very Cold",IF(O503&lt;=0.3,"Cold",IF(O503&lt;=0.45,"Pleasant","Hot")))</f>
        <v>Very Cold</v>
      </c>
      <c r="Q503">
        <v>0.56999999999999995</v>
      </c>
      <c r="R503" t="str">
        <f>IF(Q503&lt;=0.25,"Low ",IF(Q503&lt;=0.5,"Moderate ",IF(Q503&lt;=0.75,"High ","Very High ")))</f>
        <v xml:space="preserve">High </v>
      </c>
      <c r="S503">
        <v>0.1045</v>
      </c>
      <c r="T503" t="str">
        <f>IF(S503&lt;=0.15,"Calm",IF(S503&lt;=0.3,"Light Wind",IF(S503&lt;=0.45,"Moderate Wind","Strong Wind")))</f>
        <v>Calm</v>
      </c>
      <c r="U503">
        <v>2</v>
      </c>
      <c r="V503">
        <v>31</v>
      </c>
      <c r="W503">
        <v>33</v>
      </c>
      <c r="X503" t="str">
        <f>IF(W503&lt;=75,"Low Demand",IF(W503&lt;=150,"Medium Demand",IF(W503&lt;=225,"High Demand","Very High Demand")))</f>
        <v>Low Demand</v>
      </c>
    </row>
    <row r="504" spans="1:24" x14ac:dyDescent="0.25">
      <c r="A504">
        <v>503</v>
      </c>
      <c r="B504" s="2">
        <v>40566</v>
      </c>
      <c r="C504">
        <v>1</v>
      </c>
      <c r="D504">
        <v>0</v>
      </c>
      <c r="E504">
        <v>1</v>
      </c>
      <c r="F504">
        <v>0</v>
      </c>
      <c r="G504" t="str">
        <f>IF(F504&lt;6,"Night",IF(F504&lt;12,"Morning",IF(F504&lt;18,"Afternoon","Evening")))</f>
        <v>Night</v>
      </c>
      <c r="H504">
        <v>0</v>
      </c>
      <c r="I504">
        <v>0</v>
      </c>
      <c r="J504" t="str">
        <f>CHOOSE(I504+1,"Monday","Tuesday","Wednesday","Thursday","Friday","Saturday","Sunday")</f>
        <v>Monday</v>
      </c>
      <c r="K504">
        <v>1</v>
      </c>
      <c r="L504" t="str">
        <f>CHOOSE(K504+1,"error","Clear","Misty","Rainy","Severe heater")</f>
        <v>Clear</v>
      </c>
      <c r="M504">
        <v>0.04</v>
      </c>
      <c r="N504" t="str">
        <f>IF(M504&lt;=0.2,"Low",IF(M504&lt;=0.4,"Mid","High"))</f>
        <v>Low</v>
      </c>
      <c r="O504">
        <v>7.5800000000000006E-2</v>
      </c>
      <c r="P504" t="str">
        <f>IF(O504&lt;=0.15,"Very Cold",IF(O504&lt;=0.3,"Cold",IF(O504&lt;=0.45,"Pleasant","Hot")))</f>
        <v>Very Cold</v>
      </c>
      <c r="Q504">
        <v>0.56999999999999995</v>
      </c>
      <c r="R504" t="str">
        <f>IF(Q504&lt;=0.25,"Low ",IF(Q504&lt;=0.5,"Moderate ",IF(Q504&lt;=0.75,"High ","Very High ")))</f>
        <v xml:space="preserve">High </v>
      </c>
      <c r="S504">
        <v>0.1045</v>
      </c>
      <c r="T504" t="str">
        <f>IF(S504&lt;=0.15,"Calm",IF(S504&lt;=0.3,"Light Wind",IF(S504&lt;=0.45,"Moderate Wind","Strong Wind")))</f>
        <v>Calm</v>
      </c>
      <c r="U504">
        <v>2</v>
      </c>
      <c r="V504">
        <v>20</v>
      </c>
      <c r="W504">
        <v>22</v>
      </c>
      <c r="X504" t="str">
        <f>IF(W504&lt;=75,"Low Demand",IF(W504&lt;=150,"Medium Demand",IF(W504&lt;=225,"High Demand","Very High Demand")))</f>
        <v>Low Demand</v>
      </c>
    </row>
    <row r="505" spans="1:24" x14ac:dyDescent="0.25">
      <c r="A505">
        <v>504</v>
      </c>
      <c r="B505" s="2">
        <v>40566</v>
      </c>
      <c r="C505">
        <v>1</v>
      </c>
      <c r="D505">
        <v>0</v>
      </c>
      <c r="E505">
        <v>1</v>
      </c>
      <c r="F505">
        <v>1</v>
      </c>
      <c r="G505" t="str">
        <f>IF(F505&lt;6,"Night",IF(F505&lt;12,"Morning",IF(F505&lt;18,"Afternoon","Evening")))</f>
        <v>Night</v>
      </c>
      <c r="H505">
        <v>0</v>
      </c>
      <c r="I505">
        <v>0</v>
      </c>
      <c r="J505" t="str">
        <f>CHOOSE(I505+1,"Monday","Tuesday","Wednesday","Thursday","Friday","Saturday","Sunday")</f>
        <v>Monday</v>
      </c>
      <c r="K505">
        <v>1</v>
      </c>
      <c r="L505" t="str">
        <f>CHOOSE(K505+1,"error","Clear","Misty","Rainy","Severe heater")</f>
        <v>Clear</v>
      </c>
      <c r="M505">
        <v>0.04</v>
      </c>
      <c r="N505" t="str">
        <f>IF(M505&lt;=0.2,"Low",IF(M505&lt;=0.4,"Mid","High"))</f>
        <v>Low</v>
      </c>
      <c r="O505">
        <v>7.5800000000000006E-2</v>
      </c>
      <c r="P505" t="str">
        <f>IF(O505&lt;=0.15,"Very Cold",IF(O505&lt;=0.3,"Cold",IF(O505&lt;=0.45,"Pleasant","Hot")))</f>
        <v>Very Cold</v>
      </c>
      <c r="Q505">
        <v>0.56999999999999995</v>
      </c>
      <c r="R505" t="str">
        <f>IF(Q505&lt;=0.25,"Low ",IF(Q505&lt;=0.5,"Moderate ",IF(Q505&lt;=0.75,"High ","Very High ")))</f>
        <v xml:space="preserve">High </v>
      </c>
      <c r="S505">
        <v>0.1045</v>
      </c>
      <c r="T505" t="str">
        <f>IF(S505&lt;=0.15,"Calm",IF(S505&lt;=0.3,"Light Wind",IF(S505&lt;=0.45,"Moderate Wind","Strong Wind")))</f>
        <v>Calm</v>
      </c>
      <c r="U505">
        <v>1</v>
      </c>
      <c r="V505">
        <v>12</v>
      </c>
      <c r="W505">
        <v>13</v>
      </c>
      <c r="X505" t="str">
        <f>IF(W505&lt;=75,"Low Demand",IF(W505&lt;=150,"Medium Demand",IF(W505&lt;=225,"High Demand","Very High Demand")))</f>
        <v>Low Demand</v>
      </c>
    </row>
    <row r="506" spans="1:24" x14ac:dyDescent="0.25">
      <c r="A506">
        <v>505</v>
      </c>
      <c r="B506" s="2">
        <v>40566</v>
      </c>
      <c r="C506">
        <v>1</v>
      </c>
      <c r="D506">
        <v>0</v>
      </c>
      <c r="E506">
        <v>1</v>
      </c>
      <c r="F506">
        <v>2</v>
      </c>
      <c r="G506" t="str">
        <f>IF(F506&lt;6,"Night",IF(F506&lt;12,"Morning",IF(F506&lt;18,"Afternoon","Evening")))</f>
        <v>Night</v>
      </c>
      <c r="H506">
        <v>0</v>
      </c>
      <c r="I506">
        <v>0</v>
      </c>
      <c r="J506" t="str">
        <f>CHOOSE(I506+1,"Monday","Tuesday","Wednesday","Thursday","Friday","Saturday","Sunday")</f>
        <v>Monday</v>
      </c>
      <c r="K506">
        <v>1</v>
      </c>
      <c r="L506" t="str">
        <f>CHOOSE(K506+1,"error","Clear","Misty","Rainy","Severe heater")</f>
        <v>Clear</v>
      </c>
      <c r="M506">
        <v>0.02</v>
      </c>
      <c r="N506" t="str">
        <f>IF(M506&lt;=0.2,"Low",IF(M506&lt;=0.4,"Mid","High"))</f>
        <v>Low</v>
      </c>
      <c r="O506">
        <v>6.0600000000000001E-2</v>
      </c>
      <c r="P506" t="str">
        <f>IF(O506&lt;=0.15,"Very Cold",IF(O506&lt;=0.3,"Cold",IF(O506&lt;=0.45,"Pleasant","Hot")))</f>
        <v>Very Cold</v>
      </c>
      <c r="Q506">
        <v>0.62</v>
      </c>
      <c r="R506" t="str">
        <f>IF(Q506&lt;=0.25,"Low ",IF(Q506&lt;=0.5,"Moderate ",IF(Q506&lt;=0.75,"High ","Very High ")))</f>
        <v xml:space="preserve">High </v>
      </c>
      <c r="S506">
        <v>0.1343</v>
      </c>
      <c r="T506" t="str">
        <f>IF(S506&lt;=0.15,"Calm",IF(S506&lt;=0.3,"Light Wind",IF(S506&lt;=0.45,"Moderate Wind","Strong Wind")))</f>
        <v>Calm</v>
      </c>
      <c r="U506">
        <v>3</v>
      </c>
      <c r="V506">
        <v>15</v>
      </c>
      <c r="W506">
        <v>18</v>
      </c>
      <c r="X506" t="str">
        <f>IF(W506&lt;=75,"Low Demand",IF(W506&lt;=150,"Medium Demand",IF(W506&lt;=225,"High Demand","Very High Demand")))</f>
        <v>Low Demand</v>
      </c>
    </row>
    <row r="507" spans="1:24" x14ac:dyDescent="0.25">
      <c r="A507">
        <v>506</v>
      </c>
      <c r="B507" s="2">
        <v>40566</v>
      </c>
      <c r="C507">
        <v>1</v>
      </c>
      <c r="D507">
        <v>0</v>
      </c>
      <c r="E507">
        <v>1</v>
      </c>
      <c r="F507">
        <v>3</v>
      </c>
      <c r="G507" t="str">
        <f>IF(F507&lt;6,"Night",IF(F507&lt;12,"Morning",IF(F507&lt;18,"Afternoon","Evening")))</f>
        <v>Night</v>
      </c>
      <c r="H507">
        <v>0</v>
      </c>
      <c r="I507">
        <v>0</v>
      </c>
      <c r="J507" t="str">
        <f>CHOOSE(I507+1,"Monday","Tuesday","Wednesday","Thursday","Friday","Saturday","Sunday")</f>
        <v>Monday</v>
      </c>
      <c r="K507">
        <v>1</v>
      </c>
      <c r="L507" t="str">
        <f>CHOOSE(K507+1,"error","Clear","Misty","Rainy","Severe heater")</f>
        <v>Clear</v>
      </c>
      <c r="M507">
        <v>0.02</v>
      </c>
      <c r="N507" t="str">
        <f>IF(M507&lt;=0.2,"Low",IF(M507&lt;=0.4,"Mid","High"))</f>
        <v>Low</v>
      </c>
      <c r="O507">
        <v>6.0600000000000001E-2</v>
      </c>
      <c r="P507" t="str">
        <f>IF(O507&lt;=0.15,"Very Cold",IF(O507&lt;=0.3,"Cold",IF(O507&lt;=0.45,"Pleasant","Hot")))</f>
        <v>Very Cold</v>
      </c>
      <c r="Q507">
        <v>0.62</v>
      </c>
      <c r="R507" t="str">
        <f>IF(Q507&lt;=0.25,"Low ",IF(Q507&lt;=0.5,"Moderate ",IF(Q507&lt;=0.75,"High ","Very High ")))</f>
        <v xml:space="preserve">High </v>
      </c>
      <c r="S507">
        <v>0.1343</v>
      </c>
      <c r="T507" t="str">
        <f>IF(S507&lt;=0.15,"Calm",IF(S507&lt;=0.3,"Light Wind",IF(S507&lt;=0.45,"Moderate Wind","Strong Wind")))</f>
        <v>Calm</v>
      </c>
      <c r="U507">
        <v>1</v>
      </c>
      <c r="V507">
        <v>4</v>
      </c>
      <c r="W507">
        <v>5</v>
      </c>
      <c r="X507" t="str">
        <f>IF(W507&lt;=75,"Low Demand",IF(W507&lt;=150,"Medium Demand",IF(W507&lt;=225,"High Demand","Very High Demand")))</f>
        <v>Low Demand</v>
      </c>
    </row>
    <row r="508" spans="1:24" x14ac:dyDescent="0.25">
      <c r="A508">
        <v>507</v>
      </c>
      <c r="B508" s="2">
        <v>40566</v>
      </c>
      <c r="C508">
        <v>1</v>
      </c>
      <c r="D508">
        <v>0</v>
      </c>
      <c r="E508">
        <v>1</v>
      </c>
      <c r="F508">
        <v>5</v>
      </c>
      <c r="G508" t="str">
        <f>IF(F508&lt;6,"Night",IF(F508&lt;12,"Morning",IF(F508&lt;18,"Afternoon","Evening")))</f>
        <v>Night</v>
      </c>
      <c r="H508">
        <v>0</v>
      </c>
      <c r="I508">
        <v>0</v>
      </c>
      <c r="J508" t="str">
        <f>CHOOSE(I508+1,"Monday","Tuesday","Wednesday","Thursday","Friday","Saturday","Sunday")</f>
        <v>Monday</v>
      </c>
      <c r="K508">
        <v>2</v>
      </c>
      <c r="L508" t="str">
        <f>CHOOSE(K508+1,"error","Clear","Misty","Rainy","Severe heater")</f>
        <v>Misty</v>
      </c>
      <c r="M508">
        <v>0.04</v>
      </c>
      <c r="N508" t="str">
        <f>IF(M508&lt;=0.2,"Low",IF(M508&lt;=0.4,"Mid","High"))</f>
        <v>Low</v>
      </c>
      <c r="O508">
        <v>7.5800000000000006E-2</v>
      </c>
      <c r="P508" t="str">
        <f>IF(O508&lt;=0.15,"Very Cold",IF(O508&lt;=0.3,"Cold",IF(O508&lt;=0.45,"Pleasant","Hot")))</f>
        <v>Very Cold</v>
      </c>
      <c r="Q508">
        <v>0.56999999999999995</v>
      </c>
      <c r="R508" t="str">
        <f>IF(Q508&lt;=0.25,"Low ",IF(Q508&lt;=0.5,"Moderate ",IF(Q508&lt;=0.75,"High ","Very High ")))</f>
        <v xml:space="preserve">High </v>
      </c>
      <c r="S508">
        <v>0.1045</v>
      </c>
      <c r="T508" t="str">
        <f>IF(S508&lt;=0.15,"Calm",IF(S508&lt;=0.3,"Light Wind",IF(S508&lt;=0.45,"Moderate Wind","Strong Wind")))</f>
        <v>Calm</v>
      </c>
      <c r="U508">
        <v>0</v>
      </c>
      <c r="V508">
        <v>3</v>
      </c>
      <c r="W508">
        <v>3</v>
      </c>
      <c r="X508" t="str">
        <f>IF(W508&lt;=75,"Low Demand",IF(W508&lt;=150,"Medium Demand",IF(W508&lt;=225,"High Demand","Very High Demand")))</f>
        <v>Low Demand</v>
      </c>
    </row>
    <row r="509" spans="1:24" x14ac:dyDescent="0.25">
      <c r="A509">
        <v>508</v>
      </c>
      <c r="B509" s="2">
        <v>40566</v>
      </c>
      <c r="C509">
        <v>1</v>
      </c>
      <c r="D509">
        <v>0</v>
      </c>
      <c r="E509">
        <v>1</v>
      </c>
      <c r="F509">
        <v>6</v>
      </c>
      <c r="G509" t="str">
        <f>IF(F509&lt;6,"Night",IF(F509&lt;12,"Morning",IF(F509&lt;18,"Afternoon","Evening")))</f>
        <v>Morning</v>
      </c>
      <c r="H509">
        <v>0</v>
      </c>
      <c r="I509">
        <v>0</v>
      </c>
      <c r="J509" t="str">
        <f>CHOOSE(I509+1,"Monday","Tuesday","Wednesday","Thursday","Friday","Saturday","Sunday")</f>
        <v>Monday</v>
      </c>
      <c r="K509">
        <v>2</v>
      </c>
      <c r="L509" t="str">
        <f>CHOOSE(K509+1,"error","Clear","Misty","Rainy","Severe heater")</f>
        <v>Misty</v>
      </c>
      <c r="M509">
        <v>0.04</v>
      </c>
      <c r="N509" t="str">
        <f>IF(M509&lt;=0.2,"Low",IF(M509&lt;=0.4,"Mid","High"))</f>
        <v>Low</v>
      </c>
      <c r="O509">
        <v>7.5800000000000006E-2</v>
      </c>
      <c r="P509" t="str">
        <f>IF(O509&lt;=0.15,"Very Cold",IF(O509&lt;=0.3,"Cold",IF(O509&lt;=0.45,"Pleasant","Hot")))</f>
        <v>Very Cold</v>
      </c>
      <c r="Q509">
        <v>0.56999999999999995</v>
      </c>
      <c r="R509" t="str">
        <f>IF(Q509&lt;=0.25,"Low ",IF(Q509&lt;=0.5,"Moderate ",IF(Q509&lt;=0.75,"High ","Very High ")))</f>
        <v xml:space="preserve">High </v>
      </c>
      <c r="S509">
        <v>0.1045</v>
      </c>
      <c r="T509" t="str">
        <f>IF(S509&lt;=0.15,"Calm",IF(S509&lt;=0.3,"Light Wind",IF(S509&lt;=0.45,"Moderate Wind","Strong Wind")))</f>
        <v>Calm</v>
      </c>
      <c r="U509">
        <v>0</v>
      </c>
      <c r="V509">
        <v>1</v>
      </c>
      <c r="W509">
        <v>1</v>
      </c>
      <c r="X509" t="str">
        <f>IF(W509&lt;=75,"Low Demand",IF(W509&lt;=150,"Medium Demand",IF(W509&lt;=225,"High Demand","Very High Demand")))</f>
        <v>Low Demand</v>
      </c>
    </row>
    <row r="510" spans="1:24" x14ac:dyDescent="0.25">
      <c r="A510">
        <v>509</v>
      </c>
      <c r="B510" s="2">
        <v>40566</v>
      </c>
      <c r="C510">
        <v>1</v>
      </c>
      <c r="D510">
        <v>0</v>
      </c>
      <c r="E510">
        <v>1</v>
      </c>
      <c r="F510">
        <v>7</v>
      </c>
      <c r="G510" t="str">
        <f>IF(F510&lt;6,"Night",IF(F510&lt;12,"Morning",IF(F510&lt;18,"Afternoon","Evening")))</f>
        <v>Morning</v>
      </c>
      <c r="H510">
        <v>0</v>
      </c>
      <c r="I510">
        <v>0</v>
      </c>
      <c r="J510" t="str">
        <f>CHOOSE(I510+1,"Monday","Tuesday","Wednesday","Thursday","Friday","Saturday","Sunday")</f>
        <v>Monday</v>
      </c>
      <c r="K510">
        <v>1</v>
      </c>
      <c r="L510" t="str">
        <f>CHOOSE(K510+1,"error","Clear","Misty","Rainy","Severe heater")</f>
        <v>Clear</v>
      </c>
      <c r="M510">
        <v>0.08</v>
      </c>
      <c r="N510" t="str">
        <f>IF(M510&lt;=0.2,"Low",IF(M510&lt;=0.4,"Mid","High"))</f>
        <v>Low</v>
      </c>
      <c r="O510">
        <v>0.1061</v>
      </c>
      <c r="P510" t="str">
        <f>IF(O510&lt;=0.15,"Very Cold",IF(O510&lt;=0.3,"Cold",IF(O510&lt;=0.45,"Pleasant","Hot")))</f>
        <v>Very Cold</v>
      </c>
      <c r="Q510">
        <v>0.57999999999999996</v>
      </c>
      <c r="R510" t="str">
        <f>IF(Q510&lt;=0.25,"Low ",IF(Q510&lt;=0.5,"Moderate ",IF(Q510&lt;=0.75,"High ","Very High ")))</f>
        <v xml:space="preserve">High </v>
      </c>
      <c r="S510">
        <v>0.16420000000000001</v>
      </c>
      <c r="T510" t="str">
        <f>IF(S510&lt;=0.15,"Calm",IF(S510&lt;=0.3,"Light Wind",IF(S510&lt;=0.45,"Moderate Wind","Strong Wind")))</f>
        <v>Light Wind</v>
      </c>
      <c r="U510">
        <v>1</v>
      </c>
      <c r="V510">
        <v>1</v>
      </c>
      <c r="W510">
        <v>2</v>
      </c>
      <c r="X510" t="str">
        <f>IF(W510&lt;=75,"Low Demand",IF(W510&lt;=150,"Medium Demand",IF(W510&lt;=225,"High Demand","Very High Demand")))</f>
        <v>Low Demand</v>
      </c>
    </row>
    <row r="511" spans="1:24" x14ac:dyDescent="0.25">
      <c r="A511">
        <v>510</v>
      </c>
      <c r="B511" s="2">
        <v>40566</v>
      </c>
      <c r="C511">
        <v>1</v>
      </c>
      <c r="D511">
        <v>0</v>
      </c>
      <c r="E511">
        <v>1</v>
      </c>
      <c r="F511">
        <v>8</v>
      </c>
      <c r="G511" t="str">
        <f>IF(F511&lt;6,"Night",IF(F511&lt;12,"Morning",IF(F511&lt;18,"Afternoon","Evening")))</f>
        <v>Morning</v>
      </c>
      <c r="H511">
        <v>0</v>
      </c>
      <c r="I511">
        <v>0</v>
      </c>
      <c r="J511" t="str">
        <f>CHOOSE(I511+1,"Monday","Tuesday","Wednesday","Thursday","Friday","Saturday","Sunday")</f>
        <v>Monday</v>
      </c>
      <c r="K511">
        <v>1</v>
      </c>
      <c r="L511" t="str">
        <f>CHOOSE(K511+1,"error","Clear","Misty","Rainy","Severe heater")</f>
        <v>Clear</v>
      </c>
      <c r="M511">
        <v>0.06</v>
      </c>
      <c r="N511" t="str">
        <f>IF(M511&lt;=0.2,"Low",IF(M511&lt;=0.4,"Mid","High"))</f>
        <v>Low</v>
      </c>
      <c r="O511">
        <v>7.5800000000000006E-2</v>
      </c>
      <c r="P511" t="str">
        <f>IF(O511&lt;=0.15,"Very Cold",IF(O511&lt;=0.3,"Cold",IF(O511&lt;=0.45,"Pleasant","Hot")))</f>
        <v>Very Cold</v>
      </c>
      <c r="Q511">
        <v>0.62</v>
      </c>
      <c r="R511" t="str">
        <f>IF(Q511&lt;=0.25,"Low ",IF(Q511&lt;=0.5,"Moderate ",IF(Q511&lt;=0.75,"High ","Very High ")))</f>
        <v xml:space="preserve">High </v>
      </c>
      <c r="S511">
        <v>0.16420000000000001</v>
      </c>
      <c r="T511" t="str">
        <f>IF(S511&lt;=0.15,"Calm",IF(S511&lt;=0.3,"Light Wind",IF(S511&lt;=0.45,"Moderate Wind","Strong Wind")))</f>
        <v>Light Wind</v>
      </c>
      <c r="U511">
        <v>2</v>
      </c>
      <c r="V511">
        <v>17</v>
      </c>
      <c r="W511">
        <v>19</v>
      </c>
      <c r="X511" t="str">
        <f>IF(W511&lt;=75,"Low Demand",IF(W511&lt;=150,"Medium Demand",IF(W511&lt;=225,"High Demand","Very High Demand")))</f>
        <v>Low Demand</v>
      </c>
    </row>
    <row r="512" spans="1:24" x14ac:dyDescent="0.25">
      <c r="A512">
        <v>511</v>
      </c>
      <c r="B512" s="2">
        <v>40566</v>
      </c>
      <c r="C512">
        <v>1</v>
      </c>
      <c r="D512">
        <v>0</v>
      </c>
      <c r="E512">
        <v>1</v>
      </c>
      <c r="F512">
        <v>9</v>
      </c>
      <c r="G512" t="str">
        <f>IF(F512&lt;6,"Night",IF(F512&lt;12,"Morning",IF(F512&lt;18,"Afternoon","Evening")))</f>
        <v>Morning</v>
      </c>
      <c r="H512">
        <v>0</v>
      </c>
      <c r="I512">
        <v>0</v>
      </c>
      <c r="J512" t="str">
        <f>CHOOSE(I512+1,"Monday","Tuesday","Wednesday","Thursday","Friday","Saturday","Sunday")</f>
        <v>Monday</v>
      </c>
      <c r="K512">
        <v>1</v>
      </c>
      <c r="L512" t="str">
        <f>CHOOSE(K512+1,"error","Clear","Misty","Rainy","Severe heater")</f>
        <v>Clear</v>
      </c>
      <c r="M512">
        <v>0.1</v>
      </c>
      <c r="N512" t="str">
        <f>IF(M512&lt;=0.2,"Low",IF(M512&lt;=0.4,"Mid","High"))</f>
        <v>Low</v>
      </c>
      <c r="O512">
        <v>7.5800000000000006E-2</v>
      </c>
      <c r="P512" t="str">
        <f>IF(O512&lt;=0.15,"Very Cold",IF(O512&lt;=0.3,"Cold",IF(O512&lt;=0.45,"Pleasant","Hot")))</f>
        <v>Very Cold</v>
      </c>
      <c r="Q512">
        <v>0.54</v>
      </c>
      <c r="R512" t="str">
        <f>IF(Q512&lt;=0.25,"Low ",IF(Q512&lt;=0.5,"Moderate ",IF(Q512&lt;=0.75,"High ","Very High ")))</f>
        <v xml:space="preserve">High </v>
      </c>
      <c r="S512">
        <v>0.35820000000000002</v>
      </c>
      <c r="T512" t="str">
        <f>IF(S512&lt;=0.15,"Calm",IF(S512&lt;=0.3,"Light Wind",IF(S512&lt;=0.45,"Moderate Wind","Strong Wind")))</f>
        <v>Moderate Wind</v>
      </c>
      <c r="U512">
        <v>3</v>
      </c>
      <c r="V512">
        <v>25</v>
      </c>
      <c r="W512">
        <v>28</v>
      </c>
      <c r="X512" t="str">
        <f>IF(W512&lt;=75,"Low Demand",IF(W512&lt;=150,"Medium Demand",IF(W512&lt;=225,"High Demand","Very High Demand")))</f>
        <v>Low Demand</v>
      </c>
    </row>
    <row r="513" spans="1:24" x14ac:dyDescent="0.25">
      <c r="A513">
        <v>512</v>
      </c>
      <c r="B513" s="2">
        <v>40566</v>
      </c>
      <c r="C513">
        <v>1</v>
      </c>
      <c r="D513">
        <v>0</v>
      </c>
      <c r="E513">
        <v>1</v>
      </c>
      <c r="F513">
        <v>10</v>
      </c>
      <c r="G513" t="str">
        <f>IF(F513&lt;6,"Night",IF(F513&lt;12,"Morning",IF(F513&lt;18,"Afternoon","Evening")))</f>
        <v>Morning</v>
      </c>
      <c r="H513">
        <v>0</v>
      </c>
      <c r="I513">
        <v>0</v>
      </c>
      <c r="J513" t="str">
        <f>CHOOSE(I513+1,"Monday","Tuesday","Wednesday","Thursday","Friday","Saturday","Sunday")</f>
        <v>Monday</v>
      </c>
      <c r="K513">
        <v>1</v>
      </c>
      <c r="L513" t="str">
        <f>CHOOSE(K513+1,"error","Clear","Misty","Rainy","Severe heater")</f>
        <v>Clear</v>
      </c>
      <c r="M513">
        <v>0.14000000000000001</v>
      </c>
      <c r="N513" t="str">
        <f>IF(M513&lt;=0.2,"Low",IF(M513&lt;=0.4,"Mid","High"))</f>
        <v>Low</v>
      </c>
      <c r="O513">
        <v>0.1061</v>
      </c>
      <c r="P513" t="str">
        <f>IF(O513&lt;=0.15,"Very Cold",IF(O513&lt;=0.3,"Cold",IF(O513&lt;=0.45,"Pleasant","Hot")))</f>
        <v>Very Cold</v>
      </c>
      <c r="Q513">
        <v>0.46</v>
      </c>
      <c r="R513" t="str">
        <f>IF(Q513&lt;=0.25,"Low ",IF(Q513&lt;=0.5,"Moderate ",IF(Q513&lt;=0.75,"High ","Very High ")))</f>
        <v xml:space="preserve">Moderate </v>
      </c>
      <c r="S513">
        <v>0.3881</v>
      </c>
      <c r="T513" t="str">
        <f>IF(S513&lt;=0.15,"Calm",IF(S513&lt;=0.3,"Light Wind",IF(S513&lt;=0.45,"Moderate Wind","Strong Wind")))</f>
        <v>Moderate Wind</v>
      </c>
      <c r="U513">
        <v>7</v>
      </c>
      <c r="V513">
        <v>51</v>
      </c>
      <c r="W513">
        <v>58</v>
      </c>
      <c r="X513" t="str">
        <f>IF(W513&lt;=75,"Low Demand",IF(W513&lt;=150,"Medium Demand",IF(W513&lt;=225,"High Demand","Very High Demand")))</f>
        <v>Low Demand</v>
      </c>
    </row>
    <row r="514" spans="1:24" x14ac:dyDescent="0.25">
      <c r="A514">
        <v>513</v>
      </c>
      <c r="B514" s="2">
        <v>40566</v>
      </c>
      <c r="C514">
        <v>1</v>
      </c>
      <c r="D514">
        <v>0</v>
      </c>
      <c r="E514">
        <v>1</v>
      </c>
      <c r="F514">
        <v>11</v>
      </c>
      <c r="G514" t="str">
        <f>IF(F514&lt;6,"Night",IF(F514&lt;12,"Morning",IF(F514&lt;18,"Afternoon","Evening")))</f>
        <v>Morning</v>
      </c>
      <c r="H514">
        <v>0</v>
      </c>
      <c r="I514">
        <v>0</v>
      </c>
      <c r="J514" t="str">
        <f>CHOOSE(I514+1,"Monday","Tuesday","Wednesday","Thursday","Friday","Saturday","Sunday")</f>
        <v>Monday</v>
      </c>
      <c r="K514">
        <v>1</v>
      </c>
      <c r="L514" t="str">
        <f>CHOOSE(K514+1,"error","Clear","Misty","Rainy","Severe heater")</f>
        <v>Clear</v>
      </c>
      <c r="M514">
        <v>0.14000000000000001</v>
      </c>
      <c r="N514" t="str">
        <f>IF(M514&lt;=0.2,"Low",IF(M514&lt;=0.4,"Mid","High"))</f>
        <v>Low</v>
      </c>
      <c r="O514">
        <v>0.13639999999999999</v>
      </c>
      <c r="P514" t="str">
        <f>IF(O514&lt;=0.15,"Very Cold",IF(O514&lt;=0.3,"Cold",IF(O514&lt;=0.45,"Pleasant","Hot")))</f>
        <v>Very Cold</v>
      </c>
      <c r="Q514">
        <v>0.43</v>
      </c>
      <c r="R514" t="str">
        <f>IF(Q514&lt;=0.25,"Low ",IF(Q514&lt;=0.5,"Moderate ",IF(Q514&lt;=0.75,"High ","Very High ")))</f>
        <v xml:space="preserve">Moderate </v>
      </c>
      <c r="S514">
        <v>0.22389999999999999</v>
      </c>
      <c r="T514" t="str">
        <f>IF(S514&lt;=0.15,"Calm",IF(S514&lt;=0.3,"Light Wind",IF(S514&lt;=0.45,"Moderate Wind","Strong Wind")))</f>
        <v>Light Wind</v>
      </c>
      <c r="U514">
        <v>22</v>
      </c>
      <c r="V514">
        <v>77</v>
      </c>
      <c r="W514">
        <v>99</v>
      </c>
      <c r="X514" t="str">
        <f>IF(W514&lt;=75,"Low Demand",IF(W514&lt;=150,"Medium Demand",IF(W514&lt;=225,"High Demand","Very High Demand")))</f>
        <v>Medium Demand</v>
      </c>
    </row>
    <row r="515" spans="1:24" x14ac:dyDescent="0.25">
      <c r="A515">
        <v>514</v>
      </c>
      <c r="B515" s="2">
        <v>40566</v>
      </c>
      <c r="C515">
        <v>1</v>
      </c>
      <c r="D515">
        <v>0</v>
      </c>
      <c r="E515">
        <v>1</v>
      </c>
      <c r="F515">
        <v>12</v>
      </c>
      <c r="G515" t="str">
        <f>IF(F515&lt;6,"Night",IF(F515&lt;12,"Morning",IF(F515&lt;18,"Afternoon","Evening")))</f>
        <v>Afternoon</v>
      </c>
      <c r="H515">
        <v>0</v>
      </c>
      <c r="I515">
        <v>0</v>
      </c>
      <c r="J515" t="str">
        <f>CHOOSE(I515+1,"Monday","Tuesday","Wednesday","Thursday","Friday","Saturday","Sunday")</f>
        <v>Monday</v>
      </c>
      <c r="K515">
        <v>1</v>
      </c>
      <c r="L515" t="str">
        <f>CHOOSE(K515+1,"error","Clear","Misty","Rainy","Severe heater")</f>
        <v>Clear</v>
      </c>
      <c r="M515">
        <v>0.16</v>
      </c>
      <c r="N515" t="str">
        <f>IF(M515&lt;=0.2,"Low",IF(M515&lt;=0.4,"Mid","High"))</f>
        <v>Low</v>
      </c>
      <c r="O515">
        <v>0.1212</v>
      </c>
      <c r="P515" t="str">
        <f>IF(O515&lt;=0.15,"Very Cold",IF(O515&lt;=0.3,"Cold",IF(O515&lt;=0.45,"Pleasant","Hot")))</f>
        <v>Very Cold</v>
      </c>
      <c r="Q515">
        <v>0.37</v>
      </c>
      <c r="R515" t="str">
        <f>IF(Q515&lt;=0.25,"Low ",IF(Q515&lt;=0.5,"Moderate ",IF(Q515&lt;=0.75,"High ","Very High ")))</f>
        <v xml:space="preserve">Moderate </v>
      </c>
      <c r="S515">
        <v>0.4627</v>
      </c>
      <c r="T515" t="str">
        <f>IF(S515&lt;=0.15,"Calm",IF(S515&lt;=0.3,"Light Wind",IF(S515&lt;=0.45,"Moderate Wind","Strong Wind")))</f>
        <v>Strong Wind</v>
      </c>
      <c r="U515">
        <v>24</v>
      </c>
      <c r="V515">
        <v>92</v>
      </c>
      <c r="W515">
        <v>116</v>
      </c>
      <c r="X515" t="str">
        <f>IF(W515&lt;=75,"Low Demand",IF(W515&lt;=150,"Medium Demand",IF(W515&lt;=225,"High Demand","Very High Demand")))</f>
        <v>Medium Demand</v>
      </c>
    </row>
    <row r="516" spans="1:24" x14ac:dyDescent="0.25">
      <c r="A516">
        <v>515</v>
      </c>
      <c r="B516" s="2">
        <v>40566</v>
      </c>
      <c r="C516">
        <v>1</v>
      </c>
      <c r="D516">
        <v>0</v>
      </c>
      <c r="E516">
        <v>1</v>
      </c>
      <c r="F516">
        <v>13</v>
      </c>
      <c r="G516" t="str">
        <f>IF(F516&lt;6,"Night",IF(F516&lt;12,"Morning",IF(F516&lt;18,"Afternoon","Evening")))</f>
        <v>Afternoon</v>
      </c>
      <c r="H516">
        <v>0</v>
      </c>
      <c r="I516">
        <v>0</v>
      </c>
      <c r="J516" t="str">
        <f>CHOOSE(I516+1,"Monday","Tuesday","Wednesday","Thursday","Friday","Saturday","Sunday")</f>
        <v>Monday</v>
      </c>
      <c r="K516">
        <v>1</v>
      </c>
      <c r="L516" t="str">
        <f>CHOOSE(K516+1,"error","Clear","Misty","Rainy","Severe heater")</f>
        <v>Clear</v>
      </c>
      <c r="M516">
        <v>0.14000000000000001</v>
      </c>
      <c r="N516" t="str">
        <f>IF(M516&lt;=0.2,"Low",IF(M516&lt;=0.4,"Mid","High"))</f>
        <v>Low</v>
      </c>
      <c r="O516">
        <v>0.1061</v>
      </c>
      <c r="P516" t="str">
        <f>IF(O516&lt;=0.15,"Very Cold",IF(O516&lt;=0.3,"Cold",IF(O516&lt;=0.45,"Pleasant","Hot")))</f>
        <v>Very Cold</v>
      </c>
      <c r="Q516">
        <v>0.33</v>
      </c>
      <c r="R516" t="str">
        <f>IF(Q516&lt;=0.25,"Low ",IF(Q516&lt;=0.5,"Moderate ",IF(Q516&lt;=0.75,"High ","Very High ")))</f>
        <v xml:space="preserve">Moderate </v>
      </c>
      <c r="S516">
        <v>0.3881</v>
      </c>
      <c r="T516" t="str">
        <f>IF(S516&lt;=0.15,"Calm",IF(S516&lt;=0.3,"Light Wind",IF(S516&lt;=0.45,"Moderate Wind","Strong Wind")))</f>
        <v>Moderate Wind</v>
      </c>
      <c r="U516">
        <v>12</v>
      </c>
      <c r="V516">
        <v>75</v>
      </c>
      <c r="W516">
        <v>87</v>
      </c>
      <c r="X516" t="str">
        <f>IF(W516&lt;=75,"Low Demand",IF(W516&lt;=150,"Medium Demand",IF(W516&lt;=225,"High Demand","Very High Demand")))</f>
        <v>Medium Demand</v>
      </c>
    </row>
    <row r="517" spans="1:24" x14ac:dyDescent="0.25">
      <c r="A517">
        <v>516</v>
      </c>
      <c r="B517" s="2">
        <v>40566</v>
      </c>
      <c r="C517">
        <v>1</v>
      </c>
      <c r="D517">
        <v>0</v>
      </c>
      <c r="E517">
        <v>1</v>
      </c>
      <c r="F517">
        <v>14</v>
      </c>
      <c r="G517" t="str">
        <f>IF(F517&lt;6,"Night",IF(F517&lt;12,"Morning",IF(F517&lt;18,"Afternoon","Evening")))</f>
        <v>Afternoon</v>
      </c>
      <c r="H517">
        <v>0</v>
      </c>
      <c r="I517">
        <v>0</v>
      </c>
      <c r="J517" t="str">
        <f>CHOOSE(I517+1,"Monday","Tuesday","Wednesday","Thursday","Friday","Saturday","Sunday")</f>
        <v>Monday</v>
      </c>
      <c r="K517">
        <v>1</v>
      </c>
      <c r="L517" t="str">
        <f>CHOOSE(K517+1,"error","Clear","Misty","Rainy","Severe heater")</f>
        <v>Clear</v>
      </c>
      <c r="M517">
        <v>0.16</v>
      </c>
      <c r="N517" t="str">
        <f>IF(M517&lt;=0.2,"Low",IF(M517&lt;=0.4,"Mid","High"))</f>
        <v>Low</v>
      </c>
      <c r="O517">
        <v>0.13639999999999999</v>
      </c>
      <c r="P517" t="str">
        <f>IF(O517&lt;=0.15,"Very Cold",IF(O517&lt;=0.3,"Cold",IF(O517&lt;=0.45,"Pleasant","Hot")))</f>
        <v>Very Cold</v>
      </c>
      <c r="Q517">
        <v>0.28000000000000003</v>
      </c>
      <c r="R517" t="str">
        <f>IF(Q517&lt;=0.25,"Low ",IF(Q517&lt;=0.5,"Moderate ",IF(Q517&lt;=0.75,"High ","Very High ")))</f>
        <v xml:space="preserve">Moderate </v>
      </c>
      <c r="S517">
        <v>0.35820000000000002</v>
      </c>
      <c r="T517" t="str">
        <f>IF(S517&lt;=0.15,"Calm",IF(S517&lt;=0.3,"Light Wind",IF(S517&lt;=0.45,"Moderate Wind","Strong Wind")))</f>
        <v>Moderate Wind</v>
      </c>
      <c r="U517">
        <v>17</v>
      </c>
      <c r="V517">
        <v>93</v>
      </c>
      <c r="W517">
        <v>110</v>
      </c>
      <c r="X517" t="str">
        <f>IF(W517&lt;=75,"Low Demand",IF(W517&lt;=150,"Medium Demand",IF(W517&lt;=225,"High Demand","Very High Demand")))</f>
        <v>Medium Demand</v>
      </c>
    </row>
    <row r="518" spans="1:24" x14ac:dyDescent="0.25">
      <c r="A518">
        <v>517</v>
      </c>
      <c r="B518" s="2">
        <v>40566</v>
      </c>
      <c r="C518">
        <v>1</v>
      </c>
      <c r="D518">
        <v>0</v>
      </c>
      <c r="E518">
        <v>1</v>
      </c>
      <c r="F518">
        <v>15</v>
      </c>
      <c r="G518" t="str">
        <f>IF(F518&lt;6,"Night",IF(F518&lt;12,"Morning",IF(F518&lt;18,"Afternoon","Evening")))</f>
        <v>Afternoon</v>
      </c>
      <c r="H518">
        <v>0</v>
      </c>
      <c r="I518">
        <v>0</v>
      </c>
      <c r="J518" t="str">
        <f>CHOOSE(I518+1,"Monday","Tuesday","Wednesday","Thursday","Friday","Saturday","Sunday")</f>
        <v>Monday</v>
      </c>
      <c r="K518">
        <v>1</v>
      </c>
      <c r="L518" t="str">
        <f>CHOOSE(K518+1,"error","Clear","Misty","Rainy","Severe heater")</f>
        <v>Clear</v>
      </c>
      <c r="M518">
        <v>0.16</v>
      </c>
      <c r="N518" t="str">
        <f>IF(M518&lt;=0.2,"Low",IF(M518&lt;=0.4,"Mid","High"))</f>
        <v>Low</v>
      </c>
      <c r="O518">
        <v>0.13639999999999999</v>
      </c>
      <c r="P518" t="str">
        <f>IF(O518&lt;=0.15,"Very Cold",IF(O518&lt;=0.3,"Cold",IF(O518&lt;=0.45,"Pleasant","Hot")))</f>
        <v>Very Cold</v>
      </c>
      <c r="Q518">
        <v>0.28000000000000003</v>
      </c>
      <c r="R518" t="str">
        <f>IF(Q518&lt;=0.25,"Low ",IF(Q518&lt;=0.5,"Moderate ",IF(Q518&lt;=0.75,"High ","Very High ")))</f>
        <v xml:space="preserve">Moderate </v>
      </c>
      <c r="S518">
        <v>0.35820000000000002</v>
      </c>
      <c r="T518" t="str">
        <f>IF(S518&lt;=0.15,"Calm",IF(S518&lt;=0.3,"Light Wind",IF(S518&lt;=0.45,"Moderate Wind","Strong Wind")))</f>
        <v>Moderate Wind</v>
      </c>
      <c r="U518">
        <v>13</v>
      </c>
      <c r="V518">
        <v>64</v>
      </c>
      <c r="W518">
        <v>77</v>
      </c>
      <c r="X518" t="str">
        <f>IF(W518&lt;=75,"Low Demand",IF(W518&lt;=150,"Medium Demand",IF(W518&lt;=225,"High Demand","Very High Demand")))</f>
        <v>Medium Demand</v>
      </c>
    </row>
    <row r="519" spans="1:24" x14ac:dyDescent="0.25">
      <c r="A519">
        <v>518</v>
      </c>
      <c r="B519" s="2">
        <v>40566</v>
      </c>
      <c r="C519">
        <v>1</v>
      </c>
      <c r="D519">
        <v>0</v>
      </c>
      <c r="E519">
        <v>1</v>
      </c>
      <c r="F519">
        <v>16</v>
      </c>
      <c r="G519" t="str">
        <f>IF(F519&lt;6,"Night",IF(F519&lt;12,"Morning",IF(F519&lt;18,"Afternoon","Evening")))</f>
        <v>Afternoon</v>
      </c>
      <c r="H519">
        <v>0</v>
      </c>
      <c r="I519">
        <v>0</v>
      </c>
      <c r="J519" t="str">
        <f>CHOOSE(I519+1,"Monday","Tuesday","Wednesday","Thursday","Friday","Saturday","Sunday")</f>
        <v>Monday</v>
      </c>
      <c r="K519">
        <v>1</v>
      </c>
      <c r="L519" t="str">
        <f>CHOOSE(K519+1,"error","Clear","Misty","Rainy","Severe heater")</f>
        <v>Clear</v>
      </c>
      <c r="M519">
        <v>0.16</v>
      </c>
      <c r="N519" t="str">
        <f>IF(M519&lt;=0.2,"Low",IF(M519&lt;=0.4,"Mid","High"))</f>
        <v>Low</v>
      </c>
      <c r="O519">
        <v>0.13639999999999999</v>
      </c>
      <c r="P519" t="str">
        <f>IF(O519&lt;=0.15,"Very Cold",IF(O519&lt;=0.3,"Cold",IF(O519&lt;=0.45,"Pleasant","Hot")))</f>
        <v>Very Cold</v>
      </c>
      <c r="Q519">
        <v>0.26</v>
      </c>
      <c r="R519" t="str">
        <f>IF(Q519&lt;=0.25,"Low ",IF(Q519&lt;=0.5,"Moderate ",IF(Q519&lt;=0.75,"High ","Very High ")))</f>
        <v xml:space="preserve">Moderate </v>
      </c>
      <c r="S519">
        <v>0.32840000000000003</v>
      </c>
      <c r="T519" t="str">
        <f>IF(S519&lt;=0.15,"Calm",IF(S519&lt;=0.3,"Light Wind",IF(S519&lt;=0.45,"Moderate Wind","Strong Wind")))</f>
        <v>Moderate Wind</v>
      </c>
      <c r="U519">
        <v>9</v>
      </c>
      <c r="V519">
        <v>56</v>
      </c>
      <c r="W519">
        <v>65</v>
      </c>
      <c r="X519" t="str">
        <f>IF(W519&lt;=75,"Low Demand",IF(W519&lt;=150,"Medium Demand",IF(W519&lt;=225,"High Demand","Very High Demand")))</f>
        <v>Low Demand</v>
      </c>
    </row>
    <row r="520" spans="1:24" x14ac:dyDescent="0.25">
      <c r="A520">
        <v>519</v>
      </c>
      <c r="B520" s="2">
        <v>40566</v>
      </c>
      <c r="C520">
        <v>1</v>
      </c>
      <c r="D520">
        <v>0</v>
      </c>
      <c r="E520">
        <v>1</v>
      </c>
      <c r="F520">
        <v>17</v>
      </c>
      <c r="G520" t="str">
        <f>IF(F520&lt;6,"Night",IF(F520&lt;12,"Morning",IF(F520&lt;18,"Afternoon","Evening")))</f>
        <v>Afternoon</v>
      </c>
      <c r="H520">
        <v>0</v>
      </c>
      <c r="I520">
        <v>0</v>
      </c>
      <c r="J520" t="str">
        <f>CHOOSE(I520+1,"Monday","Tuesday","Wednesday","Thursday","Friday","Saturday","Sunday")</f>
        <v>Monday</v>
      </c>
      <c r="K520">
        <v>1</v>
      </c>
      <c r="L520" t="str">
        <f>CHOOSE(K520+1,"error","Clear","Misty","Rainy","Severe heater")</f>
        <v>Clear</v>
      </c>
      <c r="M520">
        <v>0.14000000000000001</v>
      </c>
      <c r="N520" t="str">
        <f>IF(M520&lt;=0.2,"Low",IF(M520&lt;=0.4,"Mid","High"))</f>
        <v>Low</v>
      </c>
      <c r="O520">
        <v>0.1061</v>
      </c>
      <c r="P520" t="str">
        <f>IF(O520&lt;=0.15,"Very Cold",IF(O520&lt;=0.3,"Cold",IF(O520&lt;=0.45,"Pleasant","Hot")))</f>
        <v>Very Cold</v>
      </c>
      <c r="Q520">
        <v>0.26</v>
      </c>
      <c r="R520" t="str">
        <f>IF(Q520&lt;=0.25,"Low ",IF(Q520&lt;=0.5,"Moderate ",IF(Q520&lt;=0.75,"High ","Very High ")))</f>
        <v xml:space="preserve">Moderate </v>
      </c>
      <c r="S520">
        <v>0.3881</v>
      </c>
      <c r="T520" t="str">
        <f>IF(S520&lt;=0.15,"Calm",IF(S520&lt;=0.3,"Light Wind",IF(S520&lt;=0.45,"Moderate Wind","Strong Wind")))</f>
        <v>Moderate Wind</v>
      </c>
      <c r="U520">
        <v>5</v>
      </c>
      <c r="V520">
        <v>50</v>
      </c>
      <c r="W520">
        <v>55</v>
      </c>
      <c r="X520" t="str">
        <f>IF(W520&lt;=75,"Low Demand",IF(W520&lt;=150,"Medium Demand",IF(W520&lt;=225,"High Demand","Very High Demand")))</f>
        <v>Low Demand</v>
      </c>
    </row>
    <row r="521" spans="1:24" x14ac:dyDescent="0.25">
      <c r="A521">
        <v>520</v>
      </c>
      <c r="B521" s="2">
        <v>40566</v>
      </c>
      <c r="C521">
        <v>1</v>
      </c>
      <c r="D521">
        <v>0</v>
      </c>
      <c r="E521">
        <v>1</v>
      </c>
      <c r="F521">
        <v>18</v>
      </c>
      <c r="G521" t="str">
        <f>IF(F521&lt;6,"Night",IF(F521&lt;12,"Morning",IF(F521&lt;18,"Afternoon","Evening")))</f>
        <v>Evening</v>
      </c>
      <c r="H521">
        <v>0</v>
      </c>
      <c r="I521">
        <v>0</v>
      </c>
      <c r="J521" t="str">
        <f>CHOOSE(I521+1,"Monday","Tuesday","Wednesday","Thursday","Friday","Saturday","Sunday")</f>
        <v>Monday</v>
      </c>
      <c r="K521">
        <v>1</v>
      </c>
      <c r="L521" t="str">
        <f>CHOOSE(K521+1,"error","Clear","Misty","Rainy","Severe heater")</f>
        <v>Clear</v>
      </c>
      <c r="M521">
        <v>0.12</v>
      </c>
      <c r="N521" t="str">
        <f>IF(M521&lt;=0.2,"Low",IF(M521&lt;=0.4,"Mid","High"))</f>
        <v>Low</v>
      </c>
      <c r="O521">
        <v>0.1212</v>
      </c>
      <c r="P521" t="str">
        <f>IF(O521&lt;=0.15,"Very Cold",IF(O521&lt;=0.3,"Cold",IF(O521&lt;=0.45,"Pleasant","Hot")))</f>
        <v>Very Cold</v>
      </c>
      <c r="Q521">
        <v>0.3</v>
      </c>
      <c r="R521" t="str">
        <f>IF(Q521&lt;=0.25,"Low ",IF(Q521&lt;=0.5,"Moderate ",IF(Q521&lt;=0.75,"High ","Very High ")))</f>
        <v xml:space="preserve">Moderate </v>
      </c>
      <c r="S521">
        <v>0.25369999999999998</v>
      </c>
      <c r="T521" t="str">
        <f>IF(S521&lt;=0.15,"Calm",IF(S521&lt;=0.3,"Light Wind",IF(S521&lt;=0.45,"Moderate Wind","Strong Wind")))</f>
        <v>Light Wind</v>
      </c>
      <c r="U521">
        <v>5</v>
      </c>
      <c r="V521">
        <v>44</v>
      </c>
      <c r="W521">
        <v>49</v>
      </c>
      <c r="X521" t="str">
        <f>IF(W521&lt;=75,"Low Demand",IF(W521&lt;=150,"Medium Demand",IF(W521&lt;=225,"High Demand","Very High Demand")))</f>
        <v>Low Demand</v>
      </c>
    </row>
    <row r="522" spans="1:24" x14ac:dyDescent="0.25">
      <c r="A522">
        <v>521</v>
      </c>
      <c r="B522" s="2">
        <v>40566</v>
      </c>
      <c r="C522">
        <v>1</v>
      </c>
      <c r="D522">
        <v>0</v>
      </c>
      <c r="E522">
        <v>1</v>
      </c>
      <c r="F522">
        <v>19</v>
      </c>
      <c r="G522" t="str">
        <f>IF(F522&lt;6,"Night",IF(F522&lt;12,"Morning",IF(F522&lt;18,"Afternoon","Evening")))</f>
        <v>Evening</v>
      </c>
      <c r="H522">
        <v>0</v>
      </c>
      <c r="I522">
        <v>0</v>
      </c>
      <c r="J522" t="str">
        <f>CHOOSE(I522+1,"Monday","Tuesday","Wednesday","Thursday","Friday","Saturday","Sunday")</f>
        <v>Monday</v>
      </c>
      <c r="K522">
        <v>1</v>
      </c>
      <c r="L522" t="str">
        <f>CHOOSE(K522+1,"error","Clear","Misty","Rainy","Severe heater")</f>
        <v>Clear</v>
      </c>
      <c r="M522">
        <v>0.12</v>
      </c>
      <c r="N522" t="str">
        <f>IF(M522&lt;=0.2,"Low",IF(M522&lt;=0.4,"Mid","High"))</f>
        <v>Low</v>
      </c>
      <c r="O522">
        <v>0.1212</v>
      </c>
      <c r="P522" t="str">
        <f>IF(O522&lt;=0.15,"Very Cold",IF(O522&lt;=0.3,"Cold",IF(O522&lt;=0.45,"Pleasant","Hot")))</f>
        <v>Very Cold</v>
      </c>
      <c r="Q522">
        <v>0.3</v>
      </c>
      <c r="R522" t="str">
        <f>IF(Q522&lt;=0.25,"Low ",IF(Q522&lt;=0.5,"Moderate ",IF(Q522&lt;=0.75,"High ","Very High ")))</f>
        <v xml:space="preserve">Moderate </v>
      </c>
      <c r="S522">
        <v>0.28360000000000002</v>
      </c>
      <c r="T522" t="str">
        <f>IF(S522&lt;=0.15,"Calm",IF(S522&lt;=0.3,"Light Wind",IF(S522&lt;=0.45,"Moderate Wind","Strong Wind")))</f>
        <v>Light Wind</v>
      </c>
      <c r="U522">
        <v>5</v>
      </c>
      <c r="V522">
        <v>45</v>
      </c>
      <c r="W522">
        <v>50</v>
      </c>
      <c r="X522" t="str">
        <f>IF(W522&lt;=75,"Low Demand",IF(W522&lt;=150,"Medium Demand",IF(W522&lt;=225,"High Demand","Very High Demand")))</f>
        <v>Low Demand</v>
      </c>
    </row>
    <row r="523" spans="1:24" x14ac:dyDescent="0.25">
      <c r="A523">
        <v>522</v>
      </c>
      <c r="B523" s="2">
        <v>40566</v>
      </c>
      <c r="C523">
        <v>1</v>
      </c>
      <c r="D523">
        <v>0</v>
      </c>
      <c r="E523">
        <v>1</v>
      </c>
      <c r="F523">
        <v>20</v>
      </c>
      <c r="G523" t="str">
        <f>IF(F523&lt;6,"Night",IF(F523&lt;12,"Morning",IF(F523&lt;18,"Afternoon","Evening")))</f>
        <v>Evening</v>
      </c>
      <c r="H523">
        <v>0</v>
      </c>
      <c r="I523">
        <v>0</v>
      </c>
      <c r="J523" t="str">
        <f>CHOOSE(I523+1,"Monday","Tuesday","Wednesday","Thursday","Friday","Saturday","Sunday")</f>
        <v>Monday</v>
      </c>
      <c r="K523">
        <v>1</v>
      </c>
      <c r="L523" t="str">
        <f>CHOOSE(K523+1,"error","Clear","Misty","Rainy","Severe heater")</f>
        <v>Clear</v>
      </c>
      <c r="M523">
        <v>0.1</v>
      </c>
      <c r="N523" t="str">
        <f>IF(M523&lt;=0.2,"Low",IF(M523&lt;=0.4,"Mid","High"))</f>
        <v>Low</v>
      </c>
      <c r="O523">
        <v>0.1061</v>
      </c>
      <c r="P523" t="str">
        <f>IF(O523&lt;=0.15,"Very Cold",IF(O523&lt;=0.3,"Cold",IF(O523&lt;=0.45,"Pleasant","Hot")))</f>
        <v>Very Cold</v>
      </c>
      <c r="Q523">
        <v>0.36</v>
      </c>
      <c r="R523" t="str">
        <f>IF(Q523&lt;=0.25,"Low ",IF(Q523&lt;=0.5,"Moderate ",IF(Q523&lt;=0.75,"High ","Very High ")))</f>
        <v xml:space="preserve">Moderate </v>
      </c>
      <c r="S523">
        <v>0.25369999999999998</v>
      </c>
      <c r="T523" t="str">
        <f>IF(S523&lt;=0.15,"Calm",IF(S523&lt;=0.3,"Light Wind",IF(S523&lt;=0.45,"Moderate Wind","Strong Wind")))</f>
        <v>Light Wind</v>
      </c>
      <c r="U523">
        <v>4</v>
      </c>
      <c r="V523">
        <v>31</v>
      </c>
      <c r="W523">
        <v>35</v>
      </c>
      <c r="X523" t="str">
        <f>IF(W523&lt;=75,"Low Demand",IF(W523&lt;=150,"Medium Demand",IF(W523&lt;=225,"High Demand","Very High Demand")))</f>
        <v>Low Demand</v>
      </c>
    </row>
    <row r="524" spans="1:24" x14ac:dyDescent="0.25">
      <c r="A524">
        <v>523</v>
      </c>
      <c r="B524" s="2">
        <v>40566</v>
      </c>
      <c r="C524">
        <v>1</v>
      </c>
      <c r="D524">
        <v>0</v>
      </c>
      <c r="E524">
        <v>1</v>
      </c>
      <c r="F524">
        <v>21</v>
      </c>
      <c r="G524" t="str">
        <f>IF(F524&lt;6,"Night",IF(F524&lt;12,"Morning",IF(F524&lt;18,"Afternoon","Evening")))</f>
        <v>Evening</v>
      </c>
      <c r="H524">
        <v>0</v>
      </c>
      <c r="I524">
        <v>0</v>
      </c>
      <c r="J524" t="str">
        <f>CHOOSE(I524+1,"Monday","Tuesday","Wednesday","Thursday","Friday","Saturday","Sunday")</f>
        <v>Monday</v>
      </c>
      <c r="K524">
        <v>1</v>
      </c>
      <c r="L524" t="str">
        <f>CHOOSE(K524+1,"error","Clear","Misty","Rainy","Severe heater")</f>
        <v>Clear</v>
      </c>
      <c r="M524">
        <v>0.1</v>
      </c>
      <c r="N524" t="str">
        <f>IF(M524&lt;=0.2,"Low",IF(M524&lt;=0.4,"Mid","High"))</f>
        <v>Low</v>
      </c>
      <c r="O524">
        <v>0.1061</v>
      </c>
      <c r="P524" t="str">
        <f>IF(O524&lt;=0.15,"Very Cold",IF(O524&lt;=0.3,"Cold",IF(O524&lt;=0.45,"Pleasant","Hot")))</f>
        <v>Very Cold</v>
      </c>
      <c r="Q524">
        <v>0.36</v>
      </c>
      <c r="R524" t="str">
        <f>IF(Q524&lt;=0.25,"Low ",IF(Q524&lt;=0.5,"Moderate ",IF(Q524&lt;=0.75,"High ","Very High ")))</f>
        <v xml:space="preserve">Moderate </v>
      </c>
      <c r="S524">
        <v>0.19400000000000001</v>
      </c>
      <c r="T524" t="str">
        <f>IF(S524&lt;=0.15,"Calm",IF(S524&lt;=0.3,"Light Wind",IF(S524&lt;=0.45,"Moderate Wind","Strong Wind")))</f>
        <v>Light Wind</v>
      </c>
      <c r="U524">
        <v>5</v>
      </c>
      <c r="V524">
        <v>20</v>
      </c>
      <c r="W524">
        <v>25</v>
      </c>
      <c r="X524" t="str">
        <f>IF(W524&lt;=75,"Low Demand",IF(W524&lt;=150,"Medium Demand",IF(W524&lt;=225,"High Demand","Very High Demand")))</f>
        <v>Low Demand</v>
      </c>
    </row>
    <row r="525" spans="1:24" x14ac:dyDescent="0.25">
      <c r="A525">
        <v>524</v>
      </c>
      <c r="B525" s="2">
        <v>40566</v>
      </c>
      <c r="C525">
        <v>1</v>
      </c>
      <c r="D525">
        <v>0</v>
      </c>
      <c r="E525">
        <v>1</v>
      </c>
      <c r="F525">
        <v>22</v>
      </c>
      <c r="G525" t="str">
        <f>IF(F525&lt;6,"Night",IF(F525&lt;12,"Morning",IF(F525&lt;18,"Afternoon","Evening")))</f>
        <v>Evening</v>
      </c>
      <c r="H525">
        <v>0</v>
      </c>
      <c r="I525">
        <v>0</v>
      </c>
      <c r="J525" t="str">
        <f>CHOOSE(I525+1,"Monday","Tuesday","Wednesday","Thursday","Friday","Saturday","Sunday")</f>
        <v>Monday</v>
      </c>
      <c r="K525">
        <v>1</v>
      </c>
      <c r="L525" t="str">
        <f>CHOOSE(K525+1,"error","Clear","Misty","Rainy","Severe heater")</f>
        <v>Clear</v>
      </c>
      <c r="M525">
        <v>0.08</v>
      </c>
      <c r="N525" t="str">
        <f>IF(M525&lt;=0.2,"Low",IF(M525&lt;=0.4,"Mid","High"))</f>
        <v>Low</v>
      </c>
      <c r="O525">
        <v>9.0899999999999995E-2</v>
      </c>
      <c r="P525" t="str">
        <f>IF(O525&lt;=0.15,"Very Cold",IF(O525&lt;=0.3,"Cold",IF(O525&lt;=0.45,"Pleasant","Hot")))</f>
        <v>Very Cold</v>
      </c>
      <c r="Q525">
        <v>0.38</v>
      </c>
      <c r="R525" t="str">
        <f>IF(Q525&lt;=0.25,"Low ",IF(Q525&lt;=0.5,"Moderate ",IF(Q525&lt;=0.75,"High ","Very High ")))</f>
        <v xml:space="preserve">Moderate </v>
      </c>
      <c r="S525">
        <v>0.19400000000000001</v>
      </c>
      <c r="T525" t="str">
        <f>IF(S525&lt;=0.15,"Calm",IF(S525&lt;=0.3,"Light Wind",IF(S525&lt;=0.45,"Moderate Wind","Strong Wind")))</f>
        <v>Light Wind</v>
      </c>
      <c r="U525">
        <v>5</v>
      </c>
      <c r="V525">
        <v>23</v>
      </c>
      <c r="W525">
        <v>28</v>
      </c>
      <c r="X525" t="str">
        <f>IF(W525&lt;=75,"Low Demand",IF(W525&lt;=150,"Medium Demand",IF(W525&lt;=225,"High Demand","Very High Demand")))</f>
        <v>Low Demand</v>
      </c>
    </row>
    <row r="526" spans="1:24" x14ac:dyDescent="0.25">
      <c r="A526">
        <v>525</v>
      </c>
      <c r="B526" s="2">
        <v>40566</v>
      </c>
      <c r="C526">
        <v>1</v>
      </c>
      <c r="D526">
        <v>0</v>
      </c>
      <c r="E526">
        <v>1</v>
      </c>
      <c r="F526">
        <v>23</v>
      </c>
      <c r="G526" t="str">
        <f>IF(F526&lt;6,"Night",IF(F526&lt;12,"Morning",IF(F526&lt;18,"Afternoon","Evening")))</f>
        <v>Evening</v>
      </c>
      <c r="H526">
        <v>0</v>
      </c>
      <c r="I526">
        <v>0</v>
      </c>
      <c r="J526" t="str">
        <f>CHOOSE(I526+1,"Monday","Tuesday","Wednesday","Thursday","Friday","Saturday","Sunday")</f>
        <v>Monday</v>
      </c>
      <c r="K526">
        <v>1</v>
      </c>
      <c r="L526" t="str">
        <f>CHOOSE(K526+1,"error","Clear","Misty","Rainy","Severe heater")</f>
        <v>Clear</v>
      </c>
      <c r="M526">
        <v>0.06</v>
      </c>
      <c r="N526" t="str">
        <f>IF(M526&lt;=0.2,"Low",IF(M526&lt;=0.4,"Mid","High"))</f>
        <v>Low</v>
      </c>
      <c r="O526">
        <v>6.0600000000000001E-2</v>
      </c>
      <c r="P526" t="str">
        <f>IF(O526&lt;=0.15,"Very Cold",IF(O526&lt;=0.3,"Cold",IF(O526&lt;=0.45,"Pleasant","Hot")))</f>
        <v>Very Cold</v>
      </c>
      <c r="Q526">
        <v>0.41</v>
      </c>
      <c r="R526" t="str">
        <f>IF(Q526&lt;=0.25,"Low ",IF(Q526&lt;=0.5,"Moderate ",IF(Q526&lt;=0.75,"High ","Very High ")))</f>
        <v xml:space="preserve">Moderate </v>
      </c>
      <c r="S526">
        <v>0.22389999999999999</v>
      </c>
      <c r="T526" t="str">
        <f>IF(S526&lt;=0.15,"Calm",IF(S526&lt;=0.3,"Light Wind",IF(S526&lt;=0.45,"Moderate Wind","Strong Wind")))</f>
        <v>Light Wind</v>
      </c>
      <c r="U526">
        <v>4</v>
      </c>
      <c r="V526">
        <v>17</v>
      </c>
      <c r="W526">
        <v>21</v>
      </c>
      <c r="X526" t="str">
        <f>IF(W526&lt;=75,"Low Demand",IF(W526&lt;=150,"Medium Demand",IF(W526&lt;=225,"High Demand","Very High Demand")))</f>
        <v>Low Demand</v>
      </c>
    </row>
    <row r="527" spans="1:24" x14ac:dyDescent="0.25">
      <c r="A527">
        <v>526</v>
      </c>
      <c r="B527" s="2">
        <v>40567</v>
      </c>
      <c r="C527">
        <v>1</v>
      </c>
      <c r="D527">
        <v>0</v>
      </c>
      <c r="E527">
        <v>1</v>
      </c>
      <c r="F527">
        <v>0</v>
      </c>
      <c r="G527" t="str">
        <f>IF(F527&lt;6,"Night",IF(F527&lt;12,"Morning",IF(F527&lt;18,"Afternoon","Evening")))</f>
        <v>Night</v>
      </c>
      <c r="H527">
        <v>0</v>
      </c>
      <c r="I527">
        <v>1</v>
      </c>
      <c r="J527" t="str">
        <f>CHOOSE(I527+1,"Monday","Tuesday","Wednesday","Thursday","Friday","Saturday","Sunday")</f>
        <v>Tuesday</v>
      </c>
      <c r="K527">
        <v>1</v>
      </c>
      <c r="L527" t="str">
        <f>CHOOSE(K527+1,"error","Clear","Misty","Rainy","Severe heater")</f>
        <v>Clear</v>
      </c>
      <c r="M527">
        <v>0.06</v>
      </c>
      <c r="N527" t="str">
        <f>IF(M527&lt;=0.2,"Low",IF(M527&lt;=0.4,"Mid","High"))</f>
        <v>Low</v>
      </c>
      <c r="O527">
        <v>6.0600000000000001E-2</v>
      </c>
      <c r="P527" t="str">
        <f>IF(O527&lt;=0.15,"Very Cold",IF(O527&lt;=0.3,"Cold",IF(O527&lt;=0.45,"Pleasant","Hot")))</f>
        <v>Very Cold</v>
      </c>
      <c r="Q527">
        <v>0.41</v>
      </c>
      <c r="R527" t="str">
        <f>IF(Q527&lt;=0.25,"Low ",IF(Q527&lt;=0.5,"Moderate ",IF(Q527&lt;=0.75,"High ","Very High ")))</f>
        <v xml:space="preserve">Moderate </v>
      </c>
      <c r="S527">
        <v>0.19400000000000001</v>
      </c>
      <c r="T527" t="str">
        <f>IF(S527&lt;=0.15,"Calm",IF(S527&lt;=0.3,"Light Wind",IF(S527&lt;=0.45,"Moderate Wind","Strong Wind")))</f>
        <v>Light Wind</v>
      </c>
      <c r="U527">
        <v>0</v>
      </c>
      <c r="V527">
        <v>7</v>
      </c>
      <c r="W527">
        <v>7</v>
      </c>
      <c r="X527" t="str">
        <f>IF(W527&lt;=75,"Low Demand",IF(W527&lt;=150,"Medium Demand",IF(W527&lt;=225,"High Demand","Very High Demand")))</f>
        <v>Low Demand</v>
      </c>
    </row>
    <row r="528" spans="1:24" x14ac:dyDescent="0.25">
      <c r="A528">
        <v>527</v>
      </c>
      <c r="B528" s="2">
        <v>40567</v>
      </c>
      <c r="C528">
        <v>1</v>
      </c>
      <c r="D528">
        <v>0</v>
      </c>
      <c r="E528">
        <v>1</v>
      </c>
      <c r="F528">
        <v>1</v>
      </c>
      <c r="G528" t="str">
        <f>IF(F528&lt;6,"Night",IF(F528&lt;12,"Morning",IF(F528&lt;18,"Afternoon","Evening")))</f>
        <v>Night</v>
      </c>
      <c r="H528">
        <v>0</v>
      </c>
      <c r="I528">
        <v>1</v>
      </c>
      <c r="J528" t="str">
        <f>CHOOSE(I528+1,"Monday","Tuesday","Wednesday","Thursday","Friday","Saturday","Sunday")</f>
        <v>Tuesday</v>
      </c>
      <c r="K528">
        <v>1</v>
      </c>
      <c r="L528" t="str">
        <f>CHOOSE(K528+1,"error","Clear","Misty","Rainy","Severe heater")</f>
        <v>Clear</v>
      </c>
      <c r="M528">
        <v>0.04</v>
      </c>
      <c r="N528" t="str">
        <f>IF(M528&lt;=0.2,"Low",IF(M528&lt;=0.4,"Mid","High"))</f>
        <v>Low</v>
      </c>
      <c r="O528">
        <v>4.5499999999999999E-2</v>
      </c>
      <c r="P528" t="str">
        <f>IF(O528&lt;=0.15,"Very Cold",IF(O528&lt;=0.3,"Cold",IF(O528&lt;=0.45,"Pleasant","Hot")))</f>
        <v>Very Cold</v>
      </c>
      <c r="Q528">
        <v>0.45</v>
      </c>
      <c r="R528" t="str">
        <f>IF(Q528&lt;=0.25,"Low ",IF(Q528&lt;=0.5,"Moderate ",IF(Q528&lt;=0.75,"High ","Very High ")))</f>
        <v xml:space="preserve">Moderate </v>
      </c>
      <c r="S528">
        <v>0.19400000000000001</v>
      </c>
      <c r="T528" t="str">
        <f>IF(S528&lt;=0.15,"Calm",IF(S528&lt;=0.3,"Light Wind",IF(S528&lt;=0.45,"Moderate Wind","Strong Wind")))</f>
        <v>Light Wind</v>
      </c>
      <c r="U528">
        <v>0</v>
      </c>
      <c r="V528">
        <v>1</v>
      </c>
      <c r="W528">
        <v>1</v>
      </c>
      <c r="X528" t="str">
        <f>IF(W528&lt;=75,"Low Demand",IF(W528&lt;=150,"Medium Demand",IF(W528&lt;=225,"High Demand","Very High Demand")))</f>
        <v>Low Demand</v>
      </c>
    </row>
    <row r="529" spans="1:24" x14ac:dyDescent="0.25">
      <c r="A529">
        <v>528</v>
      </c>
      <c r="B529" s="2">
        <v>40567</v>
      </c>
      <c r="C529">
        <v>1</v>
      </c>
      <c r="D529">
        <v>0</v>
      </c>
      <c r="E529">
        <v>1</v>
      </c>
      <c r="F529">
        <v>3</v>
      </c>
      <c r="G529" t="str">
        <f>IF(F529&lt;6,"Night",IF(F529&lt;12,"Morning",IF(F529&lt;18,"Afternoon","Evening")))</f>
        <v>Night</v>
      </c>
      <c r="H529">
        <v>0</v>
      </c>
      <c r="I529">
        <v>1</v>
      </c>
      <c r="J529" t="str">
        <f>CHOOSE(I529+1,"Monday","Tuesday","Wednesday","Thursday","Friday","Saturday","Sunday")</f>
        <v>Tuesday</v>
      </c>
      <c r="K529">
        <v>1</v>
      </c>
      <c r="L529" t="str">
        <f>CHOOSE(K529+1,"error","Clear","Misty","Rainy","Severe heater")</f>
        <v>Clear</v>
      </c>
      <c r="M529">
        <v>0.04</v>
      </c>
      <c r="N529" t="str">
        <f>IF(M529&lt;=0.2,"Low",IF(M529&lt;=0.4,"Mid","High"))</f>
        <v>Low</v>
      </c>
      <c r="O529">
        <v>3.0300000000000001E-2</v>
      </c>
      <c r="P529" t="str">
        <f>IF(O529&lt;=0.15,"Very Cold",IF(O529&lt;=0.3,"Cold",IF(O529&lt;=0.45,"Pleasant","Hot")))</f>
        <v>Very Cold</v>
      </c>
      <c r="Q529">
        <v>0.45</v>
      </c>
      <c r="R529" t="str">
        <f>IF(Q529&lt;=0.25,"Low ",IF(Q529&lt;=0.5,"Moderate ",IF(Q529&lt;=0.75,"High ","Very High ")))</f>
        <v xml:space="preserve">Moderate </v>
      </c>
      <c r="S529">
        <v>0.25369999999999998</v>
      </c>
      <c r="T529" t="str">
        <f>IF(S529&lt;=0.15,"Calm",IF(S529&lt;=0.3,"Light Wind",IF(S529&lt;=0.45,"Moderate Wind","Strong Wind")))</f>
        <v>Light Wind</v>
      </c>
      <c r="U529">
        <v>0</v>
      </c>
      <c r="V529">
        <v>1</v>
      </c>
      <c r="W529">
        <v>1</v>
      </c>
      <c r="X529" t="str">
        <f>IF(W529&lt;=75,"Low Demand",IF(W529&lt;=150,"Medium Demand",IF(W529&lt;=225,"High Demand","Very High Demand")))</f>
        <v>Low Demand</v>
      </c>
    </row>
    <row r="530" spans="1:24" x14ac:dyDescent="0.25">
      <c r="A530">
        <v>529</v>
      </c>
      <c r="B530" s="2">
        <v>40567</v>
      </c>
      <c r="C530">
        <v>1</v>
      </c>
      <c r="D530">
        <v>0</v>
      </c>
      <c r="E530">
        <v>1</v>
      </c>
      <c r="F530">
        <v>4</v>
      </c>
      <c r="G530" t="str">
        <f>IF(F530&lt;6,"Night",IF(F530&lt;12,"Morning",IF(F530&lt;18,"Afternoon","Evening")))</f>
        <v>Night</v>
      </c>
      <c r="H530">
        <v>0</v>
      </c>
      <c r="I530">
        <v>1</v>
      </c>
      <c r="J530" t="str">
        <f>CHOOSE(I530+1,"Monday","Tuesday","Wednesday","Thursday","Friday","Saturday","Sunday")</f>
        <v>Tuesday</v>
      </c>
      <c r="K530">
        <v>1</v>
      </c>
      <c r="L530" t="str">
        <f>CHOOSE(K530+1,"error","Clear","Misty","Rainy","Severe heater")</f>
        <v>Clear</v>
      </c>
      <c r="M530">
        <v>0.02</v>
      </c>
      <c r="N530" t="str">
        <f>IF(M530&lt;=0.2,"Low",IF(M530&lt;=0.4,"Mid","High"))</f>
        <v>Low</v>
      </c>
      <c r="O530">
        <v>6.0600000000000001E-2</v>
      </c>
      <c r="P530" t="str">
        <f>IF(O530&lt;=0.15,"Very Cold",IF(O530&lt;=0.3,"Cold",IF(O530&lt;=0.45,"Pleasant","Hot")))</f>
        <v>Very Cold</v>
      </c>
      <c r="Q530">
        <v>0.48</v>
      </c>
      <c r="R530" t="str">
        <f>IF(Q530&lt;=0.25,"Low ",IF(Q530&lt;=0.5,"Moderate ",IF(Q530&lt;=0.75,"High ","Very High ")))</f>
        <v xml:space="preserve">Moderate </v>
      </c>
      <c r="S530">
        <v>0.1343</v>
      </c>
      <c r="T530" t="str">
        <f>IF(S530&lt;=0.15,"Calm",IF(S530&lt;=0.3,"Light Wind",IF(S530&lt;=0.45,"Moderate Wind","Strong Wind")))</f>
        <v>Calm</v>
      </c>
      <c r="U530">
        <v>0</v>
      </c>
      <c r="V530">
        <v>1</v>
      </c>
      <c r="W530">
        <v>1</v>
      </c>
      <c r="X530" t="str">
        <f>IF(W530&lt;=75,"Low Demand",IF(W530&lt;=150,"Medium Demand",IF(W530&lt;=225,"High Demand","Very High Demand")))</f>
        <v>Low Demand</v>
      </c>
    </row>
    <row r="531" spans="1:24" x14ac:dyDescent="0.25">
      <c r="A531">
        <v>530</v>
      </c>
      <c r="B531" s="2">
        <v>40567</v>
      </c>
      <c r="C531">
        <v>1</v>
      </c>
      <c r="D531">
        <v>0</v>
      </c>
      <c r="E531">
        <v>1</v>
      </c>
      <c r="F531">
        <v>5</v>
      </c>
      <c r="G531" t="str">
        <f>IF(F531&lt;6,"Night",IF(F531&lt;12,"Morning",IF(F531&lt;18,"Afternoon","Evening")))</f>
        <v>Night</v>
      </c>
      <c r="H531">
        <v>0</v>
      </c>
      <c r="I531">
        <v>1</v>
      </c>
      <c r="J531" t="str">
        <f>CHOOSE(I531+1,"Monday","Tuesday","Wednesday","Thursday","Friday","Saturday","Sunday")</f>
        <v>Tuesday</v>
      </c>
      <c r="K531">
        <v>1</v>
      </c>
      <c r="L531" t="str">
        <f>CHOOSE(K531+1,"error","Clear","Misty","Rainy","Severe heater")</f>
        <v>Clear</v>
      </c>
      <c r="M531">
        <v>0.02</v>
      </c>
      <c r="N531" t="str">
        <f>IF(M531&lt;=0.2,"Low",IF(M531&lt;=0.4,"Mid","High"))</f>
        <v>Low</v>
      </c>
      <c r="O531">
        <v>6.0600000000000001E-2</v>
      </c>
      <c r="P531" t="str">
        <f>IF(O531&lt;=0.15,"Very Cold",IF(O531&lt;=0.3,"Cold",IF(O531&lt;=0.45,"Pleasant","Hot")))</f>
        <v>Very Cold</v>
      </c>
      <c r="Q531">
        <v>0.48</v>
      </c>
      <c r="R531" t="str">
        <f>IF(Q531&lt;=0.25,"Low ",IF(Q531&lt;=0.5,"Moderate ",IF(Q531&lt;=0.75,"High ","Very High ")))</f>
        <v xml:space="preserve">Moderate </v>
      </c>
      <c r="S531">
        <v>0.1343</v>
      </c>
      <c r="T531" t="str">
        <f>IF(S531&lt;=0.15,"Calm",IF(S531&lt;=0.3,"Light Wind",IF(S531&lt;=0.45,"Moderate Wind","Strong Wind")))</f>
        <v>Calm</v>
      </c>
      <c r="U531">
        <v>0</v>
      </c>
      <c r="V531">
        <v>5</v>
      </c>
      <c r="W531">
        <v>5</v>
      </c>
      <c r="X531" t="str">
        <f>IF(W531&lt;=75,"Low Demand",IF(W531&lt;=150,"Medium Demand",IF(W531&lt;=225,"High Demand","Very High Demand")))</f>
        <v>Low Demand</v>
      </c>
    </row>
    <row r="532" spans="1:24" x14ac:dyDescent="0.25">
      <c r="A532">
        <v>531</v>
      </c>
      <c r="B532" s="2">
        <v>40567</v>
      </c>
      <c r="C532">
        <v>1</v>
      </c>
      <c r="D532">
        <v>0</v>
      </c>
      <c r="E532">
        <v>1</v>
      </c>
      <c r="F532">
        <v>6</v>
      </c>
      <c r="G532" t="str">
        <f>IF(F532&lt;6,"Night",IF(F532&lt;12,"Morning",IF(F532&lt;18,"Afternoon","Evening")))</f>
        <v>Morning</v>
      </c>
      <c r="H532">
        <v>0</v>
      </c>
      <c r="I532">
        <v>1</v>
      </c>
      <c r="J532" t="str">
        <f>CHOOSE(I532+1,"Monday","Tuesday","Wednesday","Thursday","Friday","Saturday","Sunday")</f>
        <v>Tuesday</v>
      </c>
      <c r="K532">
        <v>1</v>
      </c>
      <c r="L532" t="str">
        <f>CHOOSE(K532+1,"error","Clear","Misty","Rainy","Severe heater")</f>
        <v>Clear</v>
      </c>
      <c r="M532">
        <v>0.02</v>
      </c>
      <c r="N532" t="str">
        <f>IF(M532&lt;=0.2,"Low",IF(M532&lt;=0.4,"Mid","High"))</f>
        <v>Low</v>
      </c>
      <c r="O532">
        <v>7.5800000000000006E-2</v>
      </c>
      <c r="P532" t="str">
        <f>IF(O532&lt;=0.15,"Very Cold",IF(O532&lt;=0.3,"Cold",IF(O532&lt;=0.45,"Pleasant","Hot")))</f>
        <v>Very Cold</v>
      </c>
      <c r="Q532">
        <v>0.48</v>
      </c>
      <c r="R532" t="str">
        <f>IF(Q532&lt;=0.25,"Low ",IF(Q532&lt;=0.5,"Moderate ",IF(Q532&lt;=0.75,"High ","Very High ")))</f>
        <v xml:space="preserve">Moderate </v>
      </c>
      <c r="S532">
        <v>8.9599999999999999E-2</v>
      </c>
      <c r="T532" t="str">
        <f>IF(S532&lt;=0.15,"Calm",IF(S532&lt;=0.3,"Light Wind",IF(S532&lt;=0.45,"Moderate Wind","Strong Wind")))</f>
        <v>Calm</v>
      </c>
      <c r="U532">
        <v>0</v>
      </c>
      <c r="V532">
        <v>15</v>
      </c>
      <c r="W532">
        <v>15</v>
      </c>
      <c r="X532" t="str">
        <f>IF(W532&lt;=75,"Low Demand",IF(W532&lt;=150,"Medium Demand",IF(W532&lt;=225,"High Demand","Very High Demand")))</f>
        <v>Low Demand</v>
      </c>
    </row>
    <row r="533" spans="1:24" x14ac:dyDescent="0.25">
      <c r="A533">
        <v>532</v>
      </c>
      <c r="B533" s="2">
        <v>40567</v>
      </c>
      <c r="C533">
        <v>1</v>
      </c>
      <c r="D533">
        <v>0</v>
      </c>
      <c r="E533">
        <v>1</v>
      </c>
      <c r="F533">
        <v>7</v>
      </c>
      <c r="G533" t="str">
        <f>IF(F533&lt;6,"Night",IF(F533&lt;12,"Morning",IF(F533&lt;18,"Afternoon","Evening")))</f>
        <v>Morning</v>
      </c>
      <c r="H533">
        <v>0</v>
      </c>
      <c r="I533">
        <v>1</v>
      </c>
      <c r="J533" t="str">
        <f>CHOOSE(I533+1,"Monday","Tuesday","Wednesday","Thursday","Friday","Saturday","Sunday")</f>
        <v>Tuesday</v>
      </c>
      <c r="K533">
        <v>1</v>
      </c>
      <c r="L533" t="str">
        <f>CHOOSE(K533+1,"error","Clear","Misty","Rainy","Severe heater")</f>
        <v>Clear</v>
      </c>
      <c r="M533">
        <v>0.02</v>
      </c>
      <c r="N533" t="str">
        <f>IF(M533&lt;=0.2,"Low",IF(M533&lt;=0.4,"Mid","High"))</f>
        <v>Low</v>
      </c>
      <c r="O533">
        <v>0.1212</v>
      </c>
      <c r="P533" t="str">
        <f>IF(O533&lt;=0.15,"Very Cold",IF(O533&lt;=0.3,"Cold",IF(O533&lt;=0.45,"Pleasant","Hot")))</f>
        <v>Very Cold</v>
      </c>
      <c r="Q533">
        <v>0.48</v>
      </c>
      <c r="R533" t="str">
        <f>IF(Q533&lt;=0.25,"Low ",IF(Q533&lt;=0.5,"Moderate ",IF(Q533&lt;=0.75,"High ","Very High ")))</f>
        <v xml:space="preserve">Moderate </v>
      </c>
      <c r="S533">
        <v>0</v>
      </c>
      <c r="T533" t="str">
        <f>IF(S533&lt;=0.15,"Calm",IF(S533&lt;=0.3,"Light Wind",IF(S533&lt;=0.45,"Moderate Wind","Strong Wind")))</f>
        <v>Calm</v>
      </c>
      <c r="U533">
        <v>5</v>
      </c>
      <c r="V533">
        <v>79</v>
      </c>
      <c r="W533">
        <v>84</v>
      </c>
      <c r="X533" t="str">
        <f>IF(W533&lt;=75,"Low Demand",IF(W533&lt;=150,"Medium Demand",IF(W533&lt;=225,"High Demand","Very High Demand")))</f>
        <v>Medium Demand</v>
      </c>
    </row>
    <row r="534" spans="1:24" x14ac:dyDescent="0.25">
      <c r="A534">
        <v>533</v>
      </c>
      <c r="B534" s="2">
        <v>40567</v>
      </c>
      <c r="C534">
        <v>1</v>
      </c>
      <c r="D534">
        <v>0</v>
      </c>
      <c r="E534">
        <v>1</v>
      </c>
      <c r="F534">
        <v>8</v>
      </c>
      <c r="G534" t="str">
        <f>IF(F534&lt;6,"Night",IF(F534&lt;12,"Morning",IF(F534&lt;18,"Afternoon","Evening")))</f>
        <v>Morning</v>
      </c>
      <c r="H534">
        <v>0</v>
      </c>
      <c r="I534">
        <v>1</v>
      </c>
      <c r="J534" t="str">
        <f>CHOOSE(I534+1,"Monday","Tuesday","Wednesday","Thursday","Friday","Saturday","Sunday")</f>
        <v>Tuesday</v>
      </c>
      <c r="K534">
        <v>1</v>
      </c>
      <c r="L534" t="str">
        <f>CHOOSE(K534+1,"error","Clear","Misty","Rainy","Severe heater")</f>
        <v>Clear</v>
      </c>
      <c r="M534">
        <v>0.04</v>
      </c>
      <c r="N534" t="str">
        <f>IF(M534&lt;=0.2,"Low",IF(M534&lt;=0.4,"Mid","High"))</f>
        <v>Low</v>
      </c>
      <c r="O534">
        <v>0.13639999999999999</v>
      </c>
      <c r="P534" t="str">
        <f>IF(O534&lt;=0.15,"Very Cold",IF(O534&lt;=0.3,"Cold",IF(O534&lt;=0.45,"Pleasant","Hot")))</f>
        <v>Very Cold</v>
      </c>
      <c r="Q534">
        <v>0.49</v>
      </c>
      <c r="R534" t="str">
        <f>IF(Q534&lt;=0.25,"Low ",IF(Q534&lt;=0.5,"Moderate ",IF(Q534&lt;=0.75,"High ","Very High ")))</f>
        <v xml:space="preserve">Moderate </v>
      </c>
      <c r="S534">
        <v>0</v>
      </c>
      <c r="T534" t="str">
        <f>IF(S534&lt;=0.15,"Calm",IF(S534&lt;=0.3,"Light Wind",IF(S534&lt;=0.45,"Moderate Wind","Strong Wind")))</f>
        <v>Calm</v>
      </c>
      <c r="U534">
        <v>6</v>
      </c>
      <c r="V534">
        <v>171</v>
      </c>
      <c r="W534">
        <v>177</v>
      </c>
      <c r="X534" t="str">
        <f>IF(W534&lt;=75,"Low Demand",IF(W534&lt;=150,"Medium Demand",IF(W534&lt;=225,"High Demand","Very High Demand")))</f>
        <v>High Demand</v>
      </c>
    </row>
    <row r="535" spans="1:24" x14ac:dyDescent="0.25">
      <c r="A535">
        <v>534</v>
      </c>
      <c r="B535" s="2">
        <v>40567</v>
      </c>
      <c r="C535">
        <v>1</v>
      </c>
      <c r="D535">
        <v>0</v>
      </c>
      <c r="E535">
        <v>1</v>
      </c>
      <c r="F535">
        <v>9</v>
      </c>
      <c r="G535" t="str">
        <f>IF(F535&lt;6,"Night",IF(F535&lt;12,"Morning",IF(F535&lt;18,"Afternoon","Evening")))</f>
        <v>Morning</v>
      </c>
      <c r="H535">
        <v>0</v>
      </c>
      <c r="I535">
        <v>1</v>
      </c>
      <c r="J535" t="str">
        <f>CHOOSE(I535+1,"Monday","Tuesday","Wednesday","Thursday","Friday","Saturday","Sunday")</f>
        <v>Tuesday</v>
      </c>
      <c r="K535">
        <v>1</v>
      </c>
      <c r="L535" t="str">
        <f>CHOOSE(K535+1,"error","Clear","Misty","Rainy","Severe heater")</f>
        <v>Clear</v>
      </c>
      <c r="M535">
        <v>0.06</v>
      </c>
      <c r="N535" t="str">
        <f>IF(M535&lt;=0.2,"Low",IF(M535&lt;=0.4,"Mid","High"))</f>
        <v>Low</v>
      </c>
      <c r="O535">
        <v>0.1515</v>
      </c>
      <c r="P535" t="str">
        <f>IF(O535&lt;=0.15,"Very Cold",IF(O535&lt;=0.3,"Cold",IF(O535&lt;=0.45,"Pleasant","Hot")))</f>
        <v>Cold</v>
      </c>
      <c r="Q535">
        <v>0.41</v>
      </c>
      <c r="R535" t="str">
        <f>IF(Q535&lt;=0.25,"Low ",IF(Q535&lt;=0.5,"Moderate ",IF(Q535&lt;=0.75,"High ","Very High ")))</f>
        <v xml:space="preserve">Moderate </v>
      </c>
      <c r="S535">
        <v>0</v>
      </c>
      <c r="T535" t="str">
        <f>IF(S535&lt;=0.15,"Calm",IF(S535&lt;=0.3,"Light Wind",IF(S535&lt;=0.45,"Moderate Wind","Strong Wind")))</f>
        <v>Calm</v>
      </c>
      <c r="U535">
        <v>4</v>
      </c>
      <c r="V535">
        <v>98</v>
      </c>
      <c r="W535">
        <v>102</v>
      </c>
      <c r="X535" t="str">
        <f>IF(W535&lt;=75,"Low Demand",IF(W535&lt;=150,"Medium Demand",IF(W535&lt;=225,"High Demand","Very High Demand")))</f>
        <v>Medium Demand</v>
      </c>
    </row>
    <row r="536" spans="1:24" x14ac:dyDescent="0.25">
      <c r="A536">
        <v>535</v>
      </c>
      <c r="B536" s="2">
        <v>40567</v>
      </c>
      <c r="C536">
        <v>1</v>
      </c>
      <c r="D536">
        <v>0</v>
      </c>
      <c r="E536">
        <v>1</v>
      </c>
      <c r="F536">
        <v>10</v>
      </c>
      <c r="G536" t="str">
        <f>IF(F536&lt;6,"Night",IF(F536&lt;12,"Morning",IF(F536&lt;18,"Afternoon","Evening")))</f>
        <v>Morning</v>
      </c>
      <c r="H536">
        <v>0</v>
      </c>
      <c r="I536">
        <v>1</v>
      </c>
      <c r="J536" t="str">
        <f>CHOOSE(I536+1,"Monday","Tuesday","Wednesday","Thursday","Friday","Saturday","Sunday")</f>
        <v>Tuesday</v>
      </c>
      <c r="K536">
        <v>1</v>
      </c>
      <c r="L536" t="str">
        <f>CHOOSE(K536+1,"error","Clear","Misty","Rainy","Severe heater")</f>
        <v>Clear</v>
      </c>
      <c r="M536">
        <v>0.1</v>
      </c>
      <c r="N536" t="str">
        <f>IF(M536&lt;=0.2,"Low",IF(M536&lt;=0.4,"Mid","High"))</f>
        <v>Low</v>
      </c>
      <c r="O536">
        <v>0.13639999999999999</v>
      </c>
      <c r="P536" t="str">
        <f>IF(O536&lt;=0.15,"Very Cold",IF(O536&lt;=0.3,"Cold",IF(O536&lt;=0.45,"Pleasant","Hot")))</f>
        <v>Very Cold</v>
      </c>
      <c r="Q536">
        <v>0.42</v>
      </c>
      <c r="R536" t="str">
        <f>IF(Q536&lt;=0.25,"Low ",IF(Q536&lt;=0.5,"Moderate ",IF(Q536&lt;=0.75,"High ","Very High ")))</f>
        <v xml:space="preserve">Moderate </v>
      </c>
      <c r="S536">
        <v>0</v>
      </c>
      <c r="T536" t="str">
        <f>IF(S536&lt;=0.15,"Calm",IF(S536&lt;=0.3,"Light Wind",IF(S536&lt;=0.45,"Moderate Wind","Strong Wind")))</f>
        <v>Calm</v>
      </c>
      <c r="U536">
        <v>6</v>
      </c>
      <c r="V536">
        <v>34</v>
      </c>
      <c r="W536">
        <v>40</v>
      </c>
      <c r="X536" t="str">
        <f>IF(W536&lt;=75,"Low Demand",IF(W536&lt;=150,"Medium Demand",IF(W536&lt;=225,"High Demand","Very High Demand")))</f>
        <v>Low Demand</v>
      </c>
    </row>
    <row r="537" spans="1:24" x14ac:dyDescent="0.25">
      <c r="A537">
        <v>536</v>
      </c>
      <c r="B537" s="2">
        <v>40567</v>
      </c>
      <c r="C537">
        <v>1</v>
      </c>
      <c r="D537">
        <v>0</v>
      </c>
      <c r="E537">
        <v>1</v>
      </c>
      <c r="F537">
        <v>11</v>
      </c>
      <c r="G537" t="str">
        <f>IF(F537&lt;6,"Night",IF(F537&lt;12,"Morning",IF(F537&lt;18,"Afternoon","Evening")))</f>
        <v>Morning</v>
      </c>
      <c r="H537">
        <v>0</v>
      </c>
      <c r="I537">
        <v>1</v>
      </c>
      <c r="J537" t="str">
        <f>CHOOSE(I537+1,"Monday","Tuesday","Wednesday","Thursday","Friday","Saturday","Sunday")</f>
        <v>Tuesday</v>
      </c>
      <c r="K537">
        <v>1</v>
      </c>
      <c r="L537" t="str">
        <f>CHOOSE(K537+1,"error","Clear","Misty","Rainy","Severe heater")</f>
        <v>Clear</v>
      </c>
      <c r="M537">
        <v>0.1</v>
      </c>
      <c r="N537" t="str">
        <f>IF(M537&lt;=0.2,"Low",IF(M537&lt;=0.4,"Mid","High"))</f>
        <v>Low</v>
      </c>
      <c r="O537">
        <v>0.1212</v>
      </c>
      <c r="P537" t="str">
        <f>IF(O537&lt;=0.15,"Very Cold",IF(O537&lt;=0.3,"Cold",IF(O537&lt;=0.45,"Pleasant","Hot")))</f>
        <v>Very Cold</v>
      </c>
      <c r="Q537">
        <v>0.46</v>
      </c>
      <c r="R537" t="str">
        <f>IF(Q537&lt;=0.25,"Low ",IF(Q537&lt;=0.5,"Moderate ",IF(Q537&lt;=0.75,"High ","Very High ")))</f>
        <v xml:space="preserve">Moderate </v>
      </c>
      <c r="S537">
        <v>0.1343</v>
      </c>
      <c r="T537" t="str">
        <f>IF(S537&lt;=0.15,"Calm",IF(S537&lt;=0.3,"Light Wind",IF(S537&lt;=0.45,"Moderate Wind","Strong Wind")))</f>
        <v>Calm</v>
      </c>
      <c r="U537">
        <v>3</v>
      </c>
      <c r="V537">
        <v>43</v>
      </c>
      <c r="W537">
        <v>46</v>
      </c>
      <c r="X537" t="str">
        <f>IF(W537&lt;=75,"Low Demand",IF(W537&lt;=150,"Medium Demand",IF(W537&lt;=225,"High Demand","Very High Demand")))</f>
        <v>Low Demand</v>
      </c>
    </row>
    <row r="538" spans="1:24" x14ac:dyDescent="0.25">
      <c r="A538">
        <v>537</v>
      </c>
      <c r="B538" s="2">
        <v>40567</v>
      </c>
      <c r="C538">
        <v>1</v>
      </c>
      <c r="D538">
        <v>0</v>
      </c>
      <c r="E538">
        <v>1</v>
      </c>
      <c r="F538">
        <v>12</v>
      </c>
      <c r="G538" t="str">
        <f>IF(F538&lt;6,"Night",IF(F538&lt;12,"Morning",IF(F538&lt;18,"Afternoon","Evening")))</f>
        <v>Afternoon</v>
      </c>
      <c r="H538">
        <v>0</v>
      </c>
      <c r="I538">
        <v>1</v>
      </c>
      <c r="J538" t="str">
        <f>CHOOSE(I538+1,"Monday","Tuesday","Wednesday","Thursday","Friday","Saturday","Sunday")</f>
        <v>Tuesday</v>
      </c>
      <c r="K538">
        <v>2</v>
      </c>
      <c r="L538" t="str">
        <f>CHOOSE(K538+1,"error","Clear","Misty","Rainy","Severe heater")</f>
        <v>Misty</v>
      </c>
      <c r="M538">
        <v>0.12</v>
      </c>
      <c r="N538" t="str">
        <f>IF(M538&lt;=0.2,"Low",IF(M538&lt;=0.4,"Mid","High"))</f>
        <v>Low</v>
      </c>
      <c r="O538">
        <v>0.13639999999999999</v>
      </c>
      <c r="P538" t="str">
        <f>IF(O538&lt;=0.15,"Very Cold",IF(O538&lt;=0.3,"Cold",IF(O538&lt;=0.45,"Pleasant","Hot")))</f>
        <v>Very Cold</v>
      </c>
      <c r="Q538">
        <v>0.42</v>
      </c>
      <c r="R538" t="str">
        <f>IF(Q538&lt;=0.25,"Low ",IF(Q538&lt;=0.5,"Moderate ",IF(Q538&lt;=0.75,"High ","Very High ")))</f>
        <v xml:space="preserve">Moderate </v>
      </c>
      <c r="S538">
        <v>0.19400000000000001</v>
      </c>
      <c r="T538" t="str">
        <f>IF(S538&lt;=0.15,"Calm",IF(S538&lt;=0.3,"Light Wind",IF(S538&lt;=0.45,"Moderate Wind","Strong Wind")))</f>
        <v>Light Wind</v>
      </c>
      <c r="U538">
        <v>11</v>
      </c>
      <c r="V538">
        <v>52</v>
      </c>
      <c r="W538">
        <v>63</v>
      </c>
      <c r="X538" t="str">
        <f>IF(W538&lt;=75,"Low Demand",IF(W538&lt;=150,"Medium Demand",IF(W538&lt;=225,"High Demand","Very High Demand")))</f>
        <v>Low Demand</v>
      </c>
    </row>
    <row r="539" spans="1:24" x14ac:dyDescent="0.25">
      <c r="A539">
        <v>538</v>
      </c>
      <c r="B539" s="2">
        <v>40567</v>
      </c>
      <c r="C539">
        <v>1</v>
      </c>
      <c r="D539">
        <v>0</v>
      </c>
      <c r="E539">
        <v>1</v>
      </c>
      <c r="F539">
        <v>13</v>
      </c>
      <c r="G539" t="str">
        <f>IF(F539&lt;6,"Night",IF(F539&lt;12,"Morning",IF(F539&lt;18,"Afternoon","Evening")))</f>
        <v>Afternoon</v>
      </c>
      <c r="H539">
        <v>0</v>
      </c>
      <c r="I539">
        <v>1</v>
      </c>
      <c r="J539" t="str">
        <f>CHOOSE(I539+1,"Monday","Tuesday","Wednesday","Thursday","Friday","Saturday","Sunday")</f>
        <v>Tuesday</v>
      </c>
      <c r="K539">
        <v>2</v>
      </c>
      <c r="L539" t="str">
        <f>CHOOSE(K539+1,"error","Clear","Misty","Rainy","Severe heater")</f>
        <v>Misty</v>
      </c>
      <c r="M539">
        <v>0.14000000000000001</v>
      </c>
      <c r="N539" t="str">
        <f>IF(M539&lt;=0.2,"Low",IF(M539&lt;=0.4,"Mid","High"))</f>
        <v>Low</v>
      </c>
      <c r="O539">
        <v>0.13639999999999999</v>
      </c>
      <c r="P539" t="str">
        <f>IF(O539&lt;=0.15,"Very Cold",IF(O539&lt;=0.3,"Cold",IF(O539&lt;=0.45,"Pleasant","Hot")))</f>
        <v>Very Cold</v>
      </c>
      <c r="Q539">
        <v>0.43</v>
      </c>
      <c r="R539" t="str">
        <f>IF(Q539&lt;=0.25,"Low ",IF(Q539&lt;=0.5,"Moderate ",IF(Q539&lt;=0.75,"High ","Very High ")))</f>
        <v xml:space="preserve">Moderate </v>
      </c>
      <c r="S539">
        <v>0.22389999999999999</v>
      </c>
      <c r="T539" t="str">
        <f>IF(S539&lt;=0.15,"Calm",IF(S539&lt;=0.3,"Light Wind",IF(S539&lt;=0.45,"Moderate Wind","Strong Wind")))</f>
        <v>Light Wind</v>
      </c>
      <c r="U539">
        <v>6</v>
      </c>
      <c r="V539">
        <v>54</v>
      </c>
      <c r="W539">
        <v>60</v>
      </c>
      <c r="X539" t="str">
        <f>IF(W539&lt;=75,"Low Demand",IF(W539&lt;=150,"Medium Demand",IF(W539&lt;=225,"High Demand","Very High Demand")))</f>
        <v>Low Demand</v>
      </c>
    </row>
    <row r="540" spans="1:24" x14ac:dyDescent="0.25">
      <c r="A540">
        <v>539</v>
      </c>
      <c r="B540" s="2">
        <v>40567</v>
      </c>
      <c r="C540">
        <v>1</v>
      </c>
      <c r="D540">
        <v>0</v>
      </c>
      <c r="E540">
        <v>1</v>
      </c>
      <c r="F540">
        <v>14</v>
      </c>
      <c r="G540" t="str">
        <f>IF(F540&lt;6,"Night",IF(F540&lt;12,"Morning",IF(F540&lt;18,"Afternoon","Evening")))</f>
        <v>Afternoon</v>
      </c>
      <c r="H540">
        <v>0</v>
      </c>
      <c r="I540">
        <v>1</v>
      </c>
      <c r="J540" t="str">
        <f>CHOOSE(I540+1,"Monday","Tuesday","Wednesday","Thursday","Friday","Saturday","Sunday")</f>
        <v>Tuesday</v>
      </c>
      <c r="K540">
        <v>2</v>
      </c>
      <c r="L540" t="str">
        <f>CHOOSE(K540+1,"error","Clear","Misty","Rainy","Severe heater")</f>
        <v>Misty</v>
      </c>
      <c r="M540">
        <v>0.14000000000000001</v>
      </c>
      <c r="N540" t="str">
        <f>IF(M540&lt;=0.2,"Low",IF(M540&lt;=0.4,"Mid","High"))</f>
        <v>Low</v>
      </c>
      <c r="O540">
        <v>0.13639999999999999</v>
      </c>
      <c r="P540" t="str">
        <f>IF(O540&lt;=0.15,"Very Cold",IF(O540&lt;=0.3,"Cold",IF(O540&lt;=0.45,"Pleasant","Hot")))</f>
        <v>Very Cold</v>
      </c>
      <c r="Q540">
        <v>0.46</v>
      </c>
      <c r="R540" t="str">
        <f>IF(Q540&lt;=0.25,"Low ",IF(Q540&lt;=0.5,"Moderate ",IF(Q540&lt;=0.75,"High ","Very High ")))</f>
        <v xml:space="preserve">Moderate </v>
      </c>
      <c r="S540">
        <v>0.22389999999999999</v>
      </c>
      <c r="T540" t="str">
        <f>IF(S540&lt;=0.15,"Calm",IF(S540&lt;=0.3,"Light Wind",IF(S540&lt;=0.45,"Moderate Wind","Strong Wind")))</f>
        <v>Light Wind</v>
      </c>
      <c r="U540">
        <v>2</v>
      </c>
      <c r="V540">
        <v>43</v>
      </c>
      <c r="W540">
        <v>45</v>
      </c>
      <c r="X540" t="str">
        <f>IF(W540&lt;=75,"Low Demand",IF(W540&lt;=150,"Medium Demand",IF(W540&lt;=225,"High Demand","Very High Demand")))</f>
        <v>Low Demand</v>
      </c>
    </row>
    <row r="541" spans="1:24" x14ac:dyDescent="0.25">
      <c r="A541">
        <v>540</v>
      </c>
      <c r="B541" s="2">
        <v>40567</v>
      </c>
      <c r="C541">
        <v>1</v>
      </c>
      <c r="D541">
        <v>0</v>
      </c>
      <c r="E541">
        <v>1</v>
      </c>
      <c r="F541">
        <v>15</v>
      </c>
      <c r="G541" t="str">
        <f>IF(F541&lt;6,"Night",IF(F541&lt;12,"Morning",IF(F541&lt;18,"Afternoon","Evening")))</f>
        <v>Afternoon</v>
      </c>
      <c r="H541">
        <v>0</v>
      </c>
      <c r="I541">
        <v>1</v>
      </c>
      <c r="J541" t="str">
        <f>CHOOSE(I541+1,"Monday","Tuesday","Wednesday","Thursday","Friday","Saturday","Sunday")</f>
        <v>Tuesday</v>
      </c>
      <c r="K541">
        <v>1</v>
      </c>
      <c r="L541" t="str">
        <f>CHOOSE(K541+1,"error","Clear","Misty","Rainy","Severe heater")</f>
        <v>Clear</v>
      </c>
      <c r="M541">
        <v>0.16</v>
      </c>
      <c r="N541" t="str">
        <f>IF(M541&lt;=0.2,"Low",IF(M541&lt;=0.4,"Mid","High"))</f>
        <v>Low</v>
      </c>
      <c r="O541">
        <v>0.16669999999999999</v>
      </c>
      <c r="P541" t="str">
        <f>IF(O541&lt;=0.15,"Very Cold",IF(O541&lt;=0.3,"Cold",IF(O541&lt;=0.45,"Pleasant","Hot")))</f>
        <v>Cold</v>
      </c>
      <c r="Q541">
        <v>0.4</v>
      </c>
      <c r="R541" t="str">
        <f>IF(Q541&lt;=0.25,"Low ",IF(Q541&lt;=0.5,"Moderate ",IF(Q541&lt;=0.75,"High ","Very High ")))</f>
        <v xml:space="preserve">Moderate </v>
      </c>
      <c r="S541">
        <v>0.16420000000000001</v>
      </c>
      <c r="T541" t="str">
        <f>IF(S541&lt;=0.15,"Calm",IF(S541&lt;=0.3,"Light Wind",IF(S541&lt;=0.45,"Moderate Wind","Strong Wind")))</f>
        <v>Light Wind</v>
      </c>
      <c r="U541">
        <v>7</v>
      </c>
      <c r="V541">
        <v>50</v>
      </c>
      <c r="W541">
        <v>57</v>
      </c>
      <c r="X541" t="str">
        <f>IF(W541&lt;=75,"Low Demand",IF(W541&lt;=150,"Medium Demand",IF(W541&lt;=225,"High Demand","Very High Demand")))</f>
        <v>Low Demand</v>
      </c>
    </row>
    <row r="542" spans="1:24" x14ac:dyDescent="0.25">
      <c r="A542">
        <v>541</v>
      </c>
      <c r="B542" s="2">
        <v>40567</v>
      </c>
      <c r="C542">
        <v>1</v>
      </c>
      <c r="D542">
        <v>0</v>
      </c>
      <c r="E542">
        <v>1</v>
      </c>
      <c r="F542">
        <v>16</v>
      </c>
      <c r="G542" t="str">
        <f>IF(F542&lt;6,"Night",IF(F542&lt;12,"Morning",IF(F542&lt;18,"Afternoon","Evening")))</f>
        <v>Afternoon</v>
      </c>
      <c r="H542">
        <v>0</v>
      </c>
      <c r="I542">
        <v>1</v>
      </c>
      <c r="J542" t="str">
        <f>CHOOSE(I542+1,"Monday","Tuesday","Wednesday","Thursday","Friday","Saturday","Sunday")</f>
        <v>Tuesday</v>
      </c>
      <c r="K542">
        <v>1</v>
      </c>
      <c r="L542" t="str">
        <f>CHOOSE(K542+1,"error","Clear","Misty","Rainy","Severe heater")</f>
        <v>Clear</v>
      </c>
      <c r="M542">
        <v>0.16</v>
      </c>
      <c r="N542" t="str">
        <f>IF(M542&lt;=0.2,"Low",IF(M542&lt;=0.4,"Mid","High"))</f>
        <v>Low</v>
      </c>
      <c r="O542">
        <v>0.1515</v>
      </c>
      <c r="P542" t="str">
        <f>IF(O542&lt;=0.15,"Very Cold",IF(O542&lt;=0.3,"Cold",IF(O542&lt;=0.45,"Pleasant","Hot")))</f>
        <v>Cold</v>
      </c>
      <c r="Q542">
        <v>0.47</v>
      </c>
      <c r="R542" t="str">
        <f>IF(Q542&lt;=0.25,"Low ",IF(Q542&lt;=0.5,"Moderate ",IF(Q542&lt;=0.75,"High ","Very High ")))</f>
        <v xml:space="preserve">Moderate </v>
      </c>
      <c r="S542">
        <v>0.25369999999999998</v>
      </c>
      <c r="T542" t="str">
        <f>IF(S542&lt;=0.15,"Calm",IF(S542&lt;=0.3,"Light Wind",IF(S542&lt;=0.45,"Moderate Wind","Strong Wind")))</f>
        <v>Light Wind</v>
      </c>
      <c r="U542">
        <v>4</v>
      </c>
      <c r="V542">
        <v>66</v>
      </c>
      <c r="W542">
        <v>70</v>
      </c>
      <c r="X542" t="str">
        <f>IF(W542&lt;=75,"Low Demand",IF(W542&lt;=150,"Medium Demand",IF(W542&lt;=225,"High Demand","Very High Demand")))</f>
        <v>Low Demand</v>
      </c>
    </row>
    <row r="543" spans="1:24" x14ac:dyDescent="0.25">
      <c r="A543">
        <v>542</v>
      </c>
      <c r="B543" s="2">
        <v>40567</v>
      </c>
      <c r="C543">
        <v>1</v>
      </c>
      <c r="D543">
        <v>0</v>
      </c>
      <c r="E543">
        <v>1</v>
      </c>
      <c r="F543">
        <v>17</v>
      </c>
      <c r="G543" t="str">
        <f>IF(F543&lt;6,"Night",IF(F543&lt;12,"Morning",IF(F543&lt;18,"Afternoon","Evening")))</f>
        <v>Afternoon</v>
      </c>
      <c r="H543">
        <v>0</v>
      </c>
      <c r="I543">
        <v>1</v>
      </c>
      <c r="J543" t="str">
        <f>CHOOSE(I543+1,"Monday","Tuesday","Wednesday","Thursday","Friday","Saturday","Sunday")</f>
        <v>Tuesday</v>
      </c>
      <c r="K543">
        <v>1</v>
      </c>
      <c r="L543" t="str">
        <f>CHOOSE(K543+1,"error","Clear","Misty","Rainy","Severe heater")</f>
        <v>Clear</v>
      </c>
      <c r="M543">
        <v>0.14000000000000001</v>
      </c>
      <c r="N543" t="str">
        <f>IF(M543&lt;=0.2,"Low",IF(M543&lt;=0.4,"Mid","High"))</f>
        <v>Low</v>
      </c>
      <c r="O543">
        <v>0.1212</v>
      </c>
      <c r="P543" t="str">
        <f>IF(O543&lt;=0.15,"Very Cold",IF(O543&lt;=0.3,"Cold",IF(O543&lt;=0.45,"Pleasant","Hot")))</f>
        <v>Very Cold</v>
      </c>
      <c r="Q543">
        <v>0.5</v>
      </c>
      <c r="R543" t="str">
        <f>IF(Q543&lt;=0.25,"Low ",IF(Q543&lt;=0.5,"Moderate ",IF(Q543&lt;=0.75,"High ","Very High ")))</f>
        <v xml:space="preserve">Moderate </v>
      </c>
      <c r="S543">
        <v>0.25369999999999998</v>
      </c>
      <c r="T543" t="str">
        <f>IF(S543&lt;=0.15,"Calm",IF(S543&lt;=0.3,"Light Wind",IF(S543&lt;=0.45,"Moderate Wind","Strong Wind")))</f>
        <v>Light Wind</v>
      </c>
      <c r="U543">
        <v>6</v>
      </c>
      <c r="V543">
        <v>178</v>
      </c>
      <c r="W543">
        <v>184</v>
      </c>
      <c r="X543" t="str">
        <f>IF(W543&lt;=75,"Low Demand",IF(W543&lt;=150,"Medium Demand",IF(W543&lt;=225,"High Demand","Very High Demand")))</f>
        <v>High Demand</v>
      </c>
    </row>
    <row r="544" spans="1:24" x14ac:dyDescent="0.25">
      <c r="A544">
        <v>543</v>
      </c>
      <c r="B544" s="2">
        <v>40567</v>
      </c>
      <c r="C544">
        <v>1</v>
      </c>
      <c r="D544">
        <v>0</v>
      </c>
      <c r="E544">
        <v>1</v>
      </c>
      <c r="F544">
        <v>18</v>
      </c>
      <c r="G544" t="str">
        <f>IF(F544&lt;6,"Night",IF(F544&lt;12,"Morning",IF(F544&lt;18,"Afternoon","Evening")))</f>
        <v>Evening</v>
      </c>
      <c r="H544">
        <v>0</v>
      </c>
      <c r="I544">
        <v>1</v>
      </c>
      <c r="J544" t="str">
        <f>CHOOSE(I544+1,"Monday","Tuesday","Wednesday","Thursday","Friday","Saturday","Sunday")</f>
        <v>Tuesday</v>
      </c>
      <c r="K544">
        <v>1</v>
      </c>
      <c r="L544" t="str">
        <f>CHOOSE(K544+1,"error","Clear","Misty","Rainy","Severe heater")</f>
        <v>Clear</v>
      </c>
      <c r="M544">
        <v>0.14000000000000001</v>
      </c>
      <c r="N544" t="str">
        <f>IF(M544&lt;=0.2,"Low",IF(M544&lt;=0.4,"Mid","High"))</f>
        <v>Low</v>
      </c>
      <c r="O544">
        <v>0.13639999999999999</v>
      </c>
      <c r="P544" t="str">
        <f>IF(O544&lt;=0.15,"Very Cold",IF(O544&lt;=0.3,"Cold",IF(O544&lt;=0.45,"Pleasant","Hot")))</f>
        <v>Very Cold</v>
      </c>
      <c r="Q544">
        <v>0.59</v>
      </c>
      <c r="R544" t="str">
        <f>IF(Q544&lt;=0.25,"Low ",IF(Q544&lt;=0.5,"Moderate ",IF(Q544&lt;=0.75,"High ","Very High ")))</f>
        <v xml:space="preserve">High </v>
      </c>
      <c r="S544">
        <v>0.19400000000000001</v>
      </c>
      <c r="T544" t="str">
        <f>IF(S544&lt;=0.15,"Calm",IF(S544&lt;=0.3,"Light Wind",IF(S544&lt;=0.45,"Moderate Wind","Strong Wind")))</f>
        <v>Light Wind</v>
      </c>
      <c r="U544">
        <v>8</v>
      </c>
      <c r="V544">
        <v>145</v>
      </c>
      <c r="W544">
        <v>153</v>
      </c>
      <c r="X544" t="str">
        <f>IF(W544&lt;=75,"Low Demand",IF(W544&lt;=150,"Medium Demand",IF(W544&lt;=225,"High Demand","Very High Demand")))</f>
        <v>High Demand</v>
      </c>
    </row>
    <row r="545" spans="1:24" x14ac:dyDescent="0.25">
      <c r="A545">
        <v>544</v>
      </c>
      <c r="B545" s="2">
        <v>40567</v>
      </c>
      <c r="C545">
        <v>1</v>
      </c>
      <c r="D545">
        <v>0</v>
      </c>
      <c r="E545">
        <v>1</v>
      </c>
      <c r="F545">
        <v>19</v>
      </c>
      <c r="G545" t="str">
        <f>IF(F545&lt;6,"Night",IF(F545&lt;12,"Morning",IF(F545&lt;18,"Afternoon","Evening")))</f>
        <v>Evening</v>
      </c>
      <c r="H545">
        <v>0</v>
      </c>
      <c r="I545">
        <v>1</v>
      </c>
      <c r="J545" t="str">
        <f>CHOOSE(I545+1,"Monday","Tuesday","Wednesday","Thursday","Friday","Saturday","Sunday")</f>
        <v>Tuesday</v>
      </c>
      <c r="K545">
        <v>1</v>
      </c>
      <c r="L545" t="str">
        <f>CHOOSE(K545+1,"error","Clear","Misty","Rainy","Severe heater")</f>
        <v>Clear</v>
      </c>
      <c r="M545">
        <v>0.14000000000000001</v>
      </c>
      <c r="N545" t="str">
        <f>IF(M545&lt;=0.2,"Low",IF(M545&lt;=0.4,"Mid","High"))</f>
        <v>Low</v>
      </c>
      <c r="O545">
        <v>0.1515</v>
      </c>
      <c r="P545" t="str">
        <f>IF(O545&lt;=0.15,"Very Cold",IF(O545&lt;=0.3,"Cold",IF(O545&lt;=0.45,"Pleasant","Hot")))</f>
        <v>Cold</v>
      </c>
      <c r="Q545">
        <v>0.54</v>
      </c>
      <c r="R545" t="str">
        <f>IF(Q545&lt;=0.25,"Low ",IF(Q545&lt;=0.5,"Moderate ",IF(Q545&lt;=0.75,"High ","Very High ")))</f>
        <v xml:space="preserve">High </v>
      </c>
      <c r="S545">
        <v>0.16420000000000001</v>
      </c>
      <c r="T545" t="str">
        <f>IF(S545&lt;=0.15,"Calm",IF(S545&lt;=0.3,"Light Wind",IF(S545&lt;=0.45,"Moderate Wind","Strong Wind")))</f>
        <v>Light Wind</v>
      </c>
      <c r="U545">
        <v>5</v>
      </c>
      <c r="V545">
        <v>101</v>
      </c>
      <c r="W545">
        <v>106</v>
      </c>
      <c r="X545" t="str">
        <f>IF(W545&lt;=75,"Low Demand",IF(W545&lt;=150,"Medium Demand",IF(W545&lt;=225,"High Demand","Very High Demand")))</f>
        <v>Medium Demand</v>
      </c>
    </row>
    <row r="546" spans="1:24" x14ac:dyDescent="0.25">
      <c r="A546">
        <v>545</v>
      </c>
      <c r="B546" s="2">
        <v>40567</v>
      </c>
      <c r="C546">
        <v>1</v>
      </c>
      <c r="D546">
        <v>0</v>
      </c>
      <c r="E546">
        <v>1</v>
      </c>
      <c r="F546">
        <v>20</v>
      </c>
      <c r="G546" t="str">
        <f>IF(F546&lt;6,"Night",IF(F546&lt;12,"Morning",IF(F546&lt;18,"Afternoon","Evening")))</f>
        <v>Evening</v>
      </c>
      <c r="H546">
        <v>0</v>
      </c>
      <c r="I546">
        <v>1</v>
      </c>
      <c r="J546" t="str">
        <f>CHOOSE(I546+1,"Monday","Tuesday","Wednesday","Thursday","Friday","Saturday","Sunday")</f>
        <v>Tuesday</v>
      </c>
      <c r="K546">
        <v>1</v>
      </c>
      <c r="L546" t="str">
        <f>CHOOSE(K546+1,"error","Clear","Misty","Rainy","Severe heater")</f>
        <v>Clear</v>
      </c>
      <c r="M546">
        <v>0.14000000000000001</v>
      </c>
      <c r="N546" t="str">
        <f>IF(M546&lt;=0.2,"Low",IF(M546&lt;=0.4,"Mid","High"))</f>
        <v>Low</v>
      </c>
      <c r="O546">
        <v>0.13639999999999999</v>
      </c>
      <c r="P546" t="str">
        <f>IF(O546&lt;=0.15,"Very Cold",IF(O546&lt;=0.3,"Cold",IF(O546&lt;=0.45,"Pleasant","Hot")))</f>
        <v>Very Cold</v>
      </c>
      <c r="Q546">
        <v>0.59</v>
      </c>
      <c r="R546" t="str">
        <f>IF(Q546&lt;=0.25,"Low ",IF(Q546&lt;=0.5,"Moderate ",IF(Q546&lt;=0.75,"High ","Very High ")))</f>
        <v xml:space="preserve">High </v>
      </c>
      <c r="S546">
        <v>0.19400000000000001</v>
      </c>
      <c r="T546" t="str">
        <f>IF(S546&lt;=0.15,"Calm",IF(S546&lt;=0.3,"Light Wind",IF(S546&lt;=0.45,"Moderate Wind","Strong Wind")))</f>
        <v>Light Wind</v>
      </c>
      <c r="U546">
        <v>1</v>
      </c>
      <c r="V546">
        <v>80</v>
      </c>
      <c r="W546">
        <v>81</v>
      </c>
      <c r="X546" t="str">
        <f>IF(W546&lt;=75,"Low Demand",IF(W546&lt;=150,"Medium Demand",IF(W546&lt;=225,"High Demand","Very High Demand")))</f>
        <v>Medium Demand</v>
      </c>
    </row>
    <row r="547" spans="1:24" x14ac:dyDescent="0.25">
      <c r="A547">
        <v>546</v>
      </c>
      <c r="B547" s="2">
        <v>40567</v>
      </c>
      <c r="C547">
        <v>1</v>
      </c>
      <c r="D547">
        <v>0</v>
      </c>
      <c r="E547">
        <v>1</v>
      </c>
      <c r="F547">
        <v>21</v>
      </c>
      <c r="G547" t="str">
        <f>IF(F547&lt;6,"Night",IF(F547&lt;12,"Morning",IF(F547&lt;18,"Afternoon","Evening")))</f>
        <v>Evening</v>
      </c>
      <c r="H547">
        <v>0</v>
      </c>
      <c r="I547">
        <v>1</v>
      </c>
      <c r="J547" t="str">
        <f>CHOOSE(I547+1,"Monday","Tuesday","Wednesday","Thursday","Friday","Saturday","Sunday")</f>
        <v>Tuesday</v>
      </c>
      <c r="K547">
        <v>1</v>
      </c>
      <c r="L547" t="str">
        <f>CHOOSE(K547+1,"error","Clear","Misty","Rainy","Severe heater")</f>
        <v>Clear</v>
      </c>
      <c r="M547">
        <v>0.14000000000000001</v>
      </c>
      <c r="N547" t="str">
        <f>IF(M547&lt;=0.2,"Low",IF(M547&lt;=0.4,"Mid","High"))</f>
        <v>Low</v>
      </c>
      <c r="O547">
        <v>0.1515</v>
      </c>
      <c r="P547" t="str">
        <f>IF(O547&lt;=0.15,"Very Cold",IF(O547&lt;=0.3,"Cold",IF(O547&lt;=0.45,"Pleasant","Hot")))</f>
        <v>Cold</v>
      </c>
      <c r="Q547">
        <v>0.63</v>
      </c>
      <c r="R547" t="str">
        <f>IF(Q547&lt;=0.25,"Low ",IF(Q547&lt;=0.5,"Moderate ",IF(Q547&lt;=0.75,"High ","Very High ")))</f>
        <v xml:space="preserve">High </v>
      </c>
      <c r="S547">
        <v>0.16420000000000001</v>
      </c>
      <c r="T547" t="str">
        <f>IF(S547&lt;=0.15,"Calm",IF(S547&lt;=0.3,"Light Wind",IF(S547&lt;=0.45,"Moderate Wind","Strong Wind")))</f>
        <v>Light Wind</v>
      </c>
      <c r="U547">
        <v>6</v>
      </c>
      <c r="V547">
        <v>53</v>
      </c>
      <c r="W547">
        <v>59</v>
      </c>
      <c r="X547" t="str">
        <f>IF(W547&lt;=75,"Low Demand",IF(W547&lt;=150,"Medium Demand",IF(W547&lt;=225,"High Demand","Very High Demand")))</f>
        <v>Low Demand</v>
      </c>
    </row>
    <row r="548" spans="1:24" x14ac:dyDescent="0.25">
      <c r="A548">
        <v>547</v>
      </c>
      <c r="B548" s="2">
        <v>40567</v>
      </c>
      <c r="C548">
        <v>1</v>
      </c>
      <c r="D548">
        <v>0</v>
      </c>
      <c r="E548">
        <v>1</v>
      </c>
      <c r="F548">
        <v>22</v>
      </c>
      <c r="G548" t="str">
        <f>IF(F548&lt;6,"Night",IF(F548&lt;12,"Morning",IF(F548&lt;18,"Afternoon","Evening")))</f>
        <v>Evening</v>
      </c>
      <c r="H548">
        <v>0</v>
      </c>
      <c r="I548">
        <v>1</v>
      </c>
      <c r="J548" t="str">
        <f>CHOOSE(I548+1,"Monday","Tuesday","Wednesday","Thursday","Friday","Saturday","Sunday")</f>
        <v>Tuesday</v>
      </c>
      <c r="K548">
        <v>2</v>
      </c>
      <c r="L548" t="str">
        <f>CHOOSE(K548+1,"error","Clear","Misty","Rainy","Severe heater")</f>
        <v>Misty</v>
      </c>
      <c r="M548">
        <v>0.14000000000000001</v>
      </c>
      <c r="N548" t="str">
        <f>IF(M548&lt;=0.2,"Low",IF(M548&lt;=0.4,"Mid","High"))</f>
        <v>Low</v>
      </c>
      <c r="O548">
        <v>0.13639999999999999</v>
      </c>
      <c r="P548" t="str">
        <f>IF(O548&lt;=0.15,"Very Cold",IF(O548&lt;=0.3,"Cold",IF(O548&lt;=0.45,"Pleasant","Hot")))</f>
        <v>Very Cold</v>
      </c>
      <c r="Q548">
        <v>0.63</v>
      </c>
      <c r="R548" t="str">
        <f>IF(Q548&lt;=0.25,"Low ",IF(Q548&lt;=0.5,"Moderate ",IF(Q548&lt;=0.75,"High ","Very High ")))</f>
        <v xml:space="preserve">High </v>
      </c>
      <c r="S548">
        <v>0.22389999999999999</v>
      </c>
      <c r="T548" t="str">
        <f>IF(S548&lt;=0.15,"Calm",IF(S548&lt;=0.3,"Light Wind",IF(S548&lt;=0.45,"Moderate Wind","Strong Wind")))</f>
        <v>Light Wind</v>
      </c>
      <c r="U548">
        <v>3</v>
      </c>
      <c r="V548">
        <v>32</v>
      </c>
      <c r="W548">
        <v>35</v>
      </c>
      <c r="X548" t="str">
        <f>IF(W548&lt;=75,"Low Demand",IF(W548&lt;=150,"Medium Demand",IF(W548&lt;=225,"High Demand","Very High Demand")))</f>
        <v>Low Demand</v>
      </c>
    </row>
    <row r="549" spans="1:24" x14ac:dyDescent="0.25">
      <c r="A549">
        <v>548</v>
      </c>
      <c r="B549" s="2">
        <v>40567</v>
      </c>
      <c r="C549">
        <v>1</v>
      </c>
      <c r="D549">
        <v>0</v>
      </c>
      <c r="E549">
        <v>1</v>
      </c>
      <c r="F549">
        <v>23</v>
      </c>
      <c r="G549" t="str">
        <f>IF(F549&lt;6,"Night",IF(F549&lt;12,"Morning",IF(F549&lt;18,"Afternoon","Evening")))</f>
        <v>Evening</v>
      </c>
      <c r="H549">
        <v>0</v>
      </c>
      <c r="I549">
        <v>1</v>
      </c>
      <c r="J549" t="str">
        <f>CHOOSE(I549+1,"Monday","Tuesday","Wednesday","Thursday","Friday","Saturday","Sunday")</f>
        <v>Tuesday</v>
      </c>
      <c r="K549">
        <v>2</v>
      </c>
      <c r="L549" t="str">
        <f>CHOOSE(K549+1,"error","Clear","Misty","Rainy","Severe heater")</f>
        <v>Misty</v>
      </c>
      <c r="M549">
        <v>0.16</v>
      </c>
      <c r="N549" t="str">
        <f>IF(M549&lt;=0.2,"Low",IF(M549&lt;=0.4,"Mid","High"))</f>
        <v>Low</v>
      </c>
      <c r="O549">
        <v>0.1515</v>
      </c>
      <c r="P549" t="str">
        <f>IF(O549&lt;=0.15,"Very Cold",IF(O549&lt;=0.3,"Cold",IF(O549&lt;=0.45,"Pleasant","Hot")))</f>
        <v>Cold</v>
      </c>
      <c r="Q549">
        <v>0.64</v>
      </c>
      <c r="R549" t="str">
        <f>IF(Q549&lt;=0.25,"Low ",IF(Q549&lt;=0.5,"Moderate ",IF(Q549&lt;=0.75,"High ","Very High ")))</f>
        <v xml:space="preserve">High </v>
      </c>
      <c r="S549">
        <v>0.25369999999999998</v>
      </c>
      <c r="T549" t="str">
        <f>IF(S549&lt;=0.15,"Calm",IF(S549&lt;=0.3,"Light Wind",IF(S549&lt;=0.45,"Moderate Wind","Strong Wind")))</f>
        <v>Light Wind</v>
      </c>
      <c r="U549">
        <v>3</v>
      </c>
      <c r="V549">
        <v>21</v>
      </c>
      <c r="W549">
        <v>24</v>
      </c>
      <c r="X549" t="str">
        <f>IF(W549&lt;=75,"Low Demand",IF(W549&lt;=150,"Medium Demand",IF(W549&lt;=225,"High Demand","Very High Demand")))</f>
        <v>Low Demand</v>
      </c>
    </row>
    <row r="550" spans="1:24" x14ac:dyDescent="0.25">
      <c r="A550">
        <v>549</v>
      </c>
      <c r="B550" s="2">
        <v>40568</v>
      </c>
      <c r="C550">
        <v>1</v>
      </c>
      <c r="D550">
        <v>0</v>
      </c>
      <c r="E550">
        <v>1</v>
      </c>
      <c r="F550">
        <v>0</v>
      </c>
      <c r="G550" t="str">
        <f>IF(F550&lt;6,"Night",IF(F550&lt;12,"Morning",IF(F550&lt;18,"Afternoon","Evening")))</f>
        <v>Night</v>
      </c>
      <c r="H550">
        <v>0</v>
      </c>
      <c r="I550">
        <v>2</v>
      </c>
      <c r="J550" t="str">
        <f>CHOOSE(I550+1,"Monday","Tuesday","Wednesday","Thursday","Friday","Saturday","Sunday")</f>
        <v>Wednesday</v>
      </c>
      <c r="K550">
        <v>2</v>
      </c>
      <c r="L550" t="str">
        <f>CHOOSE(K550+1,"error","Clear","Misty","Rainy","Severe heater")</f>
        <v>Misty</v>
      </c>
      <c r="M550">
        <v>0.16</v>
      </c>
      <c r="N550" t="str">
        <f>IF(M550&lt;=0.2,"Low",IF(M550&lt;=0.4,"Mid","High"))</f>
        <v>Low</v>
      </c>
      <c r="O550">
        <v>0.13639999999999999</v>
      </c>
      <c r="P550" t="str">
        <f>IF(O550&lt;=0.15,"Very Cold",IF(O550&lt;=0.3,"Cold",IF(O550&lt;=0.45,"Pleasant","Hot")))</f>
        <v>Very Cold</v>
      </c>
      <c r="Q550">
        <v>0.69</v>
      </c>
      <c r="R550" t="str">
        <f>IF(Q550&lt;=0.25,"Low ",IF(Q550&lt;=0.5,"Moderate ",IF(Q550&lt;=0.75,"High ","Very High ")))</f>
        <v xml:space="preserve">High </v>
      </c>
      <c r="S550">
        <v>0.28360000000000002</v>
      </c>
      <c r="T550" t="str">
        <f>IF(S550&lt;=0.15,"Calm",IF(S550&lt;=0.3,"Light Wind",IF(S550&lt;=0.45,"Moderate Wind","Strong Wind")))</f>
        <v>Light Wind</v>
      </c>
      <c r="U550">
        <v>3</v>
      </c>
      <c r="V550">
        <v>6</v>
      </c>
      <c r="W550">
        <v>9</v>
      </c>
      <c r="X550" t="str">
        <f>IF(W550&lt;=75,"Low Demand",IF(W550&lt;=150,"Medium Demand",IF(W550&lt;=225,"High Demand","Very High Demand")))</f>
        <v>Low Demand</v>
      </c>
    </row>
    <row r="551" spans="1:24" x14ac:dyDescent="0.25">
      <c r="A551">
        <v>550</v>
      </c>
      <c r="B551" s="2">
        <v>40568</v>
      </c>
      <c r="C551">
        <v>1</v>
      </c>
      <c r="D551">
        <v>0</v>
      </c>
      <c r="E551">
        <v>1</v>
      </c>
      <c r="F551">
        <v>1</v>
      </c>
      <c r="G551" t="str">
        <f>IF(F551&lt;6,"Night",IF(F551&lt;12,"Morning",IF(F551&lt;18,"Afternoon","Evening")))</f>
        <v>Night</v>
      </c>
      <c r="H551">
        <v>0</v>
      </c>
      <c r="I551">
        <v>2</v>
      </c>
      <c r="J551" t="str">
        <f>CHOOSE(I551+1,"Monday","Tuesday","Wednesday","Thursday","Friday","Saturday","Sunday")</f>
        <v>Wednesday</v>
      </c>
      <c r="K551">
        <v>2</v>
      </c>
      <c r="L551" t="str">
        <f>CHOOSE(K551+1,"error","Clear","Misty","Rainy","Severe heater")</f>
        <v>Misty</v>
      </c>
      <c r="M551">
        <v>0.16</v>
      </c>
      <c r="N551" t="str">
        <f>IF(M551&lt;=0.2,"Low",IF(M551&lt;=0.4,"Mid","High"))</f>
        <v>Low</v>
      </c>
      <c r="O551">
        <v>0.16669999999999999</v>
      </c>
      <c r="P551" t="str">
        <f>IF(O551&lt;=0.15,"Very Cold",IF(O551&lt;=0.3,"Cold",IF(O551&lt;=0.45,"Pleasant","Hot")))</f>
        <v>Cold</v>
      </c>
      <c r="Q551">
        <v>0.69</v>
      </c>
      <c r="R551" t="str">
        <f>IF(Q551&lt;=0.25,"Low ",IF(Q551&lt;=0.5,"Moderate ",IF(Q551&lt;=0.75,"High ","Very High ")))</f>
        <v xml:space="preserve">High </v>
      </c>
      <c r="S551">
        <v>0.16420000000000001</v>
      </c>
      <c r="T551" t="str">
        <f>IF(S551&lt;=0.15,"Calm",IF(S551&lt;=0.3,"Light Wind",IF(S551&lt;=0.45,"Moderate Wind","Strong Wind")))</f>
        <v>Light Wind</v>
      </c>
      <c r="U551">
        <v>0</v>
      </c>
      <c r="V551">
        <v>5</v>
      </c>
      <c r="W551">
        <v>5</v>
      </c>
      <c r="X551" t="str">
        <f>IF(W551&lt;=75,"Low Demand",IF(W551&lt;=150,"Medium Demand",IF(W551&lt;=225,"High Demand","Very High Demand")))</f>
        <v>Low Demand</v>
      </c>
    </row>
    <row r="552" spans="1:24" x14ac:dyDescent="0.25">
      <c r="A552">
        <v>551</v>
      </c>
      <c r="B552" s="2">
        <v>40568</v>
      </c>
      <c r="C552">
        <v>1</v>
      </c>
      <c r="D552">
        <v>0</v>
      </c>
      <c r="E552">
        <v>1</v>
      </c>
      <c r="F552">
        <v>2</v>
      </c>
      <c r="G552" t="str">
        <f>IF(F552&lt;6,"Night",IF(F552&lt;12,"Morning",IF(F552&lt;18,"Afternoon","Evening")))</f>
        <v>Night</v>
      </c>
      <c r="H552">
        <v>0</v>
      </c>
      <c r="I552">
        <v>2</v>
      </c>
      <c r="J552" t="str">
        <f>CHOOSE(I552+1,"Monday","Tuesday","Wednesday","Thursday","Friday","Saturday","Sunday")</f>
        <v>Wednesday</v>
      </c>
      <c r="K552">
        <v>1</v>
      </c>
      <c r="L552" t="str">
        <f>CHOOSE(K552+1,"error","Clear","Misty","Rainy","Severe heater")</f>
        <v>Clear</v>
      </c>
      <c r="M552">
        <v>0.16</v>
      </c>
      <c r="N552" t="str">
        <f>IF(M552&lt;=0.2,"Low",IF(M552&lt;=0.4,"Mid","High"))</f>
        <v>Low</v>
      </c>
      <c r="O552">
        <v>0.1515</v>
      </c>
      <c r="P552" t="str">
        <f>IF(O552&lt;=0.15,"Very Cold",IF(O552&lt;=0.3,"Cold",IF(O552&lt;=0.45,"Pleasant","Hot")))</f>
        <v>Cold</v>
      </c>
      <c r="Q552">
        <v>0.69</v>
      </c>
      <c r="R552" t="str">
        <f>IF(Q552&lt;=0.25,"Low ",IF(Q552&lt;=0.5,"Moderate ",IF(Q552&lt;=0.75,"High ","Very High ")))</f>
        <v xml:space="preserve">High </v>
      </c>
      <c r="S552">
        <v>0.22389999999999999</v>
      </c>
      <c r="T552" t="str">
        <f>IF(S552&lt;=0.15,"Calm",IF(S552&lt;=0.3,"Light Wind",IF(S552&lt;=0.45,"Moderate Wind","Strong Wind")))</f>
        <v>Light Wind</v>
      </c>
      <c r="U552">
        <v>0</v>
      </c>
      <c r="V552">
        <v>2</v>
      </c>
      <c r="W552">
        <v>2</v>
      </c>
      <c r="X552" t="str">
        <f>IF(W552&lt;=75,"Low Demand",IF(W552&lt;=150,"Medium Demand",IF(W552&lt;=225,"High Demand","Very High Demand")))</f>
        <v>Low Demand</v>
      </c>
    </row>
    <row r="553" spans="1:24" x14ac:dyDescent="0.25">
      <c r="A553">
        <v>552</v>
      </c>
      <c r="B553" s="2">
        <v>40568</v>
      </c>
      <c r="C553">
        <v>1</v>
      </c>
      <c r="D553">
        <v>0</v>
      </c>
      <c r="E553">
        <v>1</v>
      </c>
      <c r="F553">
        <v>4</v>
      </c>
      <c r="G553" t="str">
        <f>IF(F553&lt;6,"Night",IF(F553&lt;12,"Morning",IF(F553&lt;18,"Afternoon","Evening")))</f>
        <v>Night</v>
      </c>
      <c r="H553">
        <v>0</v>
      </c>
      <c r="I553">
        <v>2</v>
      </c>
      <c r="J553" t="str">
        <f>CHOOSE(I553+1,"Monday","Tuesday","Wednesday","Thursday","Friday","Saturday","Sunday")</f>
        <v>Wednesday</v>
      </c>
      <c r="K553">
        <v>1</v>
      </c>
      <c r="L553" t="str">
        <f>CHOOSE(K553+1,"error","Clear","Misty","Rainy","Severe heater")</f>
        <v>Clear</v>
      </c>
      <c r="M553">
        <v>0.14000000000000001</v>
      </c>
      <c r="N553" t="str">
        <f>IF(M553&lt;=0.2,"Low",IF(M553&lt;=0.4,"Mid","High"))</f>
        <v>Low</v>
      </c>
      <c r="O553">
        <v>0.16669999999999999</v>
      </c>
      <c r="P553" t="str">
        <f>IF(O553&lt;=0.15,"Very Cold",IF(O553&lt;=0.3,"Cold",IF(O553&lt;=0.45,"Pleasant","Hot")))</f>
        <v>Cold</v>
      </c>
      <c r="Q553">
        <v>0.74</v>
      </c>
      <c r="R553" t="str">
        <f>IF(Q553&lt;=0.25,"Low ",IF(Q553&lt;=0.5,"Moderate ",IF(Q553&lt;=0.75,"High ","Very High ")))</f>
        <v xml:space="preserve">High </v>
      </c>
      <c r="S553">
        <v>0.1045</v>
      </c>
      <c r="T553" t="str">
        <f>IF(S553&lt;=0.15,"Calm",IF(S553&lt;=0.3,"Light Wind",IF(S553&lt;=0.45,"Moderate Wind","Strong Wind")))</f>
        <v>Calm</v>
      </c>
      <c r="U553">
        <v>0</v>
      </c>
      <c r="V553">
        <v>1</v>
      </c>
      <c r="W553">
        <v>1</v>
      </c>
      <c r="X553" t="str">
        <f>IF(W553&lt;=75,"Low Demand",IF(W553&lt;=150,"Medium Demand",IF(W553&lt;=225,"High Demand","Very High Demand")))</f>
        <v>Low Demand</v>
      </c>
    </row>
    <row r="554" spans="1:24" x14ac:dyDescent="0.25">
      <c r="A554">
        <v>553</v>
      </c>
      <c r="B554" s="2">
        <v>40568</v>
      </c>
      <c r="C554">
        <v>1</v>
      </c>
      <c r="D554">
        <v>0</v>
      </c>
      <c r="E554">
        <v>1</v>
      </c>
      <c r="F554">
        <v>5</v>
      </c>
      <c r="G554" t="str">
        <f>IF(F554&lt;6,"Night",IF(F554&lt;12,"Morning",IF(F554&lt;18,"Afternoon","Evening")))</f>
        <v>Night</v>
      </c>
      <c r="H554">
        <v>0</v>
      </c>
      <c r="I554">
        <v>2</v>
      </c>
      <c r="J554" t="str">
        <f>CHOOSE(I554+1,"Monday","Tuesday","Wednesday","Thursday","Friday","Saturday","Sunday")</f>
        <v>Wednesday</v>
      </c>
      <c r="K554">
        <v>1</v>
      </c>
      <c r="L554" t="str">
        <f>CHOOSE(K554+1,"error","Clear","Misty","Rainy","Severe heater")</f>
        <v>Clear</v>
      </c>
      <c r="M554">
        <v>0.14000000000000001</v>
      </c>
      <c r="N554" t="str">
        <f>IF(M554&lt;=0.2,"Low",IF(M554&lt;=0.4,"Mid","High"))</f>
        <v>Low</v>
      </c>
      <c r="O554">
        <v>0.13639999999999999</v>
      </c>
      <c r="P554" t="str">
        <f>IF(O554&lt;=0.15,"Very Cold",IF(O554&lt;=0.3,"Cold",IF(O554&lt;=0.45,"Pleasant","Hot")))</f>
        <v>Very Cold</v>
      </c>
      <c r="Q554">
        <v>0.74</v>
      </c>
      <c r="R554" t="str">
        <f>IF(Q554&lt;=0.25,"Low ",IF(Q554&lt;=0.5,"Moderate ",IF(Q554&lt;=0.75,"High ","Very High ")))</f>
        <v xml:space="preserve">High </v>
      </c>
      <c r="S554">
        <v>0.22389999999999999</v>
      </c>
      <c r="T554" t="str">
        <f>IF(S554&lt;=0.15,"Calm",IF(S554&lt;=0.3,"Light Wind",IF(S554&lt;=0.45,"Moderate Wind","Strong Wind")))</f>
        <v>Light Wind</v>
      </c>
      <c r="U554">
        <v>0</v>
      </c>
      <c r="V554">
        <v>9</v>
      </c>
      <c r="W554">
        <v>9</v>
      </c>
      <c r="X554" t="str">
        <f>IF(W554&lt;=75,"Low Demand",IF(W554&lt;=150,"Medium Demand",IF(W554&lt;=225,"High Demand","Very High Demand")))</f>
        <v>Low Demand</v>
      </c>
    </row>
    <row r="555" spans="1:24" x14ac:dyDescent="0.25">
      <c r="A555">
        <v>554</v>
      </c>
      <c r="B555" s="2">
        <v>40568</v>
      </c>
      <c r="C555">
        <v>1</v>
      </c>
      <c r="D555">
        <v>0</v>
      </c>
      <c r="E555">
        <v>1</v>
      </c>
      <c r="F555">
        <v>6</v>
      </c>
      <c r="G555" t="str">
        <f>IF(F555&lt;6,"Night",IF(F555&lt;12,"Morning",IF(F555&lt;18,"Afternoon","Evening")))</f>
        <v>Morning</v>
      </c>
      <c r="H555">
        <v>0</v>
      </c>
      <c r="I555">
        <v>2</v>
      </c>
      <c r="J555" t="str">
        <f>CHOOSE(I555+1,"Monday","Tuesday","Wednesday","Thursday","Friday","Saturday","Sunday")</f>
        <v>Wednesday</v>
      </c>
      <c r="K555">
        <v>1</v>
      </c>
      <c r="L555" t="str">
        <f>CHOOSE(K555+1,"error","Clear","Misty","Rainy","Severe heater")</f>
        <v>Clear</v>
      </c>
      <c r="M555">
        <v>0.16</v>
      </c>
      <c r="N555" t="str">
        <f>IF(M555&lt;=0.2,"Low",IF(M555&lt;=0.4,"Mid","High"))</f>
        <v>Low</v>
      </c>
      <c r="O555">
        <v>0.18179999999999999</v>
      </c>
      <c r="P555" t="str">
        <f>IF(O555&lt;=0.15,"Very Cold",IF(O555&lt;=0.3,"Cold",IF(O555&lt;=0.45,"Pleasant","Hot")))</f>
        <v>Cold</v>
      </c>
      <c r="Q555">
        <v>0.74</v>
      </c>
      <c r="R555" t="str">
        <f>IF(Q555&lt;=0.25,"Low ",IF(Q555&lt;=0.5,"Moderate ",IF(Q555&lt;=0.75,"High ","Very High ")))</f>
        <v xml:space="preserve">High </v>
      </c>
      <c r="S555">
        <v>0.1045</v>
      </c>
      <c r="T555" t="str">
        <f>IF(S555&lt;=0.15,"Calm",IF(S555&lt;=0.3,"Light Wind",IF(S555&lt;=0.45,"Moderate Wind","Strong Wind")))</f>
        <v>Calm</v>
      </c>
      <c r="U555">
        <v>1</v>
      </c>
      <c r="V555">
        <v>35</v>
      </c>
      <c r="W555">
        <v>36</v>
      </c>
      <c r="X555" t="str">
        <f>IF(W555&lt;=75,"Low Demand",IF(W555&lt;=150,"Medium Demand",IF(W555&lt;=225,"High Demand","Very High Demand")))</f>
        <v>Low Demand</v>
      </c>
    </row>
    <row r="556" spans="1:24" x14ac:dyDescent="0.25">
      <c r="A556">
        <v>555</v>
      </c>
      <c r="B556" s="2">
        <v>40568</v>
      </c>
      <c r="C556">
        <v>1</v>
      </c>
      <c r="D556">
        <v>0</v>
      </c>
      <c r="E556">
        <v>1</v>
      </c>
      <c r="F556">
        <v>7</v>
      </c>
      <c r="G556" t="str">
        <f>IF(F556&lt;6,"Night",IF(F556&lt;12,"Morning",IF(F556&lt;18,"Afternoon","Evening")))</f>
        <v>Morning</v>
      </c>
      <c r="H556">
        <v>0</v>
      </c>
      <c r="I556">
        <v>2</v>
      </c>
      <c r="J556" t="str">
        <f>CHOOSE(I556+1,"Monday","Tuesday","Wednesday","Thursday","Friday","Saturday","Sunday")</f>
        <v>Wednesday</v>
      </c>
      <c r="K556">
        <v>1</v>
      </c>
      <c r="L556" t="str">
        <f>CHOOSE(K556+1,"error","Clear","Misty","Rainy","Severe heater")</f>
        <v>Clear</v>
      </c>
      <c r="M556">
        <v>0.16</v>
      </c>
      <c r="N556" t="str">
        <f>IF(M556&lt;=0.2,"Low",IF(M556&lt;=0.4,"Mid","High"))</f>
        <v>Low</v>
      </c>
      <c r="O556">
        <v>0.1515</v>
      </c>
      <c r="P556" t="str">
        <f>IF(O556&lt;=0.15,"Very Cold",IF(O556&lt;=0.3,"Cold",IF(O556&lt;=0.45,"Pleasant","Hot")))</f>
        <v>Cold</v>
      </c>
      <c r="Q556">
        <v>0.74</v>
      </c>
      <c r="R556" t="str">
        <f>IF(Q556&lt;=0.25,"Low ",IF(Q556&lt;=0.5,"Moderate ",IF(Q556&lt;=0.75,"High ","Very High ")))</f>
        <v xml:space="preserve">High </v>
      </c>
      <c r="S556">
        <v>0.22389999999999999</v>
      </c>
      <c r="T556" t="str">
        <f>IF(S556&lt;=0.15,"Calm",IF(S556&lt;=0.3,"Light Wind",IF(S556&lt;=0.45,"Moderate Wind","Strong Wind")))</f>
        <v>Light Wind</v>
      </c>
      <c r="U556">
        <v>5</v>
      </c>
      <c r="V556">
        <v>103</v>
      </c>
      <c r="W556">
        <v>108</v>
      </c>
      <c r="X556" t="str">
        <f>IF(W556&lt;=75,"Low Demand",IF(W556&lt;=150,"Medium Demand",IF(W556&lt;=225,"High Demand","Very High Demand")))</f>
        <v>Medium Demand</v>
      </c>
    </row>
    <row r="557" spans="1:24" x14ac:dyDescent="0.25">
      <c r="A557">
        <v>556</v>
      </c>
      <c r="B557" s="2">
        <v>40568</v>
      </c>
      <c r="C557">
        <v>1</v>
      </c>
      <c r="D557">
        <v>0</v>
      </c>
      <c r="E557">
        <v>1</v>
      </c>
      <c r="F557">
        <v>8</v>
      </c>
      <c r="G557" t="str">
        <f>IF(F557&lt;6,"Night",IF(F557&lt;12,"Morning",IF(F557&lt;18,"Afternoon","Evening")))</f>
        <v>Morning</v>
      </c>
      <c r="H557">
        <v>0</v>
      </c>
      <c r="I557">
        <v>2</v>
      </c>
      <c r="J557" t="str">
        <f>CHOOSE(I557+1,"Monday","Tuesday","Wednesday","Thursday","Friday","Saturday","Sunday")</f>
        <v>Wednesday</v>
      </c>
      <c r="K557">
        <v>2</v>
      </c>
      <c r="L557" t="str">
        <f>CHOOSE(K557+1,"error","Clear","Misty","Rainy","Severe heater")</f>
        <v>Misty</v>
      </c>
      <c r="M557">
        <v>0.16</v>
      </c>
      <c r="N557" t="str">
        <f>IF(M557&lt;=0.2,"Low",IF(M557&lt;=0.4,"Mid","High"))</f>
        <v>Low</v>
      </c>
      <c r="O557">
        <v>0.18179999999999999</v>
      </c>
      <c r="P557" t="str">
        <f>IF(O557&lt;=0.15,"Very Cold",IF(O557&lt;=0.3,"Cold",IF(O557&lt;=0.45,"Pleasant","Hot")))</f>
        <v>Cold</v>
      </c>
      <c r="Q557">
        <v>0.74</v>
      </c>
      <c r="R557" t="str">
        <f>IF(Q557&lt;=0.25,"Low ",IF(Q557&lt;=0.5,"Moderate ",IF(Q557&lt;=0.75,"High ","Very High ")))</f>
        <v xml:space="preserve">High </v>
      </c>
      <c r="S557">
        <v>0.1343</v>
      </c>
      <c r="T557" t="str">
        <f>IF(S557&lt;=0.15,"Calm",IF(S557&lt;=0.3,"Light Wind",IF(S557&lt;=0.45,"Moderate Wind","Strong Wind")))</f>
        <v>Calm</v>
      </c>
      <c r="U557">
        <v>5</v>
      </c>
      <c r="V557">
        <v>233</v>
      </c>
      <c r="W557">
        <v>238</v>
      </c>
      <c r="X557" t="str">
        <f>IF(W557&lt;=75,"Low Demand",IF(W557&lt;=150,"Medium Demand",IF(W557&lt;=225,"High Demand","Very High Demand")))</f>
        <v>Very High Demand</v>
      </c>
    </row>
    <row r="558" spans="1:24" x14ac:dyDescent="0.25">
      <c r="A558">
        <v>557</v>
      </c>
      <c r="B558" s="2">
        <v>40568</v>
      </c>
      <c r="C558">
        <v>1</v>
      </c>
      <c r="D558">
        <v>0</v>
      </c>
      <c r="E558">
        <v>1</v>
      </c>
      <c r="F558">
        <v>9</v>
      </c>
      <c r="G558" t="str">
        <f>IF(F558&lt;6,"Night",IF(F558&lt;12,"Morning",IF(F558&lt;18,"Afternoon","Evening")))</f>
        <v>Morning</v>
      </c>
      <c r="H558">
        <v>0</v>
      </c>
      <c r="I558">
        <v>2</v>
      </c>
      <c r="J558" t="str">
        <f>CHOOSE(I558+1,"Monday","Tuesday","Wednesday","Thursday","Friday","Saturday","Sunday")</f>
        <v>Wednesday</v>
      </c>
      <c r="K558">
        <v>2</v>
      </c>
      <c r="L558" t="str">
        <f>CHOOSE(K558+1,"error","Clear","Misty","Rainy","Severe heater")</f>
        <v>Misty</v>
      </c>
      <c r="M558">
        <v>0.2</v>
      </c>
      <c r="N558" t="str">
        <f>IF(M558&lt;=0.2,"Low",IF(M558&lt;=0.4,"Mid","High"))</f>
        <v>Low</v>
      </c>
      <c r="O558">
        <v>0.2273</v>
      </c>
      <c r="P558" t="str">
        <f>IF(O558&lt;=0.15,"Very Cold",IF(O558&lt;=0.3,"Cold",IF(O558&lt;=0.45,"Pleasant","Hot")))</f>
        <v>Cold</v>
      </c>
      <c r="Q558">
        <v>0.64</v>
      </c>
      <c r="R558" t="str">
        <f>IF(Q558&lt;=0.25,"Low ",IF(Q558&lt;=0.5,"Moderate ",IF(Q558&lt;=0.75,"High ","Very High ")))</f>
        <v xml:space="preserve">High </v>
      </c>
      <c r="S558">
        <v>8.9599999999999999E-2</v>
      </c>
      <c r="T558" t="str">
        <f>IF(S558&lt;=0.15,"Calm",IF(S558&lt;=0.3,"Light Wind",IF(S558&lt;=0.45,"Moderate Wind","Strong Wind")))</f>
        <v>Calm</v>
      </c>
      <c r="U558">
        <v>10</v>
      </c>
      <c r="V558">
        <v>134</v>
      </c>
      <c r="W558">
        <v>144</v>
      </c>
      <c r="X558" t="str">
        <f>IF(W558&lt;=75,"Low Demand",IF(W558&lt;=150,"Medium Demand",IF(W558&lt;=225,"High Demand","Very High Demand")))</f>
        <v>Medium Demand</v>
      </c>
    </row>
    <row r="559" spans="1:24" x14ac:dyDescent="0.25">
      <c r="A559">
        <v>558</v>
      </c>
      <c r="B559" s="2">
        <v>40568</v>
      </c>
      <c r="C559">
        <v>1</v>
      </c>
      <c r="D559">
        <v>0</v>
      </c>
      <c r="E559">
        <v>1</v>
      </c>
      <c r="F559">
        <v>10</v>
      </c>
      <c r="G559" t="str">
        <f>IF(F559&lt;6,"Night",IF(F559&lt;12,"Morning",IF(F559&lt;18,"Afternoon","Evening")))</f>
        <v>Morning</v>
      </c>
      <c r="H559">
        <v>0</v>
      </c>
      <c r="I559">
        <v>2</v>
      </c>
      <c r="J559" t="str">
        <f>CHOOSE(I559+1,"Monday","Tuesday","Wednesday","Thursday","Friday","Saturday","Sunday")</f>
        <v>Wednesday</v>
      </c>
      <c r="K559">
        <v>2</v>
      </c>
      <c r="L559" t="str">
        <f>CHOOSE(K559+1,"error","Clear","Misty","Rainy","Severe heater")</f>
        <v>Misty</v>
      </c>
      <c r="M559">
        <v>0.22</v>
      </c>
      <c r="N559" t="str">
        <f>IF(M559&lt;=0.2,"Low",IF(M559&lt;=0.4,"Mid","High"))</f>
        <v>Mid</v>
      </c>
      <c r="O559">
        <v>0.2424</v>
      </c>
      <c r="P559" t="str">
        <f>IF(O559&lt;=0.15,"Very Cold",IF(O559&lt;=0.3,"Cold",IF(O559&lt;=0.45,"Pleasant","Hot")))</f>
        <v>Cold</v>
      </c>
      <c r="Q559">
        <v>0.6</v>
      </c>
      <c r="R559" t="str">
        <f>IF(Q559&lt;=0.25,"Low ",IF(Q559&lt;=0.5,"Moderate ",IF(Q559&lt;=0.75,"High ","Very High ")))</f>
        <v xml:space="preserve">High </v>
      </c>
      <c r="S559">
        <v>0.1045</v>
      </c>
      <c r="T559" t="str">
        <f>IF(S559&lt;=0.15,"Calm",IF(S559&lt;=0.3,"Light Wind",IF(S559&lt;=0.45,"Moderate Wind","Strong Wind")))</f>
        <v>Calm</v>
      </c>
      <c r="U559">
        <v>6</v>
      </c>
      <c r="V559">
        <v>49</v>
      </c>
      <c r="W559">
        <v>55</v>
      </c>
      <c r="X559" t="str">
        <f>IF(W559&lt;=75,"Low Demand",IF(W559&lt;=150,"Medium Demand",IF(W559&lt;=225,"High Demand","Very High Demand")))</f>
        <v>Low Demand</v>
      </c>
    </row>
    <row r="560" spans="1:24" x14ac:dyDescent="0.25">
      <c r="A560">
        <v>559</v>
      </c>
      <c r="B560" s="2">
        <v>40568</v>
      </c>
      <c r="C560">
        <v>1</v>
      </c>
      <c r="D560">
        <v>0</v>
      </c>
      <c r="E560">
        <v>1</v>
      </c>
      <c r="F560">
        <v>11</v>
      </c>
      <c r="G560" t="str">
        <f>IF(F560&lt;6,"Night",IF(F560&lt;12,"Morning",IF(F560&lt;18,"Afternoon","Evening")))</f>
        <v>Morning</v>
      </c>
      <c r="H560">
        <v>0</v>
      </c>
      <c r="I560">
        <v>2</v>
      </c>
      <c r="J560" t="str">
        <f>CHOOSE(I560+1,"Monday","Tuesday","Wednesday","Thursday","Friday","Saturday","Sunday")</f>
        <v>Wednesday</v>
      </c>
      <c r="K560">
        <v>2</v>
      </c>
      <c r="L560" t="str">
        <f>CHOOSE(K560+1,"error","Clear","Misty","Rainy","Severe heater")</f>
        <v>Misty</v>
      </c>
      <c r="M560">
        <v>0.24</v>
      </c>
      <c r="N560" t="str">
        <f>IF(M560&lt;=0.2,"Low",IF(M560&lt;=0.4,"Mid","High"))</f>
        <v>Mid</v>
      </c>
      <c r="O560">
        <v>0.2424</v>
      </c>
      <c r="P560" t="str">
        <f>IF(O560&lt;=0.15,"Very Cold",IF(O560&lt;=0.3,"Cold",IF(O560&lt;=0.45,"Pleasant","Hot")))</f>
        <v>Cold</v>
      </c>
      <c r="Q560">
        <v>0.6</v>
      </c>
      <c r="R560" t="str">
        <f>IF(Q560&lt;=0.25,"Low ",IF(Q560&lt;=0.5,"Moderate ",IF(Q560&lt;=0.75,"High ","Very High ")))</f>
        <v xml:space="preserve">High </v>
      </c>
      <c r="S560">
        <v>0.1343</v>
      </c>
      <c r="T560" t="str">
        <f>IF(S560&lt;=0.15,"Calm",IF(S560&lt;=0.3,"Light Wind",IF(S560&lt;=0.45,"Moderate Wind","Strong Wind")))</f>
        <v>Calm</v>
      </c>
      <c r="U560">
        <v>6</v>
      </c>
      <c r="V560">
        <v>55</v>
      </c>
      <c r="W560">
        <v>61</v>
      </c>
      <c r="X560" t="str">
        <f>IF(W560&lt;=75,"Low Demand",IF(W560&lt;=150,"Medium Demand",IF(W560&lt;=225,"High Demand","Very High Demand")))</f>
        <v>Low Demand</v>
      </c>
    </row>
    <row r="561" spans="1:24" x14ac:dyDescent="0.25">
      <c r="A561">
        <v>560</v>
      </c>
      <c r="B561" s="2">
        <v>40568</v>
      </c>
      <c r="C561">
        <v>1</v>
      </c>
      <c r="D561">
        <v>0</v>
      </c>
      <c r="E561">
        <v>1</v>
      </c>
      <c r="F561">
        <v>12</v>
      </c>
      <c r="G561" t="str">
        <f>IF(F561&lt;6,"Night",IF(F561&lt;12,"Morning",IF(F561&lt;18,"Afternoon","Evening")))</f>
        <v>Afternoon</v>
      </c>
      <c r="H561">
        <v>0</v>
      </c>
      <c r="I561">
        <v>2</v>
      </c>
      <c r="J561" t="str">
        <f>CHOOSE(I561+1,"Monday","Tuesday","Wednesday","Thursday","Friday","Saturday","Sunday")</f>
        <v>Wednesday</v>
      </c>
      <c r="K561">
        <v>2</v>
      </c>
      <c r="L561" t="str">
        <f>CHOOSE(K561+1,"error","Clear","Misty","Rainy","Severe heater")</f>
        <v>Misty</v>
      </c>
      <c r="M561">
        <v>0.26</v>
      </c>
      <c r="N561" t="str">
        <f>IF(M561&lt;=0.2,"Low",IF(M561&lt;=0.4,"Mid","High"))</f>
        <v>Mid</v>
      </c>
      <c r="O561">
        <v>0.28789999999999999</v>
      </c>
      <c r="P561" t="str">
        <f>IF(O561&lt;=0.15,"Very Cold",IF(O561&lt;=0.3,"Cold",IF(O561&lt;=0.45,"Pleasant","Hot")))</f>
        <v>Cold</v>
      </c>
      <c r="Q561">
        <v>0.56000000000000005</v>
      </c>
      <c r="R561" t="str">
        <f>IF(Q561&lt;=0.25,"Low ",IF(Q561&lt;=0.5,"Moderate ",IF(Q561&lt;=0.75,"High ","Very High ")))</f>
        <v xml:space="preserve">High </v>
      </c>
      <c r="S561">
        <v>8.9599999999999999E-2</v>
      </c>
      <c r="T561" t="str">
        <f>IF(S561&lt;=0.15,"Calm",IF(S561&lt;=0.3,"Light Wind",IF(S561&lt;=0.45,"Moderate Wind","Strong Wind")))</f>
        <v>Calm</v>
      </c>
      <c r="U561">
        <v>21</v>
      </c>
      <c r="V561">
        <v>85</v>
      </c>
      <c r="W561">
        <v>106</v>
      </c>
      <c r="X561" t="str">
        <f>IF(W561&lt;=75,"Low Demand",IF(W561&lt;=150,"Medium Demand",IF(W561&lt;=225,"High Demand","Very High Demand")))</f>
        <v>Medium Demand</v>
      </c>
    </row>
    <row r="562" spans="1:24" x14ac:dyDescent="0.25">
      <c r="A562">
        <v>561</v>
      </c>
      <c r="B562" s="2">
        <v>40568</v>
      </c>
      <c r="C562">
        <v>1</v>
      </c>
      <c r="D562">
        <v>0</v>
      </c>
      <c r="E562">
        <v>1</v>
      </c>
      <c r="F562">
        <v>13</v>
      </c>
      <c r="G562" t="str">
        <f>IF(F562&lt;6,"Night",IF(F562&lt;12,"Morning",IF(F562&lt;18,"Afternoon","Evening")))</f>
        <v>Afternoon</v>
      </c>
      <c r="H562">
        <v>0</v>
      </c>
      <c r="I562">
        <v>2</v>
      </c>
      <c r="J562" t="str">
        <f>CHOOSE(I562+1,"Monday","Tuesday","Wednesday","Thursday","Friday","Saturday","Sunday")</f>
        <v>Wednesday</v>
      </c>
      <c r="K562">
        <v>2</v>
      </c>
      <c r="L562" t="str">
        <f>CHOOSE(K562+1,"error","Clear","Misty","Rainy","Severe heater")</f>
        <v>Misty</v>
      </c>
      <c r="M562">
        <v>0.26</v>
      </c>
      <c r="N562" t="str">
        <f>IF(M562&lt;=0.2,"Low",IF(M562&lt;=0.4,"Mid","High"))</f>
        <v>Mid</v>
      </c>
      <c r="O562">
        <v>0.2727</v>
      </c>
      <c r="P562" t="str">
        <f>IF(O562&lt;=0.15,"Very Cold",IF(O562&lt;=0.3,"Cold",IF(O562&lt;=0.45,"Pleasant","Hot")))</f>
        <v>Cold</v>
      </c>
      <c r="Q562">
        <v>0.56000000000000005</v>
      </c>
      <c r="R562" t="str">
        <f>IF(Q562&lt;=0.25,"Low ",IF(Q562&lt;=0.5,"Moderate ",IF(Q562&lt;=0.75,"High ","Very High ")))</f>
        <v xml:space="preserve">High </v>
      </c>
      <c r="S562">
        <v>0.1343</v>
      </c>
      <c r="T562" t="str">
        <f>IF(S562&lt;=0.15,"Calm",IF(S562&lt;=0.3,"Light Wind",IF(S562&lt;=0.45,"Moderate Wind","Strong Wind")))</f>
        <v>Calm</v>
      </c>
      <c r="U562">
        <v>21</v>
      </c>
      <c r="V562">
        <v>72</v>
      </c>
      <c r="W562">
        <v>93</v>
      </c>
      <c r="X562" t="str">
        <f>IF(W562&lt;=75,"Low Demand",IF(W562&lt;=150,"Medium Demand",IF(W562&lt;=225,"High Demand","Very High Demand")))</f>
        <v>Medium Demand</v>
      </c>
    </row>
    <row r="563" spans="1:24" x14ac:dyDescent="0.25">
      <c r="A563">
        <v>562</v>
      </c>
      <c r="B563" s="2">
        <v>40568</v>
      </c>
      <c r="C563">
        <v>1</v>
      </c>
      <c r="D563">
        <v>0</v>
      </c>
      <c r="E563">
        <v>1</v>
      </c>
      <c r="F563">
        <v>14</v>
      </c>
      <c r="G563" t="str">
        <f>IF(F563&lt;6,"Night",IF(F563&lt;12,"Morning",IF(F563&lt;18,"Afternoon","Evening")))</f>
        <v>Afternoon</v>
      </c>
      <c r="H563">
        <v>0</v>
      </c>
      <c r="I563">
        <v>2</v>
      </c>
      <c r="J563" t="str">
        <f>CHOOSE(I563+1,"Monday","Tuesday","Wednesday","Thursday","Friday","Saturday","Sunday")</f>
        <v>Wednesday</v>
      </c>
      <c r="K563">
        <v>2</v>
      </c>
      <c r="L563" t="str">
        <f>CHOOSE(K563+1,"error","Clear","Misty","Rainy","Severe heater")</f>
        <v>Misty</v>
      </c>
      <c r="M563">
        <v>0.3</v>
      </c>
      <c r="N563" t="str">
        <f>IF(M563&lt;=0.2,"Low",IF(M563&lt;=0.4,"Mid","High"))</f>
        <v>Mid</v>
      </c>
      <c r="O563">
        <v>0.33329999999999999</v>
      </c>
      <c r="P563" t="str">
        <f>IF(O563&lt;=0.15,"Very Cold",IF(O563&lt;=0.3,"Cold",IF(O563&lt;=0.45,"Pleasant","Hot")))</f>
        <v>Pleasant</v>
      </c>
      <c r="Q563">
        <v>0.45</v>
      </c>
      <c r="R563" t="str">
        <f>IF(Q563&lt;=0.25,"Low ",IF(Q563&lt;=0.5,"Moderate ",IF(Q563&lt;=0.75,"High ","Very High ")))</f>
        <v xml:space="preserve">Moderate </v>
      </c>
      <c r="S563">
        <v>0</v>
      </c>
      <c r="T563" t="str">
        <f>IF(S563&lt;=0.15,"Calm",IF(S563&lt;=0.3,"Light Wind",IF(S563&lt;=0.45,"Moderate Wind","Strong Wind")))</f>
        <v>Calm</v>
      </c>
      <c r="U563">
        <v>11</v>
      </c>
      <c r="V563">
        <v>57</v>
      </c>
      <c r="W563">
        <v>68</v>
      </c>
      <c r="X563" t="str">
        <f>IF(W563&lt;=75,"Low Demand",IF(W563&lt;=150,"Medium Demand",IF(W563&lt;=225,"High Demand","Very High Demand")))</f>
        <v>Low Demand</v>
      </c>
    </row>
    <row r="564" spans="1:24" x14ac:dyDescent="0.25">
      <c r="A564">
        <v>563</v>
      </c>
      <c r="B564" s="2">
        <v>40568</v>
      </c>
      <c r="C564">
        <v>1</v>
      </c>
      <c r="D564">
        <v>0</v>
      </c>
      <c r="E564">
        <v>1</v>
      </c>
      <c r="F564">
        <v>15</v>
      </c>
      <c r="G564" t="str">
        <f>IF(F564&lt;6,"Night",IF(F564&lt;12,"Morning",IF(F564&lt;18,"Afternoon","Evening")))</f>
        <v>Afternoon</v>
      </c>
      <c r="H564">
        <v>0</v>
      </c>
      <c r="I564">
        <v>2</v>
      </c>
      <c r="J564" t="str">
        <f>CHOOSE(I564+1,"Monday","Tuesday","Wednesday","Thursday","Friday","Saturday","Sunday")</f>
        <v>Wednesday</v>
      </c>
      <c r="K564">
        <v>2</v>
      </c>
      <c r="L564" t="str">
        <f>CHOOSE(K564+1,"error","Clear","Misty","Rainy","Severe heater")</f>
        <v>Misty</v>
      </c>
      <c r="M564">
        <v>0.32</v>
      </c>
      <c r="N564" t="str">
        <f>IF(M564&lt;=0.2,"Low",IF(M564&lt;=0.4,"Mid","High"))</f>
        <v>Mid</v>
      </c>
      <c r="O564">
        <v>0.34849999999999998</v>
      </c>
      <c r="P564" t="str">
        <f>IF(O564&lt;=0.15,"Very Cold",IF(O564&lt;=0.3,"Cold",IF(O564&lt;=0.45,"Pleasant","Hot")))</f>
        <v>Pleasant</v>
      </c>
      <c r="Q564">
        <v>0.42</v>
      </c>
      <c r="R564" t="str">
        <f>IF(Q564&lt;=0.25,"Low ",IF(Q564&lt;=0.5,"Moderate ",IF(Q564&lt;=0.75,"High ","Very High ")))</f>
        <v xml:space="preserve">Moderate </v>
      </c>
      <c r="S564">
        <v>0</v>
      </c>
      <c r="T564" t="str">
        <f>IF(S564&lt;=0.15,"Calm",IF(S564&lt;=0.3,"Light Wind",IF(S564&lt;=0.45,"Moderate Wind","Strong Wind")))</f>
        <v>Calm</v>
      </c>
      <c r="U564">
        <v>21</v>
      </c>
      <c r="V564">
        <v>63</v>
      </c>
      <c r="W564">
        <v>84</v>
      </c>
      <c r="X564" t="str">
        <f>IF(W564&lt;=75,"Low Demand",IF(W564&lt;=150,"Medium Demand",IF(W564&lt;=225,"High Demand","Very High Demand")))</f>
        <v>Medium Demand</v>
      </c>
    </row>
    <row r="565" spans="1:24" x14ac:dyDescent="0.25">
      <c r="A565">
        <v>564</v>
      </c>
      <c r="B565" s="2">
        <v>40568</v>
      </c>
      <c r="C565">
        <v>1</v>
      </c>
      <c r="D565">
        <v>0</v>
      </c>
      <c r="E565">
        <v>1</v>
      </c>
      <c r="F565">
        <v>16</v>
      </c>
      <c r="G565" t="str">
        <f>IF(F565&lt;6,"Night",IF(F565&lt;12,"Morning",IF(F565&lt;18,"Afternoon","Evening")))</f>
        <v>Afternoon</v>
      </c>
      <c r="H565">
        <v>0</v>
      </c>
      <c r="I565">
        <v>2</v>
      </c>
      <c r="J565" t="str">
        <f>CHOOSE(I565+1,"Monday","Tuesday","Wednesday","Thursday","Friday","Saturday","Sunday")</f>
        <v>Wednesday</v>
      </c>
      <c r="K565">
        <v>2</v>
      </c>
      <c r="L565" t="str">
        <f>CHOOSE(K565+1,"error","Clear","Misty","Rainy","Severe heater")</f>
        <v>Misty</v>
      </c>
      <c r="M565">
        <v>0.32</v>
      </c>
      <c r="N565" t="str">
        <f>IF(M565&lt;=0.2,"Low",IF(M565&lt;=0.4,"Mid","High"))</f>
        <v>Mid</v>
      </c>
      <c r="O565">
        <v>0.34849999999999998</v>
      </c>
      <c r="P565" t="str">
        <f>IF(O565&lt;=0.15,"Very Cold",IF(O565&lt;=0.3,"Cold",IF(O565&lt;=0.45,"Pleasant","Hot")))</f>
        <v>Pleasant</v>
      </c>
      <c r="Q565">
        <v>0.42</v>
      </c>
      <c r="R565" t="str">
        <f>IF(Q565&lt;=0.25,"Low ",IF(Q565&lt;=0.5,"Moderate ",IF(Q565&lt;=0.75,"High ","Very High ")))</f>
        <v xml:space="preserve">Moderate </v>
      </c>
      <c r="S565">
        <v>0</v>
      </c>
      <c r="T565" t="str">
        <f>IF(S565&lt;=0.15,"Calm",IF(S565&lt;=0.3,"Light Wind",IF(S565&lt;=0.45,"Moderate Wind","Strong Wind")))</f>
        <v>Calm</v>
      </c>
      <c r="U565">
        <v>14</v>
      </c>
      <c r="V565">
        <v>102</v>
      </c>
      <c r="W565">
        <v>116</v>
      </c>
      <c r="X565" t="str">
        <f>IF(W565&lt;=75,"Low Demand",IF(W565&lt;=150,"Medium Demand",IF(W565&lt;=225,"High Demand","Very High Demand")))</f>
        <v>Medium Demand</v>
      </c>
    </row>
    <row r="566" spans="1:24" x14ac:dyDescent="0.25">
      <c r="A566">
        <v>565</v>
      </c>
      <c r="B566" s="2">
        <v>40568</v>
      </c>
      <c r="C566">
        <v>1</v>
      </c>
      <c r="D566">
        <v>0</v>
      </c>
      <c r="E566">
        <v>1</v>
      </c>
      <c r="F566">
        <v>17</v>
      </c>
      <c r="G566" t="str">
        <f>IF(F566&lt;6,"Night",IF(F566&lt;12,"Morning",IF(F566&lt;18,"Afternoon","Evening")))</f>
        <v>Afternoon</v>
      </c>
      <c r="H566">
        <v>0</v>
      </c>
      <c r="I566">
        <v>2</v>
      </c>
      <c r="J566" t="str">
        <f>CHOOSE(I566+1,"Monday","Tuesday","Wednesday","Thursday","Friday","Saturday","Sunday")</f>
        <v>Wednesday</v>
      </c>
      <c r="K566">
        <v>1</v>
      </c>
      <c r="L566" t="str">
        <f>CHOOSE(K566+1,"error","Clear","Misty","Rainy","Severe heater")</f>
        <v>Clear</v>
      </c>
      <c r="M566">
        <v>0.3</v>
      </c>
      <c r="N566" t="str">
        <f>IF(M566&lt;=0.2,"Low",IF(M566&lt;=0.4,"Mid","High"))</f>
        <v>Mid</v>
      </c>
      <c r="O566">
        <v>0.33329999999999999</v>
      </c>
      <c r="P566" t="str">
        <f>IF(O566&lt;=0.15,"Very Cold",IF(O566&lt;=0.3,"Cold",IF(O566&lt;=0.45,"Pleasant","Hot")))</f>
        <v>Pleasant</v>
      </c>
      <c r="Q566">
        <v>0.45</v>
      </c>
      <c r="R566" t="str">
        <f>IF(Q566&lt;=0.25,"Low ",IF(Q566&lt;=0.5,"Moderate ",IF(Q566&lt;=0.75,"High ","Very High ")))</f>
        <v xml:space="preserve">Moderate </v>
      </c>
      <c r="S566">
        <v>0</v>
      </c>
      <c r="T566" t="str">
        <f>IF(S566&lt;=0.15,"Calm",IF(S566&lt;=0.3,"Light Wind",IF(S566&lt;=0.45,"Moderate Wind","Strong Wind")))</f>
        <v>Calm</v>
      </c>
      <c r="U566">
        <v>14</v>
      </c>
      <c r="V566">
        <v>208</v>
      </c>
      <c r="W566">
        <v>222</v>
      </c>
      <c r="X566" t="str">
        <f>IF(W566&lt;=75,"Low Demand",IF(W566&lt;=150,"Medium Demand",IF(W566&lt;=225,"High Demand","Very High Demand")))</f>
        <v>High Demand</v>
      </c>
    </row>
    <row r="567" spans="1:24" x14ac:dyDescent="0.25">
      <c r="A567">
        <v>566</v>
      </c>
      <c r="B567" s="2">
        <v>40568</v>
      </c>
      <c r="C567">
        <v>1</v>
      </c>
      <c r="D567">
        <v>0</v>
      </c>
      <c r="E567">
        <v>1</v>
      </c>
      <c r="F567">
        <v>18</v>
      </c>
      <c r="G567" t="str">
        <f>IF(F567&lt;6,"Night",IF(F567&lt;12,"Morning",IF(F567&lt;18,"Afternoon","Evening")))</f>
        <v>Evening</v>
      </c>
      <c r="H567">
        <v>0</v>
      </c>
      <c r="I567">
        <v>2</v>
      </c>
      <c r="J567" t="str">
        <f>CHOOSE(I567+1,"Monday","Tuesday","Wednesday","Thursday","Friday","Saturday","Sunday")</f>
        <v>Wednesday</v>
      </c>
      <c r="K567">
        <v>2</v>
      </c>
      <c r="L567" t="str">
        <f>CHOOSE(K567+1,"error","Clear","Misty","Rainy","Severe heater")</f>
        <v>Misty</v>
      </c>
      <c r="M567">
        <v>0.3</v>
      </c>
      <c r="N567" t="str">
        <f>IF(M567&lt;=0.2,"Low",IF(M567&lt;=0.4,"Mid","High"))</f>
        <v>Mid</v>
      </c>
      <c r="O567">
        <v>0.31819999999999998</v>
      </c>
      <c r="P567" t="str">
        <f>IF(O567&lt;=0.15,"Very Cold",IF(O567&lt;=0.3,"Cold",IF(O567&lt;=0.45,"Pleasant","Hot")))</f>
        <v>Pleasant</v>
      </c>
      <c r="Q567">
        <v>0.49</v>
      </c>
      <c r="R567" t="str">
        <f>IF(Q567&lt;=0.25,"Low ",IF(Q567&lt;=0.5,"Moderate ",IF(Q567&lt;=0.75,"High ","Very High ")))</f>
        <v xml:space="preserve">Moderate </v>
      </c>
      <c r="S567">
        <v>8.9599999999999999E-2</v>
      </c>
      <c r="T567" t="str">
        <f>IF(S567&lt;=0.15,"Calm",IF(S567&lt;=0.3,"Light Wind",IF(S567&lt;=0.45,"Moderate Wind","Strong Wind")))</f>
        <v>Calm</v>
      </c>
      <c r="U567">
        <v>7</v>
      </c>
      <c r="V567">
        <v>218</v>
      </c>
      <c r="W567">
        <v>225</v>
      </c>
      <c r="X567" t="str">
        <f>IF(W567&lt;=75,"Low Demand",IF(W567&lt;=150,"Medium Demand",IF(W567&lt;=225,"High Demand","Very High Demand")))</f>
        <v>High Demand</v>
      </c>
    </row>
    <row r="568" spans="1:24" x14ac:dyDescent="0.25">
      <c r="A568">
        <v>567</v>
      </c>
      <c r="B568" s="2">
        <v>40568</v>
      </c>
      <c r="C568">
        <v>1</v>
      </c>
      <c r="D568">
        <v>0</v>
      </c>
      <c r="E568">
        <v>1</v>
      </c>
      <c r="F568">
        <v>19</v>
      </c>
      <c r="G568" t="str">
        <f>IF(F568&lt;6,"Night",IF(F568&lt;12,"Morning",IF(F568&lt;18,"Afternoon","Evening")))</f>
        <v>Evening</v>
      </c>
      <c r="H568">
        <v>0</v>
      </c>
      <c r="I568">
        <v>2</v>
      </c>
      <c r="J568" t="str">
        <f>CHOOSE(I568+1,"Monday","Tuesday","Wednesday","Thursday","Friday","Saturday","Sunday")</f>
        <v>Wednesday</v>
      </c>
      <c r="K568">
        <v>2</v>
      </c>
      <c r="L568" t="str">
        <f>CHOOSE(K568+1,"error","Clear","Misty","Rainy","Severe heater")</f>
        <v>Misty</v>
      </c>
      <c r="M568">
        <v>0.26</v>
      </c>
      <c r="N568" t="str">
        <f>IF(M568&lt;=0.2,"Low",IF(M568&lt;=0.4,"Mid","High"))</f>
        <v>Mid</v>
      </c>
      <c r="O568">
        <v>0.2576</v>
      </c>
      <c r="P568" t="str">
        <f>IF(O568&lt;=0.15,"Very Cold",IF(O568&lt;=0.3,"Cold",IF(O568&lt;=0.45,"Pleasant","Hot")))</f>
        <v>Cold</v>
      </c>
      <c r="Q568">
        <v>0.65</v>
      </c>
      <c r="R568" t="str">
        <f>IF(Q568&lt;=0.25,"Low ",IF(Q568&lt;=0.5,"Moderate ",IF(Q568&lt;=0.75,"High ","Very High ")))</f>
        <v xml:space="preserve">High </v>
      </c>
      <c r="S568">
        <v>0.16420000000000001</v>
      </c>
      <c r="T568" t="str">
        <f>IF(S568&lt;=0.15,"Calm",IF(S568&lt;=0.3,"Light Wind",IF(S568&lt;=0.45,"Moderate Wind","Strong Wind")))</f>
        <v>Light Wind</v>
      </c>
      <c r="U568">
        <v>13</v>
      </c>
      <c r="V568">
        <v>133</v>
      </c>
      <c r="W568">
        <v>146</v>
      </c>
      <c r="X568" t="str">
        <f>IF(W568&lt;=75,"Low Demand",IF(W568&lt;=150,"Medium Demand",IF(W568&lt;=225,"High Demand","Very High Demand")))</f>
        <v>Medium Demand</v>
      </c>
    </row>
    <row r="569" spans="1:24" x14ac:dyDescent="0.25">
      <c r="A569">
        <v>568</v>
      </c>
      <c r="B569" s="2">
        <v>40568</v>
      </c>
      <c r="C569">
        <v>1</v>
      </c>
      <c r="D569">
        <v>0</v>
      </c>
      <c r="E569">
        <v>1</v>
      </c>
      <c r="F569">
        <v>20</v>
      </c>
      <c r="G569" t="str">
        <f>IF(F569&lt;6,"Night",IF(F569&lt;12,"Morning",IF(F569&lt;18,"Afternoon","Evening")))</f>
        <v>Evening</v>
      </c>
      <c r="H569">
        <v>0</v>
      </c>
      <c r="I569">
        <v>2</v>
      </c>
      <c r="J569" t="str">
        <f>CHOOSE(I569+1,"Monday","Tuesday","Wednesday","Thursday","Friday","Saturday","Sunday")</f>
        <v>Wednesday</v>
      </c>
      <c r="K569">
        <v>1</v>
      </c>
      <c r="L569" t="str">
        <f>CHOOSE(K569+1,"error","Clear","Misty","Rainy","Severe heater")</f>
        <v>Clear</v>
      </c>
      <c r="M569">
        <v>0.24</v>
      </c>
      <c r="N569" t="str">
        <f>IF(M569&lt;=0.2,"Low",IF(M569&lt;=0.4,"Mid","High"))</f>
        <v>Mid</v>
      </c>
      <c r="O569">
        <v>0.2273</v>
      </c>
      <c r="P569" t="str">
        <f>IF(O569&lt;=0.15,"Very Cold",IF(O569&lt;=0.3,"Cold",IF(O569&lt;=0.45,"Pleasant","Hot")))</f>
        <v>Cold</v>
      </c>
      <c r="Q569">
        <v>0.65</v>
      </c>
      <c r="R569" t="str">
        <f>IF(Q569&lt;=0.25,"Low ",IF(Q569&lt;=0.5,"Moderate ",IF(Q569&lt;=0.75,"High ","Very High ")))</f>
        <v xml:space="preserve">High </v>
      </c>
      <c r="S569">
        <v>0.19400000000000001</v>
      </c>
      <c r="T569" t="str">
        <f>IF(S569&lt;=0.15,"Calm",IF(S569&lt;=0.3,"Light Wind",IF(S569&lt;=0.45,"Moderate Wind","Strong Wind")))</f>
        <v>Light Wind</v>
      </c>
      <c r="U569">
        <v>16</v>
      </c>
      <c r="V569">
        <v>103</v>
      </c>
      <c r="W569">
        <v>119</v>
      </c>
      <c r="X569" t="str">
        <f>IF(W569&lt;=75,"Low Demand",IF(W569&lt;=150,"Medium Demand",IF(W569&lt;=225,"High Demand","Very High Demand")))</f>
        <v>Medium Demand</v>
      </c>
    </row>
    <row r="570" spans="1:24" x14ac:dyDescent="0.25">
      <c r="A570">
        <v>569</v>
      </c>
      <c r="B570" s="2">
        <v>40568</v>
      </c>
      <c r="C570">
        <v>1</v>
      </c>
      <c r="D570">
        <v>0</v>
      </c>
      <c r="E570">
        <v>1</v>
      </c>
      <c r="F570">
        <v>21</v>
      </c>
      <c r="G570" t="str">
        <f>IF(F570&lt;6,"Night",IF(F570&lt;12,"Morning",IF(F570&lt;18,"Afternoon","Evening")))</f>
        <v>Evening</v>
      </c>
      <c r="H570">
        <v>0</v>
      </c>
      <c r="I570">
        <v>2</v>
      </c>
      <c r="J570" t="str">
        <f>CHOOSE(I570+1,"Monday","Tuesday","Wednesday","Thursday","Friday","Saturday","Sunday")</f>
        <v>Wednesday</v>
      </c>
      <c r="K570">
        <v>1</v>
      </c>
      <c r="L570" t="str">
        <f>CHOOSE(K570+1,"error","Clear","Misty","Rainy","Severe heater")</f>
        <v>Clear</v>
      </c>
      <c r="M570">
        <v>0.24</v>
      </c>
      <c r="N570" t="str">
        <f>IF(M570&lt;=0.2,"Low",IF(M570&lt;=0.4,"Mid","High"))</f>
        <v>Mid</v>
      </c>
      <c r="O570">
        <v>0.2273</v>
      </c>
      <c r="P570" t="str">
        <f>IF(O570&lt;=0.15,"Very Cold",IF(O570&lt;=0.3,"Cold",IF(O570&lt;=0.45,"Pleasant","Hot")))</f>
        <v>Cold</v>
      </c>
      <c r="Q570">
        <v>0.65</v>
      </c>
      <c r="R570" t="str">
        <f>IF(Q570&lt;=0.25,"Low ",IF(Q570&lt;=0.5,"Moderate ",IF(Q570&lt;=0.75,"High ","Very High ")))</f>
        <v xml:space="preserve">High </v>
      </c>
      <c r="S570">
        <v>0.19400000000000001</v>
      </c>
      <c r="T570" t="str">
        <f>IF(S570&lt;=0.15,"Calm",IF(S570&lt;=0.3,"Light Wind",IF(S570&lt;=0.45,"Moderate Wind","Strong Wind")))</f>
        <v>Light Wind</v>
      </c>
      <c r="U570">
        <v>5</v>
      </c>
      <c r="V570">
        <v>40</v>
      </c>
      <c r="W570">
        <v>45</v>
      </c>
      <c r="X570" t="str">
        <f>IF(W570&lt;=75,"Low Demand",IF(W570&lt;=150,"Medium Demand",IF(W570&lt;=225,"High Demand","Very High Demand")))</f>
        <v>Low Demand</v>
      </c>
    </row>
    <row r="571" spans="1:24" x14ac:dyDescent="0.25">
      <c r="A571">
        <v>570</v>
      </c>
      <c r="B571" s="2">
        <v>40568</v>
      </c>
      <c r="C571">
        <v>1</v>
      </c>
      <c r="D571">
        <v>0</v>
      </c>
      <c r="E571">
        <v>1</v>
      </c>
      <c r="F571">
        <v>22</v>
      </c>
      <c r="G571" t="str">
        <f>IF(F571&lt;6,"Night",IF(F571&lt;12,"Morning",IF(F571&lt;18,"Afternoon","Evening")))</f>
        <v>Evening</v>
      </c>
      <c r="H571">
        <v>0</v>
      </c>
      <c r="I571">
        <v>2</v>
      </c>
      <c r="J571" t="str">
        <f>CHOOSE(I571+1,"Monday","Tuesday","Wednesday","Thursday","Friday","Saturday","Sunday")</f>
        <v>Wednesday</v>
      </c>
      <c r="K571">
        <v>1</v>
      </c>
      <c r="L571" t="str">
        <f>CHOOSE(K571+1,"error","Clear","Misty","Rainy","Severe heater")</f>
        <v>Clear</v>
      </c>
      <c r="M571">
        <v>0.22</v>
      </c>
      <c r="N571" t="str">
        <f>IF(M571&lt;=0.2,"Low",IF(M571&lt;=0.4,"Mid","High"))</f>
        <v>Mid</v>
      </c>
      <c r="O571">
        <v>0.2273</v>
      </c>
      <c r="P571" t="str">
        <f>IF(O571&lt;=0.15,"Very Cold",IF(O571&lt;=0.3,"Cold",IF(O571&lt;=0.45,"Pleasant","Hot")))</f>
        <v>Cold</v>
      </c>
      <c r="Q571">
        <v>0.64</v>
      </c>
      <c r="R571" t="str">
        <f>IF(Q571&lt;=0.25,"Low ",IF(Q571&lt;=0.5,"Moderate ",IF(Q571&lt;=0.75,"High ","Very High ")))</f>
        <v xml:space="preserve">High </v>
      </c>
      <c r="S571">
        <v>0.16420000000000001</v>
      </c>
      <c r="T571" t="str">
        <f>IF(S571&lt;=0.15,"Calm",IF(S571&lt;=0.3,"Light Wind",IF(S571&lt;=0.45,"Moderate Wind","Strong Wind")))</f>
        <v>Light Wind</v>
      </c>
      <c r="U571">
        <v>4</v>
      </c>
      <c r="V571">
        <v>49</v>
      </c>
      <c r="W571">
        <v>53</v>
      </c>
      <c r="X571" t="str">
        <f>IF(W571&lt;=75,"Low Demand",IF(W571&lt;=150,"Medium Demand",IF(W571&lt;=225,"High Demand","Very High Demand")))</f>
        <v>Low Demand</v>
      </c>
    </row>
    <row r="572" spans="1:24" x14ac:dyDescent="0.25">
      <c r="A572">
        <v>571</v>
      </c>
      <c r="B572" s="2">
        <v>40568</v>
      </c>
      <c r="C572">
        <v>1</v>
      </c>
      <c r="D572">
        <v>0</v>
      </c>
      <c r="E572">
        <v>1</v>
      </c>
      <c r="F572">
        <v>23</v>
      </c>
      <c r="G572" t="str">
        <f>IF(F572&lt;6,"Night",IF(F572&lt;12,"Morning",IF(F572&lt;18,"Afternoon","Evening")))</f>
        <v>Evening</v>
      </c>
      <c r="H572">
        <v>0</v>
      </c>
      <c r="I572">
        <v>2</v>
      </c>
      <c r="J572" t="str">
        <f>CHOOSE(I572+1,"Monday","Tuesday","Wednesday","Thursday","Friday","Saturday","Sunday")</f>
        <v>Wednesday</v>
      </c>
      <c r="K572">
        <v>2</v>
      </c>
      <c r="L572" t="str">
        <f>CHOOSE(K572+1,"error","Clear","Misty","Rainy","Severe heater")</f>
        <v>Misty</v>
      </c>
      <c r="M572">
        <v>0.22</v>
      </c>
      <c r="N572" t="str">
        <f>IF(M572&lt;=0.2,"Low",IF(M572&lt;=0.4,"Mid","High"))</f>
        <v>Mid</v>
      </c>
      <c r="O572">
        <v>0.2273</v>
      </c>
      <c r="P572" t="str">
        <f>IF(O572&lt;=0.15,"Very Cold",IF(O572&lt;=0.3,"Cold",IF(O572&lt;=0.45,"Pleasant","Hot")))</f>
        <v>Cold</v>
      </c>
      <c r="Q572">
        <v>0.64</v>
      </c>
      <c r="R572" t="str">
        <f>IF(Q572&lt;=0.25,"Low ",IF(Q572&lt;=0.5,"Moderate ",IF(Q572&lt;=0.75,"High ","Very High ")))</f>
        <v xml:space="preserve">High </v>
      </c>
      <c r="S572">
        <v>0.16420000000000001</v>
      </c>
      <c r="T572" t="str">
        <f>IF(S572&lt;=0.15,"Calm",IF(S572&lt;=0.3,"Light Wind",IF(S572&lt;=0.45,"Moderate Wind","Strong Wind")))</f>
        <v>Light Wind</v>
      </c>
      <c r="U572">
        <v>3</v>
      </c>
      <c r="V572">
        <v>37</v>
      </c>
      <c r="W572">
        <v>40</v>
      </c>
      <c r="X572" t="str">
        <f>IF(W572&lt;=75,"Low Demand",IF(W572&lt;=150,"Medium Demand",IF(W572&lt;=225,"High Demand","Very High Demand")))</f>
        <v>Low Demand</v>
      </c>
    </row>
    <row r="573" spans="1:24" x14ac:dyDescent="0.25">
      <c r="A573">
        <v>572</v>
      </c>
      <c r="B573" s="2">
        <v>40569</v>
      </c>
      <c r="C573">
        <v>1</v>
      </c>
      <c r="D573">
        <v>0</v>
      </c>
      <c r="E573">
        <v>1</v>
      </c>
      <c r="F573">
        <v>0</v>
      </c>
      <c r="G573" t="str">
        <f>IF(F573&lt;6,"Night",IF(F573&lt;12,"Morning",IF(F573&lt;18,"Afternoon","Evening")))</f>
        <v>Night</v>
      </c>
      <c r="H573">
        <v>0</v>
      </c>
      <c r="I573">
        <v>3</v>
      </c>
      <c r="J573" t="str">
        <f>CHOOSE(I573+1,"Monday","Tuesday","Wednesday","Thursday","Friday","Saturday","Sunday")</f>
        <v>Thursday</v>
      </c>
      <c r="K573">
        <v>2</v>
      </c>
      <c r="L573" t="str">
        <f>CHOOSE(K573+1,"error","Clear","Misty","Rainy","Severe heater")</f>
        <v>Misty</v>
      </c>
      <c r="M573">
        <v>0.22</v>
      </c>
      <c r="N573" t="str">
        <f>IF(M573&lt;=0.2,"Low",IF(M573&lt;=0.4,"Mid","High"))</f>
        <v>Mid</v>
      </c>
      <c r="O573">
        <v>0.2273</v>
      </c>
      <c r="P573" t="str">
        <f>IF(O573&lt;=0.15,"Very Cold",IF(O573&lt;=0.3,"Cold",IF(O573&lt;=0.45,"Pleasant","Hot")))</f>
        <v>Cold</v>
      </c>
      <c r="Q573">
        <v>0.69</v>
      </c>
      <c r="R573" t="str">
        <f>IF(Q573&lt;=0.25,"Low ",IF(Q573&lt;=0.5,"Moderate ",IF(Q573&lt;=0.75,"High ","Very High ")))</f>
        <v xml:space="preserve">High </v>
      </c>
      <c r="S573">
        <v>0.1343</v>
      </c>
      <c r="T573" t="str">
        <f>IF(S573&lt;=0.15,"Calm",IF(S573&lt;=0.3,"Light Wind",IF(S573&lt;=0.45,"Moderate Wind","Strong Wind")))</f>
        <v>Calm</v>
      </c>
      <c r="U573">
        <v>3</v>
      </c>
      <c r="V573">
        <v>14</v>
      </c>
      <c r="W573">
        <v>17</v>
      </c>
      <c r="X573" t="str">
        <f>IF(W573&lt;=75,"Low Demand",IF(W573&lt;=150,"Medium Demand",IF(W573&lt;=225,"High Demand","Very High Demand")))</f>
        <v>Low Demand</v>
      </c>
    </row>
    <row r="574" spans="1:24" x14ac:dyDescent="0.25">
      <c r="A574">
        <v>573</v>
      </c>
      <c r="B574" s="2">
        <v>40569</v>
      </c>
      <c r="C574">
        <v>1</v>
      </c>
      <c r="D574">
        <v>0</v>
      </c>
      <c r="E574">
        <v>1</v>
      </c>
      <c r="F574">
        <v>1</v>
      </c>
      <c r="G574" t="str">
        <f>IF(F574&lt;6,"Night",IF(F574&lt;12,"Morning",IF(F574&lt;18,"Afternoon","Evening")))</f>
        <v>Night</v>
      </c>
      <c r="H574">
        <v>0</v>
      </c>
      <c r="I574">
        <v>3</v>
      </c>
      <c r="J574" t="str">
        <f>CHOOSE(I574+1,"Monday","Tuesday","Wednesday","Thursday","Friday","Saturday","Sunday")</f>
        <v>Thursday</v>
      </c>
      <c r="K574">
        <v>2</v>
      </c>
      <c r="L574" t="str">
        <f>CHOOSE(K574+1,"error","Clear","Misty","Rainy","Severe heater")</f>
        <v>Misty</v>
      </c>
      <c r="M574">
        <v>0.24</v>
      </c>
      <c r="N574" t="str">
        <f>IF(M574&lt;=0.2,"Low",IF(M574&lt;=0.4,"Mid","High"))</f>
        <v>Mid</v>
      </c>
      <c r="O574">
        <v>0.2424</v>
      </c>
      <c r="P574" t="str">
        <f>IF(O574&lt;=0.15,"Very Cold",IF(O574&lt;=0.3,"Cold",IF(O574&lt;=0.45,"Pleasant","Hot")))</f>
        <v>Cold</v>
      </c>
      <c r="Q574">
        <v>0.65</v>
      </c>
      <c r="R574" t="str">
        <f>IF(Q574&lt;=0.25,"Low ",IF(Q574&lt;=0.5,"Moderate ",IF(Q574&lt;=0.75,"High ","Very High ")))</f>
        <v xml:space="preserve">High </v>
      </c>
      <c r="S574">
        <v>0.1343</v>
      </c>
      <c r="T574" t="str">
        <f>IF(S574&lt;=0.15,"Calm",IF(S574&lt;=0.3,"Light Wind",IF(S574&lt;=0.45,"Moderate Wind","Strong Wind")))</f>
        <v>Calm</v>
      </c>
      <c r="U574">
        <v>0</v>
      </c>
      <c r="V574">
        <v>5</v>
      </c>
      <c r="W574">
        <v>5</v>
      </c>
      <c r="X574" t="str">
        <f>IF(W574&lt;=75,"Low Demand",IF(W574&lt;=150,"Medium Demand",IF(W574&lt;=225,"High Demand","Very High Demand")))</f>
        <v>Low Demand</v>
      </c>
    </row>
    <row r="575" spans="1:24" x14ac:dyDescent="0.25">
      <c r="A575">
        <v>574</v>
      </c>
      <c r="B575" s="2">
        <v>40569</v>
      </c>
      <c r="C575">
        <v>1</v>
      </c>
      <c r="D575">
        <v>0</v>
      </c>
      <c r="E575">
        <v>1</v>
      </c>
      <c r="F575">
        <v>2</v>
      </c>
      <c r="G575" t="str">
        <f>IF(F575&lt;6,"Night",IF(F575&lt;12,"Morning",IF(F575&lt;18,"Afternoon","Evening")))</f>
        <v>Night</v>
      </c>
      <c r="H575">
        <v>0</v>
      </c>
      <c r="I575">
        <v>3</v>
      </c>
      <c r="J575" t="str">
        <f>CHOOSE(I575+1,"Monday","Tuesday","Wednesday","Thursday","Friday","Saturday","Sunday")</f>
        <v>Thursday</v>
      </c>
      <c r="K575">
        <v>3</v>
      </c>
      <c r="L575" t="str">
        <f>CHOOSE(K575+1,"error","Clear","Misty","Rainy","Severe heater")</f>
        <v>Rainy</v>
      </c>
      <c r="M575">
        <v>0.22</v>
      </c>
      <c r="N575" t="str">
        <f>IF(M575&lt;=0.2,"Low",IF(M575&lt;=0.4,"Mid","High"))</f>
        <v>Mid</v>
      </c>
      <c r="O575">
        <v>0.2273</v>
      </c>
      <c r="P575" t="str">
        <f>IF(O575&lt;=0.15,"Very Cold",IF(O575&lt;=0.3,"Cold",IF(O575&lt;=0.45,"Pleasant","Hot")))</f>
        <v>Cold</v>
      </c>
      <c r="Q575">
        <v>0.69</v>
      </c>
      <c r="R575" t="str">
        <f>IF(Q575&lt;=0.25,"Low ",IF(Q575&lt;=0.5,"Moderate ",IF(Q575&lt;=0.75,"High ","Very High ")))</f>
        <v xml:space="preserve">High </v>
      </c>
      <c r="S575">
        <v>0.19400000000000001</v>
      </c>
      <c r="T575" t="str">
        <f>IF(S575&lt;=0.15,"Calm",IF(S575&lt;=0.3,"Light Wind",IF(S575&lt;=0.45,"Moderate Wind","Strong Wind")))</f>
        <v>Light Wind</v>
      </c>
      <c r="U575">
        <v>3</v>
      </c>
      <c r="V575">
        <v>7</v>
      </c>
      <c r="W575">
        <v>10</v>
      </c>
      <c r="X575" t="str">
        <f>IF(W575&lt;=75,"Low Demand",IF(W575&lt;=150,"Medium Demand",IF(W575&lt;=225,"High Demand","Very High Demand")))</f>
        <v>Low Demand</v>
      </c>
    </row>
    <row r="576" spans="1:24" x14ac:dyDescent="0.25">
      <c r="A576">
        <v>575</v>
      </c>
      <c r="B576" s="2">
        <v>40569</v>
      </c>
      <c r="C576">
        <v>1</v>
      </c>
      <c r="D576">
        <v>0</v>
      </c>
      <c r="E576">
        <v>1</v>
      </c>
      <c r="F576">
        <v>5</v>
      </c>
      <c r="G576" t="str">
        <f>IF(F576&lt;6,"Night",IF(F576&lt;12,"Morning",IF(F576&lt;18,"Afternoon","Evening")))</f>
        <v>Night</v>
      </c>
      <c r="H576">
        <v>0</v>
      </c>
      <c r="I576">
        <v>3</v>
      </c>
      <c r="J576" t="str">
        <f>CHOOSE(I576+1,"Monday","Tuesday","Wednesday","Thursday","Friday","Saturday","Sunday")</f>
        <v>Thursday</v>
      </c>
      <c r="K576">
        <v>3</v>
      </c>
      <c r="L576" t="str">
        <f>CHOOSE(K576+1,"error","Clear","Misty","Rainy","Severe heater")</f>
        <v>Rainy</v>
      </c>
      <c r="M576">
        <v>0.2</v>
      </c>
      <c r="N576" t="str">
        <f>IF(M576&lt;=0.2,"Low",IF(M576&lt;=0.4,"Mid","High"))</f>
        <v>Low</v>
      </c>
      <c r="O576">
        <v>0.18179999999999999</v>
      </c>
      <c r="P576" t="str">
        <f>IF(O576&lt;=0.15,"Very Cold",IF(O576&lt;=0.3,"Cold",IF(O576&lt;=0.45,"Pleasant","Hot")))</f>
        <v>Cold</v>
      </c>
      <c r="Q576">
        <v>0.86</v>
      </c>
      <c r="R576" t="str">
        <f>IF(Q576&lt;=0.25,"Low ",IF(Q576&lt;=0.5,"Moderate ",IF(Q576&lt;=0.75,"High ","Very High ")))</f>
        <v xml:space="preserve">Very High </v>
      </c>
      <c r="S576">
        <v>0.28360000000000002</v>
      </c>
      <c r="T576" t="str">
        <f>IF(S576&lt;=0.15,"Calm",IF(S576&lt;=0.3,"Light Wind",IF(S576&lt;=0.45,"Moderate Wind","Strong Wind")))</f>
        <v>Light Wind</v>
      </c>
      <c r="U576">
        <v>0</v>
      </c>
      <c r="V576">
        <v>1</v>
      </c>
      <c r="W576">
        <v>1</v>
      </c>
      <c r="X576" t="str">
        <f>IF(W576&lt;=75,"Low Demand",IF(W576&lt;=150,"Medium Demand",IF(W576&lt;=225,"High Demand","Very High Demand")))</f>
        <v>Low Demand</v>
      </c>
    </row>
    <row r="577" spans="1:24" x14ac:dyDescent="0.25">
      <c r="A577">
        <v>576</v>
      </c>
      <c r="B577" s="2">
        <v>40569</v>
      </c>
      <c r="C577">
        <v>1</v>
      </c>
      <c r="D577">
        <v>0</v>
      </c>
      <c r="E577">
        <v>1</v>
      </c>
      <c r="F577">
        <v>6</v>
      </c>
      <c r="G577" t="str">
        <f>IF(F577&lt;6,"Night",IF(F577&lt;12,"Morning",IF(F577&lt;18,"Afternoon","Evening")))</f>
        <v>Morning</v>
      </c>
      <c r="H577">
        <v>0</v>
      </c>
      <c r="I577">
        <v>3</v>
      </c>
      <c r="J577" t="str">
        <f>CHOOSE(I577+1,"Monday","Tuesday","Wednesday","Thursday","Friday","Saturday","Sunday")</f>
        <v>Thursday</v>
      </c>
      <c r="K577">
        <v>3</v>
      </c>
      <c r="L577" t="str">
        <f>CHOOSE(K577+1,"error","Clear","Misty","Rainy","Severe heater")</f>
        <v>Rainy</v>
      </c>
      <c r="M577">
        <v>0.2</v>
      </c>
      <c r="N577" t="str">
        <f>IF(M577&lt;=0.2,"Low",IF(M577&lt;=0.4,"Mid","High"))</f>
        <v>Low</v>
      </c>
      <c r="O577">
        <v>0.18179999999999999</v>
      </c>
      <c r="P577" t="str">
        <f>IF(O577&lt;=0.15,"Very Cold",IF(O577&lt;=0.3,"Cold",IF(O577&lt;=0.45,"Pleasant","Hot")))</f>
        <v>Cold</v>
      </c>
      <c r="Q577">
        <v>0.86</v>
      </c>
      <c r="R577" t="str">
        <f>IF(Q577&lt;=0.25,"Low ",IF(Q577&lt;=0.5,"Moderate ",IF(Q577&lt;=0.75,"High ","Very High ")))</f>
        <v xml:space="preserve">Very High </v>
      </c>
      <c r="S577">
        <v>0.28360000000000002</v>
      </c>
      <c r="T577" t="str">
        <f>IF(S577&lt;=0.15,"Calm",IF(S577&lt;=0.3,"Light Wind",IF(S577&lt;=0.45,"Moderate Wind","Strong Wind")))</f>
        <v>Light Wind</v>
      </c>
      <c r="U577">
        <v>0</v>
      </c>
      <c r="V577">
        <v>8</v>
      </c>
      <c r="W577">
        <v>8</v>
      </c>
      <c r="X577" t="str">
        <f>IF(W577&lt;=75,"Low Demand",IF(W577&lt;=150,"Medium Demand",IF(W577&lt;=225,"High Demand","Very High Demand")))</f>
        <v>Low Demand</v>
      </c>
    </row>
    <row r="578" spans="1:24" x14ac:dyDescent="0.25">
      <c r="A578">
        <v>577</v>
      </c>
      <c r="B578" s="2">
        <v>40569</v>
      </c>
      <c r="C578">
        <v>1</v>
      </c>
      <c r="D578">
        <v>0</v>
      </c>
      <c r="E578">
        <v>1</v>
      </c>
      <c r="F578">
        <v>7</v>
      </c>
      <c r="G578" t="str">
        <f>IF(F578&lt;6,"Night",IF(F578&lt;12,"Morning",IF(F578&lt;18,"Afternoon","Evening")))</f>
        <v>Morning</v>
      </c>
      <c r="H578">
        <v>0</v>
      </c>
      <c r="I578">
        <v>3</v>
      </c>
      <c r="J578" t="str">
        <f>CHOOSE(I578+1,"Monday","Tuesday","Wednesday","Thursday","Friday","Saturday","Sunday")</f>
        <v>Thursday</v>
      </c>
      <c r="K578">
        <v>3</v>
      </c>
      <c r="L578" t="str">
        <f>CHOOSE(K578+1,"error","Clear","Misty","Rainy","Severe heater")</f>
        <v>Rainy</v>
      </c>
      <c r="M578">
        <v>0.22</v>
      </c>
      <c r="N578" t="str">
        <f>IF(M578&lt;=0.2,"Low",IF(M578&lt;=0.4,"Mid","High"))</f>
        <v>Mid</v>
      </c>
      <c r="O578">
        <v>0.21210000000000001</v>
      </c>
      <c r="P578" t="str">
        <f>IF(O578&lt;=0.15,"Very Cold",IF(O578&lt;=0.3,"Cold",IF(O578&lt;=0.45,"Pleasant","Hot")))</f>
        <v>Cold</v>
      </c>
      <c r="Q578">
        <v>0.87</v>
      </c>
      <c r="R578" t="str">
        <f>IF(Q578&lt;=0.25,"Low ",IF(Q578&lt;=0.5,"Moderate ",IF(Q578&lt;=0.75,"High ","Very High ")))</f>
        <v xml:space="preserve">Very High </v>
      </c>
      <c r="S578">
        <v>0.29849999999999999</v>
      </c>
      <c r="T578" t="str">
        <f>IF(S578&lt;=0.15,"Calm",IF(S578&lt;=0.3,"Light Wind",IF(S578&lt;=0.45,"Moderate Wind","Strong Wind")))</f>
        <v>Light Wind</v>
      </c>
      <c r="U578">
        <v>1</v>
      </c>
      <c r="V578">
        <v>29</v>
      </c>
      <c r="W578">
        <v>30</v>
      </c>
      <c r="X578" t="str">
        <f>IF(W578&lt;=75,"Low Demand",IF(W578&lt;=150,"Medium Demand",IF(W578&lt;=225,"High Demand","Very High Demand")))</f>
        <v>Low Demand</v>
      </c>
    </row>
    <row r="579" spans="1:24" x14ac:dyDescent="0.25">
      <c r="A579">
        <v>578</v>
      </c>
      <c r="B579" s="2">
        <v>40569</v>
      </c>
      <c r="C579">
        <v>1</v>
      </c>
      <c r="D579">
        <v>0</v>
      </c>
      <c r="E579">
        <v>1</v>
      </c>
      <c r="F579">
        <v>8</v>
      </c>
      <c r="G579" t="str">
        <f>IF(F579&lt;6,"Night",IF(F579&lt;12,"Morning",IF(F579&lt;18,"Afternoon","Evening")))</f>
        <v>Morning</v>
      </c>
      <c r="H579">
        <v>0</v>
      </c>
      <c r="I579">
        <v>3</v>
      </c>
      <c r="J579" t="str">
        <f>CHOOSE(I579+1,"Monday","Tuesday","Wednesday","Thursday","Friday","Saturday","Sunday")</f>
        <v>Thursday</v>
      </c>
      <c r="K579">
        <v>3</v>
      </c>
      <c r="L579" t="str">
        <f>CHOOSE(K579+1,"error","Clear","Misty","Rainy","Severe heater")</f>
        <v>Rainy</v>
      </c>
      <c r="M579">
        <v>0.22</v>
      </c>
      <c r="N579" t="str">
        <f>IF(M579&lt;=0.2,"Low",IF(M579&lt;=0.4,"Mid","High"))</f>
        <v>Mid</v>
      </c>
      <c r="O579">
        <v>0.21210000000000001</v>
      </c>
      <c r="P579" t="str">
        <f>IF(O579&lt;=0.15,"Very Cold",IF(O579&lt;=0.3,"Cold",IF(O579&lt;=0.45,"Pleasant","Hot")))</f>
        <v>Cold</v>
      </c>
      <c r="Q579">
        <v>0.87</v>
      </c>
      <c r="R579" t="str">
        <f>IF(Q579&lt;=0.25,"Low ",IF(Q579&lt;=0.5,"Moderate ",IF(Q579&lt;=0.75,"High ","Very High ")))</f>
        <v xml:space="preserve">Very High </v>
      </c>
      <c r="S579">
        <v>0.29849999999999999</v>
      </c>
      <c r="T579" t="str">
        <f>IF(S579&lt;=0.15,"Calm",IF(S579&lt;=0.3,"Light Wind",IF(S579&lt;=0.45,"Moderate Wind","Strong Wind")))</f>
        <v>Light Wind</v>
      </c>
      <c r="U579">
        <v>3</v>
      </c>
      <c r="V579">
        <v>69</v>
      </c>
      <c r="W579">
        <v>72</v>
      </c>
      <c r="X579" t="str">
        <f>IF(W579&lt;=75,"Low Demand",IF(W579&lt;=150,"Medium Demand",IF(W579&lt;=225,"High Demand","Very High Demand")))</f>
        <v>Low Demand</v>
      </c>
    </row>
    <row r="580" spans="1:24" x14ac:dyDescent="0.25">
      <c r="A580">
        <v>579</v>
      </c>
      <c r="B580" s="2">
        <v>40569</v>
      </c>
      <c r="C580">
        <v>1</v>
      </c>
      <c r="D580">
        <v>0</v>
      </c>
      <c r="E580">
        <v>1</v>
      </c>
      <c r="F580">
        <v>9</v>
      </c>
      <c r="G580" t="str">
        <f>IF(F580&lt;6,"Night",IF(F580&lt;12,"Morning",IF(F580&lt;18,"Afternoon","Evening")))</f>
        <v>Morning</v>
      </c>
      <c r="H580">
        <v>0</v>
      </c>
      <c r="I580">
        <v>3</v>
      </c>
      <c r="J580" t="str">
        <f>CHOOSE(I580+1,"Monday","Tuesday","Wednesday","Thursday","Friday","Saturday","Sunday")</f>
        <v>Thursday</v>
      </c>
      <c r="K580">
        <v>3</v>
      </c>
      <c r="L580" t="str">
        <f>CHOOSE(K580+1,"error","Clear","Misty","Rainy","Severe heater")</f>
        <v>Rainy</v>
      </c>
      <c r="M580">
        <v>0.22</v>
      </c>
      <c r="N580" t="str">
        <f>IF(M580&lt;=0.2,"Low",IF(M580&lt;=0.4,"Mid","High"))</f>
        <v>Mid</v>
      </c>
      <c r="O580">
        <v>0.21210000000000001</v>
      </c>
      <c r="P580" t="str">
        <f>IF(O580&lt;=0.15,"Very Cold",IF(O580&lt;=0.3,"Cold",IF(O580&lt;=0.45,"Pleasant","Hot")))</f>
        <v>Cold</v>
      </c>
      <c r="Q580">
        <v>0.87</v>
      </c>
      <c r="R580" t="str">
        <f>IF(Q580&lt;=0.25,"Low ",IF(Q580&lt;=0.5,"Moderate ",IF(Q580&lt;=0.75,"High ","Very High ")))</f>
        <v xml:space="preserve">Very High </v>
      </c>
      <c r="S580">
        <v>0.29849999999999999</v>
      </c>
      <c r="T580" t="str">
        <f>IF(S580&lt;=0.15,"Calm",IF(S580&lt;=0.3,"Light Wind",IF(S580&lt;=0.45,"Moderate Wind","Strong Wind")))</f>
        <v>Light Wind</v>
      </c>
      <c r="U580">
        <v>3</v>
      </c>
      <c r="V580">
        <v>55</v>
      </c>
      <c r="W580">
        <v>58</v>
      </c>
      <c r="X580" t="str">
        <f>IF(W580&lt;=75,"Low Demand",IF(W580&lt;=150,"Medium Demand",IF(W580&lt;=225,"High Demand","Very High Demand")))</f>
        <v>Low Demand</v>
      </c>
    </row>
    <row r="581" spans="1:24" x14ac:dyDescent="0.25">
      <c r="A581">
        <v>580</v>
      </c>
      <c r="B581" s="2">
        <v>40569</v>
      </c>
      <c r="C581">
        <v>1</v>
      </c>
      <c r="D581">
        <v>0</v>
      </c>
      <c r="E581">
        <v>1</v>
      </c>
      <c r="F581">
        <v>10</v>
      </c>
      <c r="G581" t="str">
        <f>IF(F581&lt;6,"Night",IF(F581&lt;12,"Morning",IF(F581&lt;18,"Afternoon","Evening")))</f>
        <v>Morning</v>
      </c>
      <c r="H581">
        <v>0</v>
      </c>
      <c r="I581">
        <v>3</v>
      </c>
      <c r="J581" t="str">
        <f>CHOOSE(I581+1,"Monday","Tuesday","Wednesday","Thursday","Friday","Saturday","Sunday")</f>
        <v>Thursday</v>
      </c>
      <c r="K581">
        <v>3</v>
      </c>
      <c r="L581" t="str">
        <f>CHOOSE(K581+1,"error","Clear","Misty","Rainy","Severe heater")</f>
        <v>Rainy</v>
      </c>
      <c r="M581">
        <v>0.22</v>
      </c>
      <c r="N581" t="str">
        <f>IF(M581&lt;=0.2,"Low",IF(M581&lt;=0.4,"Mid","High"))</f>
        <v>Mid</v>
      </c>
      <c r="O581">
        <v>0.21210000000000001</v>
      </c>
      <c r="P581" t="str">
        <f>IF(O581&lt;=0.15,"Very Cold",IF(O581&lt;=0.3,"Cold",IF(O581&lt;=0.45,"Pleasant","Hot")))</f>
        <v>Cold</v>
      </c>
      <c r="Q581">
        <v>0.93</v>
      </c>
      <c r="R581" t="str">
        <f>IF(Q581&lt;=0.25,"Low ",IF(Q581&lt;=0.5,"Moderate ",IF(Q581&lt;=0.75,"High ","Very High ")))</f>
        <v xml:space="preserve">Very High </v>
      </c>
      <c r="S581">
        <v>0.28360000000000002</v>
      </c>
      <c r="T581" t="str">
        <f>IF(S581&lt;=0.15,"Calm",IF(S581&lt;=0.3,"Light Wind",IF(S581&lt;=0.45,"Moderate Wind","Strong Wind")))</f>
        <v>Light Wind</v>
      </c>
      <c r="U581">
        <v>2</v>
      </c>
      <c r="V581">
        <v>26</v>
      </c>
      <c r="W581">
        <v>28</v>
      </c>
      <c r="X581" t="str">
        <f>IF(W581&lt;=75,"Low Demand",IF(W581&lt;=150,"Medium Demand",IF(W581&lt;=225,"High Demand","Very High Demand")))</f>
        <v>Low Demand</v>
      </c>
    </row>
    <row r="582" spans="1:24" x14ac:dyDescent="0.25">
      <c r="A582">
        <v>581</v>
      </c>
      <c r="B582" s="2">
        <v>40569</v>
      </c>
      <c r="C582">
        <v>1</v>
      </c>
      <c r="D582">
        <v>0</v>
      </c>
      <c r="E582">
        <v>1</v>
      </c>
      <c r="F582">
        <v>11</v>
      </c>
      <c r="G582" t="str">
        <f>IF(F582&lt;6,"Night",IF(F582&lt;12,"Morning",IF(F582&lt;18,"Afternoon","Evening")))</f>
        <v>Morning</v>
      </c>
      <c r="H582">
        <v>0</v>
      </c>
      <c r="I582">
        <v>3</v>
      </c>
      <c r="J582" t="str">
        <f>CHOOSE(I582+1,"Monday","Tuesday","Wednesday","Thursday","Friday","Saturday","Sunday")</f>
        <v>Thursday</v>
      </c>
      <c r="K582">
        <v>3</v>
      </c>
      <c r="L582" t="str">
        <f>CHOOSE(K582+1,"error","Clear","Misty","Rainy","Severe heater")</f>
        <v>Rainy</v>
      </c>
      <c r="M582">
        <v>0.22</v>
      </c>
      <c r="N582" t="str">
        <f>IF(M582&lt;=0.2,"Low",IF(M582&lt;=0.4,"Mid","High"))</f>
        <v>Mid</v>
      </c>
      <c r="O582">
        <v>0.19700000000000001</v>
      </c>
      <c r="P582" t="str">
        <f>IF(O582&lt;=0.15,"Very Cold",IF(O582&lt;=0.3,"Cold",IF(O582&lt;=0.45,"Pleasant","Hot")))</f>
        <v>Cold</v>
      </c>
      <c r="Q582">
        <v>0.93</v>
      </c>
      <c r="R582" t="str">
        <f>IF(Q582&lt;=0.25,"Low ",IF(Q582&lt;=0.5,"Moderate ",IF(Q582&lt;=0.75,"High ","Very High ")))</f>
        <v xml:space="preserve">Very High </v>
      </c>
      <c r="S582">
        <v>0.32840000000000003</v>
      </c>
      <c r="T582" t="str">
        <f>IF(S582&lt;=0.15,"Calm",IF(S582&lt;=0.3,"Light Wind",IF(S582&lt;=0.45,"Moderate Wind","Strong Wind")))</f>
        <v>Moderate Wind</v>
      </c>
      <c r="U582">
        <v>6</v>
      </c>
      <c r="V582">
        <v>35</v>
      </c>
      <c r="W582">
        <v>41</v>
      </c>
      <c r="X582" t="str">
        <f>IF(W582&lt;=75,"Low Demand",IF(W582&lt;=150,"Medium Demand",IF(W582&lt;=225,"High Demand","Very High Demand")))</f>
        <v>Low Demand</v>
      </c>
    </row>
    <row r="583" spans="1:24" x14ac:dyDescent="0.25">
      <c r="A583">
        <v>582</v>
      </c>
      <c r="B583" s="2">
        <v>40569</v>
      </c>
      <c r="C583">
        <v>1</v>
      </c>
      <c r="D583">
        <v>0</v>
      </c>
      <c r="E583">
        <v>1</v>
      </c>
      <c r="F583">
        <v>12</v>
      </c>
      <c r="G583" t="str">
        <f>IF(F583&lt;6,"Night",IF(F583&lt;12,"Morning",IF(F583&lt;18,"Afternoon","Evening")))</f>
        <v>Afternoon</v>
      </c>
      <c r="H583">
        <v>0</v>
      </c>
      <c r="I583">
        <v>3</v>
      </c>
      <c r="J583" t="str">
        <f>CHOOSE(I583+1,"Monday","Tuesday","Wednesday","Thursday","Friday","Saturday","Sunday")</f>
        <v>Thursday</v>
      </c>
      <c r="K583">
        <v>3</v>
      </c>
      <c r="L583" t="str">
        <f>CHOOSE(K583+1,"error","Clear","Misty","Rainy","Severe heater")</f>
        <v>Rainy</v>
      </c>
      <c r="M583">
        <v>0.22</v>
      </c>
      <c r="N583" t="str">
        <f>IF(M583&lt;=0.2,"Low",IF(M583&lt;=0.4,"Mid","High"))</f>
        <v>Mid</v>
      </c>
      <c r="O583">
        <v>0.19700000000000001</v>
      </c>
      <c r="P583" t="str">
        <f>IF(O583&lt;=0.15,"Very Cold",IF(O583&lt;=0.3,"Cold",IF(O583&lt;=0.45,"Pleasant","Hot")))</f>
        <v>Cold</v>
      </c>
      <c r="Q583">
        <v>0.93</v>
      </c>
      <c r="R583" t="str">
        <f>IF(Q583&lt;=0.25,"Low ",IF(Q583&lt;=0.5,"Moderate ",IF(Q583&lt;=0.75,"High ","Very High ")))</f>
        <v xml:space="preserve">Very High </v>
      </c>
      <c r="S583">
        <v>0.32840000000000003</v>
      </c>
      <c r="T583" t="str">
        <f>IF(S583&lt;=0.15,"Calm",IF(S583&lt;=0.3,"Light Wind",IF(S583&lt;=0.45,"Moderate Wind","Strong Wind")))</f>
        <v>Moderate Wind</v>
      </c>
      <c r="U583">
        <v>7</v>
      </c>
      <c r="V583">
        <v>41</v>
      </c>
      <c r="W583">
        <v>48</v>
      </c>
      <c r="X583" t="str">
        <f>IF(W583&lt;=75,"Low Demand",IF(W583&lt;=150,"Medium Demand",IF(W583&lt;=225,"High Demand","Very High Demand")))</f>
        <v>Low Demand</v>
      </c>
    </row>
    <row r="584" spans="1:24" x14ac:dyDescent="0.25">
      <c r="A584">
        <v>583</v>
      </c>
      <c r="B584" s="2">
        <v>40569</v>
      </c>
      <c r="C584">
        <v>1</v>
      </c>
      <c r="D584">
        <v>0</v>
      </c>
      <c r="E584">
        <v>1</v>
      </c>
      <c r="F584">
        <v>13</v>
      </c>
      <c r="G584" t="str">
        <f>IF(F584&lt;6,"Night",IF(F584&lt;12,"Morning",IF(F584&lt;18,"Afternoon","Evening")))</f>
        <v>Afternoon</v>
      </c>
      <c r="H584">
        <v>0</v>
      </c>
      <c r="I584">
        <v>3</v>
      </c>
      <c r="J584" t="str">
        <f>CHOOSE(I584+1,"Monday","Tuesday","Wednesday","Thursday","Friday","Saturday","Sunday")</f>
        <v>Thursday</v>
      </c>
      <c r="K584">
        <v>3</v>
      </c>
      <c r="L584" t="str">
        <f>CHOOSE(K584+1,"error","Clear","Misty","Rainy","Severe heater")</f>
        <v>Rainy</v>
      </c>
      <c r="M584">
        <v>0.22</v>
      </c>
      <c r="N584" t="str">
        <f>IF(M584&lt;=0.2,"Low",IF(M584&lt;=0.4,"Mid","High"))</f>
        <v>Mid</v>
      </c>
      <c r="O584">
        <v>0.19700000000000001</v>
      </c>
      <c r="P584" t="str">
        <f>IF(O584&lt;=0.15,"Very Cold",IF(O584&lt;=0.3,"Cold",IF(O584&lt;=0.45,"Pleasant","Hot")))</f>
        <v>Cold</v>
      </c>
      <c r="Q584">
        <v>0.93</v>
      </c>
      <c r="R584" t="str">
        <f>IF(Q584&lt;=0.25,"Low ",IF(Q584&lt;=0.5,"Moderate ",IF(Q584&lt;=0.75,"High ","Very High ")))</f>
        <v xml:space="preserve">Very High </v>
      </c>
      <c r="S584">
        <v>0.32840000000000003</v>
      </c>
      <c r="T584" t="str">
        <f>IF(S584&lt;=0.15,"Calm",IF(S584&lt;=0.3,"Light Wind",IF(S584&lt;=0.45,"Moderate Wind","Strong Wind")))</f>
        <v>Moderate Wind</v>
      </c>
      <c r="U584">
        <v>4</v>
      </c>
      <c r="V584">
        <v>43</v>
      </c>
      <c r="W584">
        <v>47</v>
      </c>
      <c r="X584" t="str">
        <f>IF(W584&lt;=75,"Low Demand",IF(W584&lt;=150,"Medium Demand",IF(W584&lt;=225,"High Demand","Very High Demand")))</f>
        <v>Low Demand</v>
      </c>
    </row>
    <row r="585" spans="1:24" x14ac:dyDescent="0.25">
      <c r="A585">
        <v>584</v>
      </c>
      <c r="B585" s="2">
        <v>40569</v>
      </c>
      <c r="C585">
        <v>1</v>
      </c>
      <c r="D585">
        <v>0</v>
      </c>
      <c r="E585">
        <v>1</v>
      </c>
      <c r="F585">
        <v>14</v>
      </c>
      <c r="G585" t="str">
        <f>IF(F585&lt;6,"Night",IF(F585&lt;12,"Morning",IF(F585&lt;18,"Afternoon","Evening")))</f>
        <v>Afternoon</v>
      </c>
      <c r="H585">
        <v>0</v>
      </c>
      <c r="I585">
        <v>3</v>
      </c>
      <c r="J585" t="str">
        <f>CHOOSE(I585+1,"Monday","Tuesday","Wednesday","Thursday","Friday","Saturday","Sunday")</f>
        <v>Thursday</v>
      </c>
      <c r="K585">
        <v>3</v>
      </c>
      <c r="L585" t="str">
        <f>CHOOSE(K585+1,"error","Clear","Misty","Rainy","Severe heater")</f>
        <v>Rainy</v>
      </c>
      <c r="M585">
        <v>0.22</v>
      </c>
      <c r="N585" t="str">
        <f>IF(M585&lt;=0.2,"Low",IF(M585&lt;=0.4,"Mid","High"))</f>
        <v>Mid</v>
      </c>
      <c r="O585">
        <v>0.19700000000000001</v>
      </c>
      <c r="P585" t="str">
        <f>IF(O585&lt;=0.15,"Very Cold",IF(O585&lt;=0.3,"Cold",IF(O585&lt;=0.45,"Pleasant","Hot")))</f>
        <v>Cold</v>
      </c>
      <c r="Q585">
        <v>0.93</v>
      </c>
      <c r="R585" t="str">
        <f>IF(Q585&lt;=0.25,"Low ",IF(Q585&lt;=0.5,"Moderate ",IF(Q585&lt;=0.75,"High ","Very High ")))</f>
        <v xml:space="preserve">Very High </v>
      </c>
      <c r="S585">
        <v>0.35820000000000002</v>
      </c>
      <c r="T585" t="str">
        <f>IF(S585&lt;=0.15,"Calm",IF(S585&lt;=0.3,"Light Wind",IF(S585&lt;=0.45,"Moderate Wind","Strong Wind")))</f>
        <v>Moderate Wind</v>
      </c>
      <c r="U585">
        <v>0</v>
      </c>
      <c r="V585">
        <v>36</v>
      </c>
      <c r="W585">
        <v>36</v>
      </c>
      <c r="X585" t="str">
        <f>IF(W585&lt;=75,"Low Demand",IF(W585&lt;=150,"Medium Demand",IF(W585&lt;=225,"High Demand","Very High Demand")))</f>
        <v>Low Demand</v>
      </c>
    </row>
    <row r="586" spans="1:24" x14ac:dyDescent="0.25">
      <c r="A586">
        <v>585</v>
      </c>
      <c r="B586" s="2">
        <v>40569</v>
      </c>
      <c r="C586">
        <v>1</v>
      </c>
      <c r="D586">
        <v>0</v>
      </c>
      <c r="E586">
        <v>1</v>
      </c>
      <c r="F586">
        <v>15</v>
      </c>
      <c r="G586" t="str">
        <f>IF(F586&lt;6,"Night",IF(F586&lt;12,"Morning",IF(F586&lt;18,"Afternoon","Evening")))</f>
        <v>Afternoon</v>
      </c>
      <c r="H586">
        <v>0</v>
      </c>
      <c r="I586">
        <v>3</v>
      </c>
      <c r="J586" t="str">
        <f>CHOOSE(I586+1,"Monday","Tuesday","Wednesday","Thursday","Friday","Saturday","Sunday")</f>
        <v>Thursday</v>
      </c>
      <c r="K586">
        <v>3</v>
      </c>
      <c r="L586" t="str">
        <f>CHOOSE(K586+1,"error","Clear","Misty","Rainy","Severe heater")</f>
        <v>Rainy</v>
      </c>
      <c r="M586">
        <v>0.22</v>
      </c>
      <c r="N586" t="str">
        <f>IF(M586&lt;=0.2,"Low",IF(M586&lt;=0.4,"Mid","High"))</f>
        <v>Mid</v>
      </c>
      <c r="O586">
        <v>0.18179999999999999</v>
      </c>
      <c r="P586" t="str">
        <f>IF(O586&lt;=0.15,"Very Cold",IF(O586&lt;=0.3,"Cold",IF(O586&lt;=0.45,"Pleasant","Hot")))</f>
        <v>Cold</v>
      </c>
      <c r="Q586">
        <v>0.93</v>
      </c>
      <c r="R586" t="str">
        <f>IF(Q586&lt;=0.25,"Low ",IF(Q586&lt;=0.5,"Moderate ",IF(Q586&lt;=0.75,"High ","Very High ")))</f>
        <v xml:space="preserve">Very High </v>
      </c>
      <c r="S586">
        <v>0.4627</v>
      </c>
      <c r="T586" t="str">
        <f>IF(S586&lt;=0.15,"Calm",IF(S586&lt;=0.3,"Light Wind",IF(S586&lt;=0.45,"Moderate Wind","Strong Wind")))</f>
        <v>Strong Wind</v>
      </c>
      <c r="U586">
        <v>1</v>
      </c>
      <c r="V586">
        <v>42</v>
      </c>
      <c r="W586">
        <v>43</v>
      </c>
      <c r="X586" t="str">
        <f>IF(W586&lt;=75,"Low Demand",IF(W586&lt;=150,"Medium Demand",IF(W586&lt;=225,"High Demand","Very High Demand")))</f>
        <v>Low Demand</v>
      </c>
    </row>
    <row r="587" spans="1:24" x14ac:dyDescent="0.25">
      <c r="A587">
        <v>586</v>
      </c>
      <c r="B587" s="2">
        <v>40569</v>
      </c>
      <c r="C587">
        <v>1</v>
      </c>
      <c r="D587">
        <v>0</v>
      </c>
      <c r="E587">
        <v>1</v>
      </c>
      <c r="F587">
        <v>16</v>
      </c>
      <c r="G587" t="str">
        <f>IF(F587&lt;6,"Night",IF(F587&lt;12,"Morning",IF(F587&lt;18,"Afternoon","Evening")))</f>
        <v>Afternoon</v>
      </c>
      <c r="H587">
        <v>0</v>
      </c>
      <c r="I587">
        <v>3</v>
      </c>
      <c r="J587" t="str">
        <f>CHOOSE(I587+1,"Monday","Tuesday","Wednesday","Thursday","Friday","Saturday","Sunday")</f>
        <v>Thursday</v>
      </c>
      <c r="K587">
        <v>4</v>
      </c>
      <c r="L587" t="str">
        <f>CHOOSE(K587+1,"error","Clear","Misty","Rainy","Severe heater")</f>
        <v>Severe heater</v>
      </c>
      <c r="M587">
        <v>0.22</v>
      </c>
      <c r="N587" t="str">
        <f>IF(M587&lt;=0.2,"Low",IF(M587&lt;=0.4,"Mid","High"))</f>
        <v>Mid</v>
      </c>
      <c r="O587">
        <v>0.19700000000000001</v>
      </c>
      <c r="P587" t="str">
        <f>IF(O587&lt;=0.15,"Very Cold",IF(O587&lt;=0.3,"Cold",IF(O587&lt;=0.45,"Pleasant","Hot")))</f>
        <v>Cold</v>
      </c>
      <c r="Q587">
        <v>0.93</v>
      </c>
      <c r="R587" t="str">
        <f>IF(Q587&lt;=0.25,"Low ",IF(Q587&lt;=0.5,"Moderate ",IF(Q587&lt;=0.75,"High ","Very High ")))</f>
        <v xml:space="preserve">Very High </v>
      </c>
      <c r="S587">
        <v>0.32840000000000003</v>
      </c>
      <c r="T587" t="str">
        <f>IF(S587&lt;=0.15,"Calm",IF(S587&lt;=0.3,"Light Wind",IF(S587&lt;=0.45,"Moderate Wind","Strong Wind")))</f>
        <v>Moderate Wind</v>
      </c>
      <c r="U587">
        <v>1</v>
      </c>
      <c r="V587">
        <v>35</v>
      </c>
      <c r="W587">
        <v>36</v>
      </c>
      <c r="X587" t="str">
        <f>IF(W587&lt;=75,"Low Demand",IF(W587&lt;=150,"Medium Demand",IF(W587&lt;=225,"High Demand","Very High Demand")))</f>
        <v>Low Demand</v>
      </c>
    </row>
    <row r="588" spans="1:24" x14ac:dyDescent="0.25">
      <c r="A588">
        <v>587</v>
      </c>
      <c r="B588" s="2">
        <v>40569</v>
      </c>
      <c r="C588">
        <v>1</v>
      </c>
      <c r="D588">
        <v>0</v>
      </c>
      <c r="E588">
        <v>1</v>
      </c>
      <c r="F588">
        <v>17</v>
      </c>
      <c r="G588" t="str">
        <f>IF(F588&lt;6,"Night",IF(F588&lt;12,"Morning",IF(F588&lt;18,"Afternoon","Evening")))</f>
        <v>Afternoon</v>
      </c>
      <c r="H588">
        <v>0</v>
      </c>
      <c r="I588">
        <v>3</v>
      </c>
      <c r="J588" t="str">
        <f>CHOOSE(I588+1,"Monday","Tuesday","Wednesday","Thursday","Friday","Saturday","Sunday")</f>
        <v>Thursday</v>
      </c>
      <c r="K588">
        <v>3</v>
      </c>
      <c r="L588" t="str">
        <f>CHOOSE(K588+1,"error","Clear","Misty","Rainy","Severe heater")</f>
        <v>Rainy</v>
      </c>
      <c r="M588">
        <v>0.2</v>
      </c>
      <c r="N588" t="str">
        <f>IF(M588&lt;=0.2,"Low",IF(M588&lt;=0.4,"Mid","High"))</f>
        <v>Low</v>
      </c>
      <c r="O588">
        <v>0.18179999999999999</v>
      </c>
      <c r="P588" t="str">
        <f>IF(O588&lt;=0.15,"Very Cold",IF(O588&lt;=0.3,"Cold",IF(O588&lt;=0.45,"Pleasant","Hot")))</f>
        <v>Cold</v>
      </c>
      <c r="Q588">
        <v>0.93</v>
      </c>
      <c r="R588" t="str">
        <f>IF(Q588&lt;=0.25,"Low ",IF(Q588&lt;=0.5,"Moderate ",IF(Q588&lt;=0.75,"High ","Very High ")))</f>
        <v xml:space="preserve">Very High </v>
      </c>
      <c r="S588">
        <v>0.35820000000000002</v>
      </c>
      <c r="T588" t="str">
        <f>IF(S588&lt;=0.15,"Calm",IF(S588&lt;=0.3,"Light Wind",IF(S588&lt;=0.45,"Moderate Wind","Strong Wind")))</f>
        <v>Moderate Wind</v>
      </c>
      <c r="U588">
        <v>0</v>
      </c>
      <c r="V588">
        <v>26</v>
      </c>
      <c r="W588">
        <v>26</v>
      </c>
      <c r="X588" t="str">
        <f>IF(W588&lt;=75,"Low Demand",IF(W588&lt;=150,"Medium Demand",IF(W588&lt;=225,"High Demand","Very High Demand")))</f>
        <v>Low Demand</v>
      </c>
    </row>
    <row r="589" spans="1:24" x14ac:dyDescent="0.25">
      <c r="A589">
        <v>588</v>
      </c>
      <c r="B589" s="2">
        <v>40570</v>
      </c>
      <c r="C589">
        <v>1</v>
      </c>
      <c r="D589">
        <v>0</v>
      </c>
      <c r="E589">
        <v>1</v>
      </c>
      <c r="F589">
        <v>16</v>
      </c>
      <c r="G589" t="str">
        <f>IF(F589&lt;6,"Night",IF(F589&lt;12,"Morning",IF(F589&lt;18,"Afternoon","Evening")))</f>
        <v>Afternoon</v>
      </c>
      <c r="H589">
        <v>0</v>
      </c>
      <c r="I589">
        <v>4</v>
      </c>
      <c r="J589" t="str">
        <f>CHOOSE(I589+1,"Monday","Tuesday","Wednesday","Thursday","Friday","Saturday","Sunday")</f>
        <v>Friday</v>
      </c>
      <c r="K589">
        <v>1</v>
      </c>
      <c r="L589" t="str">
        <f>CHOOSE(K589+1,"error","Clear","Misty","Rainy","Severe heater")</f>
        <v>Clear</v>
      </c>
      <c r="M589">
        <v>0.22</v>
      </c>
      <c r="N589" t="str">
        <f>IF(M589&lt;=0.2,"Low",IF(M589&lt;=0.4,"Mid","High"))</f>
        <v>Mid</v>
      </c>
      <c r="O589">
        <v>0.2273</v>
      </c>
      <c r="P589" t="str">
        <f>IF(O589&lt;=0.15,"Very Cold",IF(O589&lt;=0.3,"Cold",IF(O589&lt;=0.45,"Pleasant","Hot")))</f>
        <v>Cold</v>
      </c>
      <c r="Q589">
        <v>0.55000000000000004</v>
      </c>
      <c r="R589" t="str">
        <f>IF(Q589&lt;=0.25,"Low ",IF(Q589&lt;=0.5,"Moderate ",IF(Q589&lt;=0.75,"High ","Very High ")))</f>
        <v xml:space="preserve">High </v>
      </c>
      <c r="S589">
        <v>0.19400000000000001</v>
      </c>
      <c r="T589" t="str">
        <f>IF(S589&lt;=0.15,"Calm",IF(S589&lt;=0.3,"Light Wind",IF(S589&lt;=0.45,"Moderate Wind","Strong Wind")))</f>
        <v>Light Wind</v>
      </c>
      <c r="U589">
        <v>1</v>
      </c>
      <c r="V589">
        <v>23</v>
      </c>
      <c r="W589">
        <v>24</v>
      </c>
      <c r="X589" t="str">
        <f>IF(W589&lt;=75,"Low Demand",IF(W589&lt;=150,"Medium Demand",IF(W589&lt;=225,"High Demand","Very High Demand")))</f>
        <v>Low Demand</v>
      </c>
    </row>
    <row r="590" spans="1:24" x14ac:dyDescent="0.25">
      <c r="A590">
        <v>589</v>
      </c>
      <c r="B590" s="2">
        <v>40570</v>
      </c>
      <c r="C590">
        <v>1</v>
      </c>
      <c r="D590">
        <v>0</v>
      </c>
      <c r="E590">
        <v>1</v>
      </c>
      <c r="F590">
        <v>17</v>
      </c>
      <c r="G590" t="str">
        <f>IF(F590&lt;6,"Night",IF(F590&lt;12,"Morning",IF(F590&lt;18,"Afternoon","Evening")))</f>
        <v>Afternoon</v>
      </c>
      <c r="H590">
        <v>0</v>
      </c>
      <c r="I590">
        <v>4</v>
      </c>
      <c r="J590" t="str">
        <f>CHOOSE(I590+1,"Monday","Tuesday","Wednesday","Thursday","Friday","Saturday","Sunday")</f>
        <v>Friday</v>
      </c>
      <c r="K590">
        <v>1</v>
      </c>
      <c r="L590" t="str">
        <f>CHOOSE(K590+1,"error","Clear","Misty","Rainy","Severe heater")</f>
        <v>Clear</v>
      </c>
      <c r="M590">
        <v>0.22</v>
      </c>
      <c r="N590" t="str">
        <f>IF(M590&lt;=0.2,"Low",IF(M590&lt;=0.4,"Mid","High"))</f>
        <v>Mid</v>
      </c>
      <c r="O590">
        <v>0.2424</v>
      </c>
      <c r="P590" t="str">
        <f>IF(O590&lt;=0.15,"Very Cold",IF(O590&lt;=0.3,"Cold",IF(O590&lt;=0.45,"Pleasant","Hot")))</f>
        <v>Cold</v>
      </c>
      <c r="Q590">
        <v>0.55000000000000004</v>
      </c>
      <c r="R590" t="str">
        <f>IF(Q590&lt;=0.25,"Low ",IF(Q590&lt;=0.5,"Moderate ",IF(Q590&lt;=0.75,"High ","Very High ")))</f>
        <v xml:space="preserve">High </v>
      </c>
      <c r="S590">
        <v>0.1045</v>
      </c>
      <c r="T590" t="str">
        <f>IF(S590&lt;=0.15,"Calm",IF(S590&lt;=0.3,"Light Wind",IF(S590&lt;=0.45,"Moderate Wind","Strong Wind")))</f>
        <v>Calm</v>
      </c>
      <c r="U590">
        <v>2</v>
      </c>
      <c r="V590">
        <v>82</v>
      </c>
      <c r="W590">
        <v>84</v>
      </c>
      <c r="X590" t="str">
        <f>IF(W590&lt;=75,"Low Demand",IF(W590&lt;=150,"Medium Demand",IF(W590&lt;=225,"High Demand","Very High Demand")))</f>
        <v>Medium Demand</v>
      </c>
    </row>
    <row r="591" spans="1:24" x14ac:dyDescent="0.25">
      <c r="A591">
        <v>590</v>
      </c>
      <c r="B591" s="2">
        <v>40570</v>
      </c>
      <c r="C591">
        <v>1</v>
      </c>
      <c r="D591">
        <v>0</v>
      </c>
      <c r="E591">
        <v>1</v>
      </c>
      <c r="F591">
        <v>18</v>
      </c>
      <c r="G591" t="str">
        <f>IF(F591&lt;6,"Night",IF(F591&lt;12,"Morning",IF(F591&lt;18,"Afternoon","Evening")))</f>
        <v>Evening</v>
      </c>
      <c r="H591">
        <v>0</v>
      </c>
      <c r="I591">
        <v>4</v>
      </c>
      <c r="J591" t="str">
        <f>CHOOSE(I591+1,"Monday","Tuesday","Wednesday","Thursday","Friday","Saturday","Sunday")</f>
        <v>Friday</v>
      </c>
      <c r="K591">
        <v>1</v>
      </c>
      <c r="L591" t="str">
        <f>CHOOSE(K591+1,"error","Clear","Misty","Rainy","Severe heater")</f>
        <v>Clear</v>
      </c>
      <c r="M591">
        <v>0.2</v>
      </c>
      <c r="N591" t="str">
        <f>IF(M591&lt;=0.2,"Low",IF(M591&lt;=0.4,"Mid","High"))</f>
        <v>Low</v>
      </c>
      <c r="O591">
        <v>0.2273</v>
      </c>
      <c r="P591" t="str">
        <f>IF(O591&lt;=0.15,"Very Cold",IF(O591&lt;=0.3,"Cold",IF(O591&lt;=0.45,"Pleasant","Hot")))</f>
        <v>Cold</v>
      </c>
      <c r="Q591">
        <v>0.69</v>
      </c>
      <c r="R591" t="str">
        <f>IF(Q591&lt;=0.25,"Low ",IF(Q591&lt;=0.5,"Moderate ",IF(Q591&lt;=0.75,"High ","Very High ")))</f>
        <v xml:space="preserve">High </v>
      </c>
      <c r="S591">
        <v>8.9599999999999999E-2</v>
      </c>
      <c r="T591" t="str">
        <f>IF(S591&lt;=0.15,"Calm",IF(S591&lt;=0.3,"Light Wind",IF(S591&lt;=0.45,"Moderate Wind","Strong Wind")))</f>
        <v>Calm</v>
      </c>
      <c r="U591">
        <v>3</v>
      </c>
      <c r="V591">
        <v>101</v>
      </c>
      <c r="W591">
        <v>104</v>
      </c>
      <c r="X591" t="str">
        <f>IF(W591&lt;=75,"Low Demand",IF(W591&lt;=150,"Medium Demand",IF(W591&lt;=225,"High Demand","Very High Demand")))</f>
        <v>Medium Demand</v>
      </c>
    </row>
    <row r="592" spans="1:24" x14ac:dyDescent="0.25">
      <c r="A592">
        <v>591</v>
      </c>
      <c r="B592" s="2">
        <v>40570</v>
      </c>
      <c r="C592">
        <v>1</v>
      </c>
      <c r="D592">
        <v>0</v>
      </c>
      <c r="E592">
        <v>1</v>
      </c>
      <c r="F592">
        <v>19</v>
      </c>
      <c r="G592" t="str">
        <f>IF(F592&lt;6,"Night",IF(F592&lt;12,"Morning",IF(F592&lt;18,"Afternoon","Evening")))</f>
        <v>Evening</v>
      </c>
      <c r="H592">
        <v>0</v>
      </c>
      <c r="I592">
        <v>4</v>
      </c>
      <c r="J592" t="str">
        <f>CHOOSE(I592+1,"Monday","Tuesday","Wednesday","Thursday","Friday","Saturday","Sunday")</f>
        <v>Friday</v>
      </c>
      <c r="K592">
        <v>1</v>
      </c>
      <c r="L592" t="str">
        <f>CHOOSE(K592+1,"error","Clear","Misty","Rainy","Severe heater")</f>
        <v>Clear</v>
      </c>
      <c r="M592">
        <v>0.2</v>
      </c>
      <c r="N592" t="str">
        <f>IF(M592&lt;=0.2,"Low",IF(M592&lt;=0.4,"Mid","High"))</f>
        <v>Low</v>
      </c>
      <c r="O592">
        <v>0.2273</v>
      </c>
      <c r="P592" t="str">
        <f>IF(O592&lt;=0.15,"Very Cold",IF(O592&lt;=0.3,"Cold",IF(O592&lt;=0.45,"Pleasant","Hot")))</f>
        <v>Cold</v>
      </c>
      <c r="Q592">
        <v>0.69</v>
      </c>
      <c r="R592" t="str">
        <f>IF(Q592&lt;=0.25,"Low ",IF(Q592&lt;=0.5,"Moderate ",IF(Q592&lt;=0.75,"High ","Very High ")))</f>
        <v xml:space="preserve">High </v>
      </c>
      <c r="S592">
        <v>8.9599999999999999E-2</v>
      </c>
      <c r="T592" t="str">
        <f>IF(S592&lt;=0.15,"Calm",IF(S592&lt;=0.3,"Light Wind",IF(S592&lt;=0.45,"Moderate Wind","Strong Wind")))</f>
        <v>Calm</v>
      </c>
      <c r="U592">
        <v>3</v>
      </c>
      <c r="V592">
        <v>76</v>
      </c>
      <c r="W592">
        <v>79</v>
      </c>
      <c r="X592" t="str">
        <f>IF(W592&lt;=75,"Low Demand",IF(W592&lt;=150,"Medium Demand",IF(W592&lt;=225,"High Demand","Very High Demand")))</f>
        <v>Medium Demand</v>
      </c>
    </row>
    <row r="593" spans="1:24" x14ac:dyDescent="0.25">
      <c r="A593">
        <v>592</v>
      </c>
      <c r="B593" s="2">
        <v>40570</v>
      </c>
      <c r="C593">
        <v>1</v>
      </c>
      <c r="D593">
        <v>0</v>
      </c>
      <c r="E593">
        <v>1</v>
      </c>
      <c r="F593">
        <v>20</v>
      </c>
      <c r="G593" t="str">
        <f>IF(F593&lt;6,"Night",IF(F593&lt;12,"Morning",IF(F593&lt;18,"Afternoon","Evening")))</f>
        <v>Evening</v>
      </c>
      <c r="H593">
        <v>0</v>
      </c>
      <c r="I593">
        <v>4</v>
      </c>
      <c r="J593" t="str">
        <f>CHOOSE(I593+1,"Monday","Tuesday","Wednesday","Thursday","Friday","Saturday","Sunday")</f>
        <v>Friday</v>
      </c>
      <c r="K593">
        <v>1</v>
      </c>
      <c r="L593" t="str">
        <f>CHOOSE(K593+1,"error","Clear","Misty","Rainy","Severe heater")</f>
        <v>Clear</v>
      </c>
      <c r="M593">
        <v>0.18</v>
      </c>
      <c r="N593" t="str">
        <f>IF(M593&lt;=0.2,"Low",IF(M593&lt;=0.4,"Mid","High"))</f>
        <v>Low</v>
      </c>
      <c r="O593">
        <v>0.21210000000000001</v>
      </c>
      <c r="P593" t="str">
        <f>IF(O593&lt;=0.15,"Very Cold",IF(O593&lt;=0.3,"Cold",IF(O593&lt;=0.45,"Pleasant","Hot")))</f>
        <v>Cold</v>
      </c>
      <c r="Q593">
        <v>0.74</v>
      </c>
      <c r="R593" t="str">
        <f>IF(Q593&lt;=0.25,"Low ",IF(Q593&lt;=0.5,"Moderate ",IF(Q593&lt;=0.75,"High ","Very High ")))</f>
        <v xml:space="preserve">High </v>
      </c>
      <c r="S593">
        <v>8.9599999999999999E-2</v>
      </c>
      <c r="T593" t="str">
        <f>IF(S593&lt;=0.15,"Calm",IF(S593&lt;=0.3,"Light Wind",IF(S593&lt;=0.45,"Moderate Wind","Strong Wind")))</f>
        <v>Calm</v>
      </c>
      <c r="U593">
        <v>4</v>
      </c>
      <c r="V593">
        <v>55</v>
      </c>
      <c r="W593">
        <v>59</v>
      </c>
      <c r="X593" t="str">
        <f>IF(W593&lt;=75,"Low Demand",IF(W593&lt;=150,"Medium Demand",IF(W593&lt;=225,"High Demand","Very High Demand")))</f>
        <v>Low Demand</v>
      </c>
    </row>
    <row r="594" spans="1:24" x14ac:dyDescent="0.25">
      <c r="A594">
        <v>593</v>
      </c>
      <c r="B594" s="2">
        <v>40570</v>
      </c>
      <c r="C594">
        <v>1</v>
      </c>
      <c r="D594">
        <v>0</v>
      </c>
      <c r="E594">
        <v>1</v>
      </c>
      <c r="F594">
        <v>21</v>
      </c>
      <c r="G594" t="str">
        <f>IF(F594&lt;6,"Night",IF(F594&lt;12,"Morning",IF(F594&lt;18,"Afternoon","Evening")))</f>
        <v>Evening</v>
      </c>
      <c r="H594">
        <v>0</v>
      </c>
      <c r="I594">
        <v>4</v>
      </c>
      <c r="J594" t="str">
        <f>CHOOSE(I594+1,"Monday","Tuesday","Wednesday","Thursday","Friday","Saturday","Sunday")</f>
        <v>Friday</v>
      </c>
      <c r="K594">
        <v>1</v>
      </c>
      <c r="L594" t="str">
        <f>CHOOSE(K594+1,"error","Clear","Misty","Rainy","Severe heater")</f>
        <v>Clear</v>
      </c>
      <c r="M594">
        <v>0.18</v>
      </c>
      <c r="N594" t="str">
        <f>IF(M594&lt;=0.2,"Low",IF(M594&lt;=0.4,"Mid","High"))</f>
        <v>Low</v>
      </c>
      <c r="O594">
        <v>0.21210000000000001</v>
      </c>
      <c r="P594" t="str">
        <f>IF(O594&lt;=0.15,"Very Cold",IF(O594&lt;=0.3,"Cold",IF(O594&lt;=0.45,"Pleasant","Hot")))</f>
        <v>Cold</v>
      </c>
      <c r="Q594">
        <v>0.74</v>
      </c>
      <c r="R594" t="str">
        <f>IF(Q594&lt;=0.25,"Low ",IF(Q594&lt;=0.5,"Moderate ",IF(Q594&lt;=0.75,"High ","Very High ")))</f>
        <v xml:space="preserve">High </v>
      </c>
      <c r="S594">
        <v>8.9599999999999999E-2</v>
      </c>
      <c r="T594" t="str">
        <f>IF(S594&lt;=0.15,"Calm",IF(S594&lt;=0.3,"Light Wind",IF(S594&lt;=0.45,"Moderate Wind","Strong Wind")))</f>
        <v>Calm</v>
      </c>
      <c r="U594">
        <v>2</v>
      </c>
      <c r="V594">
        <v>36</v>
      </c>
      <c r="W594">
        <v>38</v>
      </c>
      <c r="X594" t="str">
        <f>IF(W594&lt;=75,"Low Demand",IF(W594&lt;=150,"Medium Demand",IF(W594&lt;=225,"High Demand","Very High Demand")))</f>
        <v>Low Demand</v>
      </c>
    </row>
    <row r="595" spans="1:24" x14ac:dyDescent="0.25">
      <c r="A595">
        <v>594</v>
      </c>
      <c r="B595" s="2">
        <v>40570</v>
      </c>
      <c r="C595">
        <v>1</v>
      </c>
      <c r="D595">
        <v>0</v>
      </c>
      <c r="E595">
        <v>1</v>
      </c>
      <c r="F595">
        <v>22</v>
      </c>
      <c r="G595" t="str">
        <f>IF(F595&lt;6,"Night",IF(F595&lt;12,"Morning",IF(F595&lt;18,"Afternoon","Evening")))</f>
        <v>Evening</v>
      </c>
      <c r="H595">
        <v>0</v>
      </c>
      <c r="I595">
        <v>4</v>
      </c>
      <c r="J595" t="str">
        <f>CHOOSE(I595+1,"Monday","Tuesday","Wednesday","Thursday","Friday","Saturday","Sunday")</f>
        <v>Friday</v>
      </c>
      <c r="K595">
        <v>1</v>
      </c>
      <c r="L595" t="str">
        <f>CHOOSE(K595+1,"error","Clear","Misty","Rainy","Severe heater")</f>
        <v>Clear</v>
      </c>
      <c r="M595">
        <v>0.18</v>
      </c>
      <c r="N595" t="str">
        <f>IF(M595&lt;=0.2,"Low",IF(M595&lt;=0.4,"Mid","High"))</f>
        <v>Low</v>
      </c>
      <c r="O595">
        <v>0.21210000000000001</v>
      </c>
      <c r="P595" t="str">
        <f>IF(O595&lt;=0.15,"Very Cold",IF(O595&lt;=0.3,"Cold",IF(O595&lt;=0.45,"Pleasant","Hot")))</f>
        <v>Cold</v>
      </c>
      <c r="Q595">
        <v>0.74</v>
      </c>
      <c r="R595" t="str">
        <f>IF(Q595&lt;=0.25,"Low ",IF(Q595&lt;=0.5,"Moderate ",IF(Q595&lt;=0.75,"High ","Very High ")))</f>
        <v xml:space="preserve">High </v>
      </c>
      <c r="S595">
        <v>8.9599999999999999E-2</v>
      </c>
      <c r="T595" t="str">
        <f>IF(S595&lt;=0.15,"Calm",IF(S595&lt;=0.3,"Light Wind",IF(S595&lt;=0.45,"Moderate Wind","Strong Wind")))</f>
        <v>Calm</v>
      </c>
      <c r="U595">
        <v>0</v>
      </c>
      <c r="V595">
        <v>27</v>
      </c>
      <c r="W595">
        <v>27</v>
      </c>
      <c r="X595" t="str">
        <f>IF(W595&lt;=75,"Low Demand",IF(W595&lt;=150,"Medium Demand",IF(W595&lt;=225,"High Demand","Very High Demand")))</f>
        <v>Low Demand</v>
      </c>
    </row>
    <row r="596" spans="1:24" x14ac:dyDescent="0.25">
      <c r="A596">
        <v>595</v>
      </c>
      <c r="B596" s="2">
        <v>40570</v>
      </c>
      <c r="C596">
        <v>1</v>
      </c>
      <c r="D596">
        <v>0</v>
      </c>
      <c r="E596">
        <v>1</v>
      </c>
      <c r="F596">
        <v>23</v>
      </c>
      <c r="G596" t="str">
        <f>IF(F596&lt;6,"Night",IF(F596&lt;12,"Morning",IF(F596&lt;18,"Afternoon","Evening")))</f>
        <v>Evening</v>
      </c>
      <c r="H596">
        <v>0</v>
      </c>
      <c r="I596">
        <v>4</v>
      </c>
      <c r="J596" t="str">
        <f>CHOOSE(I596+1,"Monday","Tuesday","Wednesday","Thursday","Friday","Saturday","Sunday")</f>
        <v>Friday</v>
      </c>
      <c r="K596">
        <v>1</v>
      </c>
      <c r="L596" t="str">
        <f>CHOOSE(K596+1,"error","Clear","Misty","Rainy","Severe heater")</f>
        <v>Clear</v>
      </c>
      <c r="M596">
        <v>0.18</v>
      </c>
      <c r="N596" t="str">
        <f>IF(M596&lt;=0.2,"Low",IF(M596&lt;=0.4,"Mid","High"))</f>
        <v>Low</v>
      </c>
      <c r="O596">
        <v>0.19700000000000001</v>
      </c>
      <c r="P596" t="str">
        <f>IF(O596&lt;=0.15,"Very Cold",IF(O596&lt;=0.3,"Cold",IF(O596&lt;=0.45,"Pleasant","Hot")))</f>
        <v>Cold</v>
      </c>
      <c r="Q596">
        <v>0.8</v>
      </c>
      <c r="R596" t="str">
        <f>IF(Q596&lt;=0.25,"Low ",IF(Q596&lt;=0.5,"Moderate ",IF(Q596&lt;=0.75,"High ","Very High ")))</f>
        <v xml:space="preserve">Very High </v>
      </c>
      <c r="S596">
        <v>0.16420000000000001</v>
      </c>
      <c r="T596" t="str">
        <f>IF(S596&lt;=0.15,"Calm",IF(S596&lt;=0.3,"Light Wind",IF(S596&lt;=0.45,"Moderate Wind","Strong Wind")))</f>
        <v>Light Wind</v>
      </c>
      <c r="U596">
        <v>0</v>
      </c>
      <c r="V596">
        <v>16</v>
      </c>
      <c r="W596">
        <v>16</v>
      </c>
      <c r="X596" t="str">
        <f>IF(W596&lt;=75,"Low Demand",IF(W596&lt;=150,"Medium Demand",IF(W596&lt;=225,"High Demand","Very High Demand")))</f>
        <v>Low Demand</v>
      </c>
    </row>
    <row r="597" spans="1:24" x14ac:dyDescent="0.25">
      <c r="A597">
        <v>596</v>
      </c>
      <c r="B597" s="2">
        <v>40571</v>
      </c>
      <c r="C597">
        <v>1</v>
      </c>
      <c r="D597">
        <v>0</v>
      </c>
      <c r="E597">
        <v>1</v>
      </c>
      <c r="F597">
        <v>0</v>
      </c>
      <c r="G597" t="str">
        <f>IF(F597&lt;6,"Night",IF(F597&lt;12,"Morning",IF(F597&lt;18,"Afternoon","Evening")))</f>
        <v>Night</v>
      </c>
      <c r="H597">
        <v>0</v>
      </c>
      <c r="I597">
        <v>5</v>
      </c>
      <c r="J597" t="str">
        <f>CHOOSE(I597+1,"Monday","Tuesday","Wednesday","Thursday","Friday","Saturday","Sunday")</f>
        <v>Saturday</v>
      </c>
      <c r="K597">
        <v>2</v>
      </c>
      <c r="L597" t="str">
        <f>CHOOSE(K597+1,"error","Clear","Misty","Rainy","Severe heater")</f>
        <v>Misty</v>
      </c>
      <c r="M597">
        <v>0.2</v>
      </c>
      <c r="N597" t="str">
        <f>IF(M597&lt;=0.2,"Low",IF(M597&lt;=0.4,"Mid","High"))</f>
        <v>Low</v>
      </c>
      <c r="O597">
        <v>0.21210000000000001</v>
      </c>
      <c r="P597" t="str">
        <f>IF(O597&lt;=0.15,"Very Cold",IF(O597&lt;=0.3,"Cold",IF(O597&lt;=0.45,"Pleasant","Hot")))</f>
        <v>Cold</v>
      </c>
      <c r="Q597">
        <v>0.75</v>
      </c>
      <c r="R597" t="str">
        <f>IF(Q597&lt;=0.25,"Low ",IF(Q597&lt;=0.5,"Moderate ",IF(Q597&lt;=0.75,"High ","Very High ")))</f>
        <v xml:space="preserve">High </v>
      </c>
      <c r="S597">
        <v>0.1343</v>
      </c>
      <c r="T597" t="str">
        <f>IF(S597&lt;=0.15,"Calm",IF(S597&lt;=0.3,"Light Wind",IF(S597&lt;=0.45,"Moderate Wind","Strong Wind")))</f>
        <v>Calm</v>
      </c>
      <c r="U597">
        <v>0</v>
      </c>
      <c r="V597">
        <v>9</v>
      </c>
      <c r="W597">
        <v>9</v>
      </c>
      <c r="X597" t="str">
        <f>IF(W597&lt;=75,"Low Demand",IF(W597&lt;=150,"Medium Demand",IF(W597&lt;=225,"High Demand","Very High Demand")))</f>
        <v>Low Demand</v>
      </c>
    </row>
    <row r="598" spans="1:24" x14ac:dyDescent="0.25">
      <c r="A598">
        <v>597</v>
      </c>
      <c r="B598" s="2">
        <v>40571</v>
      </c>
      <c r="C598">
        <v>1</v>
      </c>
      <c r="D598">
        <v>0</v>
      </c>
      <c r="E598">
        <v>1</v>
      </c>
      <c r="F598">
        <v>1</v>
      </c>
      <c r="G598" t="str">
        <f>IF(F598&lt;6,"Night",IF(F598&lt;12,"Morning",IF(F598&lt;18,"Afternoon","Evening")))</f>
        <v>Night</v>
      </c>
      <c r="H598">
        <v>0</v>
      </c>
      <c r="I598">
        <v>5</v>
      </c>
      <c r="J598" t="str">
        <f>CHOOSE(I598+1,"Monday","Tuesday","Wednesday","Thursday","Friday","Saturday","Sunday")</f>
        <v>Saturday</v>
      </c>
      <c r="K598">
        <v>2</v>
      </c>
      <c r="L598" t="str">
        <f>CHOOSE(K598+1,"error","Clear","Misty","Rainy","Severe heater")</f>
        <v>Misty</v>
      </c>
      <c r="M598">
        <v>0.2</v>
      </c>
      <c r="N598" t="str">
        <f>IF(M598&lt;=0.2,"Low",IF(M598&lt;=0.4,"Mid","High"))</f>
        <v>Low</v>
      </c>
      <c r="O598">
        <v>0.21210000000000001</v>
      </c>
      <c r="P598" t="str">
        <f>IF(O598&lt;=0.15,"Very Cold",IF(O598&lt;=0.3,"Cold",IF(O598&lt;=0.45,"Pleasant","Hot")))</f>
        <v>Cold</v>
      </c>
      <c r="Q598">
        <v>0.75</v>
      </c>
      <c r="R598" t="str">
        <f>IF(Q598&lt;=0.25,"Low ",IF(Q598&lt;=0.5,"Moderate ",IF(Q598&lt;=0.75,"High ","Very High ")))</f>
        <v xml:space="preserve">High </v>
      </c>
      <c r="S598">
        <v>0.1343</v>
      </c>
      <c r="T598" t="str">
        <f>IF(S598&lt;=0.15,"Calm",IF(S598&lt;=0.3,"Light Wind",IF(S598&lt;=0.45,"Moderate Wind","Strong Wind")))</f>
        <v>Calm</v>
      </c>
      <c r="U598">
        <v>1</v>
      </c>
      <c r="V598">
        <v>2</v>
      </c>
      <c r="W598">
        <v>3</v>
      </c>
      <c r="X598" t="str">
        <f>IF(W598&lt;=75,"Low Demand",IF(W598&lt;=150,"Medium Demand",IF(W598&lt;=225,"High Demand","Very High Demand")))</f>
        <v>Low Demand</v>
      </c>
    </row>
    <row r="599" spans="1:24" x14ac:dyDescent="0.25">
      <c r="A599">
        <v>598</v>
      </c>
      <c r="B599" s="2">
        <v>40571</v>
      </c>
      <c r="C599">
        <v>1</v>
      </c>
      <c r="D599">
        <v>0</v>
      </c>
      <c r="E599">
        <v>1</v>
      </c>
      <c r="F599">
        <v>2</v>
      </c>
      <c r="G599" t="str">
        <f>IF(F599&lt;6,"Night",IF(F599&lt;12,"Morning",IF(F599&lt;18,"Afternoon","Evening")))</f>
        <v>Night</v>
      </c>
      <c r="H599">
        <v>0</v>
      </c>
      <c r="I599">
        <v>5</v>
      </c>
      <c r="J599" t="str">
        <f>CHOOSE(I599+1,"Monday","Tuesday","Wednesday","Thursday","Friday","Saturday","Sunday")</f>
        <v>Saturday</v>
      </c>
      <c r="K599">
        <v>2</v>
      </c>
      <c r="L599" t="str">
        <f>CHOOSE(K599+1,"error","Clear","Misty","Rainy","Severe heater")</f>
        <v>Misty</v>
      </c>
      <c r="M599">
        <v>0.2</v>
      </c>
      <c r="N599" t="str">
        <f>IF(M599&lt;=0.2,"Low",IF(M599&lt;=0.4,"Mid","High"))</f>
        <v>Low</v>
      </c>
      <c r="O599">
        <v>0.21210000000000001</v>
      </c>
      <c r="P599" t="str">
        <f>IF(O599&lt;=0.15,"Very Cold",IF(O599&lt;=0.3,"Cold",IF(O599&lt;=0.45,"Pleasant","Hot")))</f>
        <v>Cold</v>
      </c>
      <c r="Q599">
        <v>0.75</v>
      </c>
      <c r="R599" t="str">
        <f>IF(Q599&lt;=0.25,"Low ",IF(Q599&lt;=0.5,"Moderate ",IF(Q599&lt;=0.75,"High ","Very High ")))</f>
        <v xml:space="preserve">High </v>
      </c>
      <c r="S599">
        <v>0.16420000000000001</v>
      </c>
      <c r="T599" t="str">
        <f>IF(S599&lt;=0.15,"Calm",IF(S599&lt;=0.3,"Light Wind",IF(S599&lt;=0.45,"Moderate Wind","Strong Wind")))</f>
        <v>Light Wind</v>
      </c>
      <c r="U599">
        <v>0</v>
      </c>
      <c r="V599">
        <v>2</v>
      </c>
      <c r="W599">
        <v>2</v>
      </c>
      <c r="X599" t="str">
        <f>IF(W599&lt;=75,"Low Demand",IF(W599&lt;=150,"Medium Demand",IF(W599&lt;=225,"High Demand","Very High Demand")))</f>
        <v>Low Demand</v>
      </c>
    </row>
    <row r="600" spans="1:24" x14ac:dyDescent="0.25">
      <c r="A600">
        <v>599</v>
      </c>
      <c r="B600" s="2">
        <v>40571</v>
      </c>
      <c r="C600">
        <v>1</v>
      </c>
      <c r="D600">
        <v>0</v>
      </c>
      <c r="E600">
        <v>1</v>
      </c>
      <c r="F600">
        <v>3</v>
      </c>
      <c r="G600" t="str">
        <f>IF(F600&lt;6,"Night",IF(F600&lt;12,"Morning",IF(F600&lt;18,"Afternoon","Evening")))</f>
        <v>Night</v>
      </c>
      <c r="H600">
        <v>0</v>
      </c>
      <c r="I600">
        <v>5</v>
      </c>
      <c r="J600" t="str">
        <f>CHOOSE(I600+1,"Monday","Tuesday","Wednesday","Thursday","Friday","Saturday","Sunday")</f>
        <v>Saturday</v>
      </c>
      <c r="K600">
        <v>2</v>
      </c>
      <c r="L600" t="str">
        <f>CHOOSE(K600+1,"error","Clear","Misty","Rainy","Severe heater")</f>
        <v>Misty</v>
      </c>
      <c r="M600">
        <v>0.2</v>
      </c>
      <c r="N600" t="str">
        <f>IF(M600&lt;=0.2,"Low",IF(M600&lt;=0.4,"Mid","High"))</f>
        <v>Low</v>
      </c>
      <c r="O600">
        <v>0.2273</v>
      </c>
      <c r="P600" t="str">
        <f>IF(O600&lt;=0.15,"Very Cold",IF(O600&lt;=0.3,"Cold",IF(O600&lt;=0.45,"Pleasant","Hot")))</f>
        <v>Cold</v>
      </c>
      <c r="Q600">
        <v>0.75</v>
      </c>
      <c r="R600" t="str">
        <f>IF(Q600&lt;=0.25,"Low ",IF(Q600&lt;=0.5,"Moderate ",IF(Q600&lt;=0.75,"High ","Very High ")))</f>
        <v xml:space="preserve">High </v>
      </c>
      <c r="S600">
        <v>0.1045</v>
      </c>
      <c r="T600" t="str">
        <f>IF(S600&lt;=0.15,"Calm",IF(S600&lt;=0.3,"Light Wind",IF(S600&lt;=0.45,"Moderate Wind","Strong Wind")))</f>
        <v>Calm</v>
      </c>
      <c r="U600">
        <v>1</v>
      </c>
      <c r="V600">
        <v>0</v>
      </c>
      <c r="W600">
        <v>1</v>
      </c>
      <c r="X600" t="str">
        <f>IF(W600&lt;=75,"Low Demand",IF(W600&lt;=150,"Medium Demand",IF(W600&lt;=225,"High Demand","Very High Demand")))</f>
        <v>Low Demand</v>
      </c>
    </row>
    <row r="601" spans="1:24" x14ac:dyDescent="0.25">
      <c r="A601">
        <v>600</v>
      </c>
      <c r="B601" s="2">
        <v>40571</v>
      </c>
      <c r="C601">
        <v>1</v>
      </c>
      <c r="D601">
        <v>0</v>
      </c>
      <c r="E601">
        <v>1</v>
      </c>
      <c r="F601">
        <v>5</v>
      </c>
      <c r="G601" t="str">
        <f>IF(F601&lt;6,"Night",IF(F601&lt;12,"Morning",IF(F601&lt;18,"Afternoon","Evening")))</f>
        <v>Night</v>
      </c>
      <c r="H601">
        <v>0</v>
      </c>
      <c r="I601">
        <v>5</v>
      </c>
      <c r="J601" t="str">
        <f>CHOOSE(I601+1,"Monday","Tuesday","Wednesday","Thursday","Friday","Saturday","Sunday")</f>
        <v>Saturday</v>
      </c>
      <c r="K601">
        <v>2</v>
      </c>
      <c r="L601" t="str">
        <f>CHOOSE(K601+1,"error","Clear","Misty","Rainy","Severe heater")</f>
        <v>Misty</v>
      </c>
      <c r="M601">
        <v>0.18</v>
      </c>
      <c r="N601" t="str">
        <f>IF(M601&lt;=0.2,"Low",IF(M601&lt;=0.4,"Mid","High"))</f>
        <v>Low</v>
      </c>
      <c r="O601">
        <v>0.21210000000000001</v>
      </c>
      <c r="P601" t="str">
        <f>IF(O601&lt;=0.15,"Very Cold",IF(O601&lt;=0.3,"Cold",IF(O601&lt;=0.45,"Pleasant","Hot")))</f>
        <v>Cold</v>
      </c>
      <c r="Q601">
        <v>0.8</v>
      </c>
      <c r="R601" t="str">
        <f>IF(Q601&lt;=0.25,"Low ",IF(Q601&lt;=0.5,"Moderate ",IF(Q601&lt;=0.75,"High ","Very High ")))</f>
        <v xml:space="preserve">Very High </v>
      </c>
      <c r="S601">
        <v>0.1045</v>
      </c>
      <c r="T601" t="str">
        <f>IF(S601&lt;=0.15,"Calm",IF(S601&lt;=0.3,"Light Wind",IF(S601&lt;=0.45,"Moderate Wind","Strong Wind")))</f>
        <v>Calm</v>
      </c>
      <c r="U601">
        <v>0</v>
      </c>
      <c r="V601">
        <v>4</v>
      </c>
      <c r="W601">
        <v>4</v>
      </c>
      <c r="X601" t="str">
        <f>IF(W601&lt;=75,"Low Demand",IF(W601&lt;=150,"Medium Demand",IF(W601&lt;=225,"High Demand","Very High Demand")))</f>
        <v>Low Demand</v>
      </c>
    </row>
    <row r="602" spans="1:24" x14ac:dyDescent="0.25">
      <c r="A602">
        <v>601</v>
      </c>
      <c r="B602" s="2">
        <v>40571</v>
      </c>
      <c r="C602">
        <v>1</v>
      </c>
      <c r="D602">
        <v>0</v>
      </c>
      <c r="E602">
        <v>1</v>
      </c>
      <c r="F602">
        <v>6</v>
      </c>
      <c r="G602" t="str">
        <f>IF(F602&lt;6,"Night",IF(F602&lt;12,"Morning",IF(F602&lt;18,"Afternoon","Evening")))</f>
        <v>Morning</v>
      </c>
      <c r="H602">
        <v>0</v>
      </c>
      <c r="I602">
        <v>5</v>
      </c>
      <c r="J602" t="str">
        <f>CHOOSE(I602+1,"Monday","Tuesday","Wednesday","Thursday","Friday","Saturday","Sunday")</f>
        <v>Saturday</v>
      </c>
      <c r="K602">
        <v>2</v>
      </c>
      <c r="L602" t="str">
        <f>CHOOSE(K602+1,"error","Clear","Misty","Rainy","Severe heater")</f>
        <v>Misty</v>
      </c>
      <c r="M602">
        <v>0.18</v>
      </c>
      <c r="N602" t="str">
        <f>IF(M602&lt;=0.2,"Low",IF(M602&lt;=0.4,"Mid","High"))</f>
        <v>Low</v>
      </c>
      <c r="O602">
        <v>0.19700000000000001</v>
      </c>
      <c r="P602" t="str">
        <f>IF(O602&lt;=0.15,"Very Cold",IF(O602&lt;=0.3,"Cold",IF(O602&lt;=0.45,"Pleasant","Hot")))</f>
        <v>Cold</v>
      </c>
      <c r="Q602">
        <v>0.8</v>
      </c>
      <c r="R602" t="str">
        <f>IF(Q602&lt;=0.25,"Low ",IF(Q602&lt;=0.5,"Moderate ",IF(Q602&lt;=0.75,"High ","Very High ")))</f>
        <v xml:space="preserve">Very High </v>
      </c>
      <c r="S602">
        <v>0.1343</v>
      </c>
      <c r="T602" t="str">
        <f>IF(S602&lt;=0.15,"Calm",IF(S602&lt;=0.3,"Light Wind",IF(S602&lt;=0.45,"Moderate Wind","Strong Wind")))</f>
        <v>Calm</v>
      </c>
      <c r="U602">
        <v>0</v>
      </c>
      <c r="V602">
        <v>16</v>
      </c>
      <c r="W602">
        <v>16</v>
      </c>
      <c r="X602" t="str">
        <f>IF(W602&lt;=75,"Low Demand",IF(W602&lt;=150,"Medium Demand",IF(W602&lt;=225,"High Demand","Very High Demand")))</f>
        <v>Low Demand</v>
      </c>
    </row>
    <row r="603" spans="1:24" x14ac:dyDescent="0.25">
      <c r="A603">
        <v>602</v>
      </c>
      <c r="B603" s="2">
        <v>40571</v>
      </c>
      <c r="C603">
        <v>1</v>
      </c>
      <c r="D603">
        <v>0</v>
      </c>
      <c r="E603">
        <v>1</v>
      </c>
      <c r="F603">
        <v>7</v>
      </c>
      <c r="G603" t="str">
        <f>IF(F603&lt;6,"Night",IF(F603&lt;12,"Morning",IF(F603&lt;18,"Afternoon","Evening")))</f>
        <v>Morning</v>
      </c>
      <c r="H603">
        <v>0</v>
      </c>
      <c r="I603">
        <v>5</v>
      </c>
      <c r="J603" t="str">
        <f>CHOOSE(I603+1,"Monday","Tuesday","Wednesday","Thursday","Friday","Saturday","Sunday")</f>
        <v>Saturday</v>
      </c>
      <c r="K603">
        <v>2</v>
      </c>
      <c r="L603" t="str">
        <f>CHOOSE(K603+1,"error","Clear","Misty","Rainy","Severe heater")</f>
        <v>Misty</v>
      </c>
      <c r="M603">
        <v>0.16</v>
      </c>
      <c r="N603" t="str">
        <f>IF(M603&lt;=0.2,"Low",IF(M603&lt;=0.4,"Mid","High"))</f>
        <v>Low</v>
      </c>
      <c r="O603">
        <v>0.19700000000000001</v>
      </c>
      <c r="P603" t="str">
        <f>IF(O603&lt;=0.15,"Very Cold",IF(O603&lt;=0.3,"Cold",IF(O603&lt;=0.45,"Pleasant","Hot")))</f>
        <v>Cold</v>
      </c>
      <c r="Q603">
        <v>0.86</v>
      </c>
      <c r="R603" t="str">
        <f>IF(Q603&lt;=0.25,"Low ",IF(Q603&lt;=0.5,"Moderate ",IF(Q603&lt;=0.75,"High ","Very High ")))</f>
        <v xml:space="preserve">Very High </v>
      </c>
      <c r="S603">
        <v>8.9599999999999999E-2</v>
      </c>
      <c r="T603" t="str">
        <f>IF(S603&lt;=0.15,"Calm",IF(S603&lt;=0.3,"Light Wind",IF(S603&lt;=0.45,"Moderate Wind","Strong Wind")))</f>
        <v>Calm</v>
      </c>
      <c r="U603">
        <v>2</v>
      </c>
      <c r="V603">
        <v>58</v>
      </c>
      <c r="W603">
        <v>60</v>
      </c>
      <c r="X603" t="str">
        <f>IF(W603&lt;=75,"Low Demand",IF(W603&lt;=150,"Medium Demand",IF(W603&lt;=225,"High Demand","Very High Demand")))</f>
        <v>Low Demand</v>
      </c>
    </row>
    <row r="604" spans="1:24" x14ac:dyDescent="0.25">
      <c r="A604">
        <v>603</v>
      </c>
      <c r="B604" s="2">
        <v>40571</v>
      </c>
      <c r="C604">
        <v>1</v>
      </c>
      <c r="D604">
        <v>0</v>
      </c>
      <c r="E604">
        <v>1</v>
      </c>
      <c r="F604">
        <v>8</v>
      </c>
      <c r="G604" t="str">
        <f>IF(F604&lt;6,"Night",IF(F604&lt;12,"Morning",IF(F604&lt;18,"Afternoon","Evening")))</f>
        <v>Morning</v>
      </c>
      <c r="H604">
        <v>0</v>
      </c>
      <c r="I604">
        <v>5</v>
      </c>
      <c r="J604" t="str">
        <f>CHOOSE(I604+1,"Monday","Tuesday","Wednesday","Thursday","Friday","Saturday","Sunday")</f>
        <v>Saturday</v>
      </c>
      <c r="K604">
        <v>2</v>
      </c>
      <c r="L604" t="str">
        <f>CHOOSE(K604+1,"error","Clear","Misty","Rainy","Severe heater")</f>
        <v>Misty</v>
      </c>
      <c r="M604">
        <v>0.16</v>
      </c>
      <c r="N604" t="str">
        <f>IF(M604&lt;=0.2,"Low",IF(M604&lt;=0.4,"Mid","High"))</f>
        <v>Low</v>
      </c>
      <c r="O604">
        <v>0.19700000000000001</v>
      </c>
      <c r="P604" t="str">
        <f>IF(O604&lt;=0.15,"Very Cold",IF(O604&lt;=0.3,"Cold",IF(O604&lt;=0.45,"Pleasant","Hot")))</f>
        <v>Cold</v>
      </c>
      <c r="Q604">
        <v>0.86</v>
      </c>
      <c r="R604" t="str">
        <f>IF(Q604&lt;=0.25,"Low ",IF(Q604&lt;=0.5,"Moderate ",IF(Q604&lt;=0.75,"High ","Very High ")))</f>
        <v xml:space="preserve">Very High </v>
      </c>
      <c r="S604">
        <v>8.9599999999999999E-2</v>
      </c>
      <c r="T604" t="str">
        <f>IF(S604&lt;=0.15,"Calm",IF(S604&lt;=0.3,"Light Wind",IF(S604&lt;=0.45,"Moderate Wind","Strong Wind")))</f>
        <v>Calm</v>
      </c>
      <c r="U604">
        <v>2</v>
      </c>
      <c r="V604">
        <v>155</v>
      </c>
      <c r="W604">
        <v>157</v>
      </c>
      <c r="X604" t="str">
        <f>IF(W604&lt;=75,"Low Demand",IF(W604&lt;=150,"Medium Demand",IF(W604&lt;=225,"High Demand","Very High Demand")))</f>
        <v>High Demand</v>
      </c>
    </row>
    <row r="605" spans="1:24" x14ac:dyDescent="0.25">
      <c r="A605">
        <v>604</v>
      </c>
      <c r="B605" s="2">
        <v>40571</v>
      </c>
      <c r="C605">
        <v>1</v>
      </c>
      <c r="D605">
        <v>0</v>
      </c>
      <c r="E605">
        <v>1</v>
      </c>
      <c r="F605">
        <v>9</v>
      </c>
      <c r="G605" t="str">
        <f>IF(F605&lt;6,"Night",IF(F605&lt;12,"Morning",IF(F605&lt;18,"Afternoon","Evening")))</f>
        <v>Morning</v>
      </c>
      <c r="H605">
        <v>0</v>
      </c>
      <c r="I605">
        <v>5</v>
      </c>
      <c r="J605" t="str">
        <f>CHOOSE(I605+1,"Monday","Tuesday","Wednesday","Thursday","Friday","Saturday","Sunday")</f>
        <v>Saturday</v>
      </c>
      <c r="K605">
        <v>3</v>
      </c>
      <c r="L605" t="str">
        <f>CHOOSE(K605+1,"error","Clear","Misty","Rainy","Severe heater")</f>
        <v>Rainy</v>
      </c>
      <c r="M605">
        <v>0.18</v>
      </c>
      <c r="N605" t="str">
        <f>IF(M605&lt;=0.2,"Low",IF(M605&lt;=0.4,"Mid","High"))</f>
        <v>Low</v>
      </c>
      <c r="O605">
        <v>0.21210000000000001</v>
      </c>
      <c r="P605" t="str">
        <f>IF(O605&lt;=0.15,"Very Cold",IF(O605&lt;=0.3,"Cold",IF(O605&lt;=0.45,"Pleasant","Hot")))</f>
        <v>Cold</v>
      </c>
      <c r="Q605">
        <v>0.86</v>
      </c>
      <c r="R605" t="str">
        <f>IF(Q605&lt;=0.25,"Low ",IF(Q605&lt;=0.5,"Moderate ",IF(Q605&lt;=0.75,"High ","Very High ")))</f>
        <v xml:space="preserve">Very High </v>
      </c>
      <c r="S605">
        <v>8.9599999999999999E-2</v>
      </c>
      <c r="T605" t="str">
        <f>IF(S605&lt;=0.15,"Calm",IF(S605&lt;=0.3,"Light Wind",IF(S605&lt;=0.45,"Moderate Wind","Strong Wind")))</f>
        <v>Calm</v>
      </c>
      <c r="U605">
        <v>6</v>
      </c>
      <c r="V605">
        <v>95</v>
      </c>
      <c r="W605">
        <v>101</v>
      </c>
      <c r="X605" t="str">
        <f>IF(W605&lt;=75,"Low Demand",IF(W605&lt;=150,"Medium Demand",IF(W605&lt;=225,"High Demand","Very High Demand")))</f>
        <v>Medium Demand</v>
      </c>
    </row>
    <row r="606" spans="1:24" x14ac:dyDescent="0.25">
      <c r="A606">
        <v>605</v>
      </c>
      <c r="B606" s="2">
        <v>40571</v>
      </c>
      <c r="C606">
        <v>1</v>
      </c>
      <c r="D606">
        <v>0</v>
      </c>
      <c r="E606">
        <v>1</v>
      </c>
      <c r="F606">
        <v>10</v>
      </c>
      <c r="G606" t="str">
        <f>IF(F606&lt;6,"Night",IF(F606&lt;12,"Morning",IF(F606&lt;18,"Afternoon","Evening")))</f>
        <v>Morning</v>
      </c>
      <c r="H606">
        <v>0</v>
      </c>
      <c r="I606">
        <v>5</v>
      </c>
      <c r="J606" t="str">
        <f>CHOOSE(I606+1,"Monday","Tuesday","Wednesday","Thursday","Friday","Saturday","Sunday")</f>
        <v>Saturday</v>
      </c>
      <c r="K606">
        <v>3</v>
      </c>
      <c r="L606" t="str">
        <f>CHOOSE(K606+1,"error","Clear","Misty","Rainy","Severe heater")</f>
        <v>Rainy</v>
      </c>
      <c r="M606">
        <v>0.18</v>
      </c>
      <c r="N606" t="str">
        <f>IF(M606&lt;=0.2,"Low",IF(M606&lt;=0.4,"Mid","High"))</f>
        <v>Low</v>
      </c>
      <c r="O606">
        <v>0.21210000000000001</v>
      </c>
      <c r="P606" t="str">
        <f>IF(O606&lt;=0.15,"Very Cold",IF(O606&lt;=0.3,"Cold",IF(O606&lt;=0.45,"Pleasant","Hot")))</f>
        <v>Cold</v>
      </c>
      <c r="Q606">
        <v>0.86</v>
      </c>
      <c r="R606" t="str">
        <f>IF(Q606&lt;=0.25,"Low ",IF(Q606&lt;=0.5,"Moderate ",IF(Q606&lt;=0.75,"High ","Very High ")))</f>
        <v xml:space="preserve">Very High </v>
      </c>
      <c r="S606">
        <v>0.1045</v>
      </c>
      <c r="T606" t="str">
        <f>IF(S606&lt;=0.15,"Calm",IF(S606&lt;=0.3,"Light Wind",IF(S606&lt;=0.45,"Moderate Wind","Strong Wind")))</f>
        <v>Calm</v>
      </c>
      <c r="U606">
        <v>0</v>
      </c>
      <c r="V606">
        <v>49</v>
      </c>
      <c r="W606">
        <v>49</v>
      </c>
      <c r="X606" t="str">
        <f>IF(W606&lt;=75,"Low Demand",IF(W606&lt;=150,"Medium Demand",IF(W606&lt;=225,"High Demand","Very High Demand")))</f>
        <v>Low Demand</v>
      </c>
    </row>
    <row r="607" spans="1:24" x14ac:dyDescent="0.25">
      <c r="A607">
        <v>606</v>
      </c>
      <c r="B607" s="2">
        <v>40571</v>
      </c>
      <c r="C607">
        <v>1</v>
      </c>
      <c r="D607">
        <v>0</v>
      </c>
      <c r="E607">
        <v>1</v>
      </c>
      <c r="F607">
        <v>11</v>
      </c>
      <c r="G607" t="str">
        <f>IF(F607&lt;6,"Night",IF(F607&lt;12,"Morning",IF(F607&lt;18,"Afternoon","Evening")))</f>
        <v>Morning</v>
      </c>
      <c r="H607">
        <v>0</v>
      </c>
      <c r="I607">
        <v>5</v>
      </c>
      <c r="J607" t="str">
        <f>CHOOSE(I607+1,"Monday","Tuesday","Wednesday","Thursday","Friday","Saturday","Sunday")</f>
        <v>Saturday</v>
      </c>
      <c r="K607">
        <v>3</v>
      </c>
      <c r="L607" t="str">
        <f>CHOOSE(K607+1,"error","Clear","Misty","Rainy","Severe heater")</f>
        <v>Rainy</v>
      </c>
      <c r="M607">
        <v>0.18</v>
      </c>
      <c r="N607" t="str">
        <f>IF(M607&lt;=0.2,"Low",IF(M607&lt;=0.4,"Mid","High"))</f>
        <v>Low</v>
      </c>
      <c r="O607">
        <v>0.21210000000000001</v>
      </c>
      <c r="P607" t="str">
        <f>IF(O607&lt;=0.15,"Very Cold",IF(O607&lt;=0.3,"Cold",IF(O607&lt;=0.45,"Pleasant","Hot")))</f>
        <v>Cold</v>
      </c>
      <c r="Q607">
        <v>0.93</v>
      </c>
      <c r="R607" t="str">
        <f>IF(Q607&lt;=0.25,"Low ",IF(Q607&lt;=0.5,"Moderate ",IF(Q607&lt;=0.75,"High ","Very High ")))</f>
        <v xml:space="preserve">Very High </v>
      </c>
      <c r="S607">
        <v>0.1045</v>
      </c>
      <c r="T607" t="str">
        <f>IF(S607&lt;=0.15,"Calm",IF(S607&lt;=0.3,"Light Wind",IF(S607&lt;=0.45,"Moderate Wind","Strong Wind")))</f>
        <v>Calm</v>
      </c>
      <c r="U607">
        <v>0</v>
      </c>
      <c r="V607">
        <v>30</v>
      </c>
      <c r="W607">
        <v>30</v>
      </c>
      <c r="X607" t="str">
        <f>IF(W607&lt;=75,"Low Demand",IF(W607&lt;=150,"Medium Demand",IF(W607&lt;=225,"High Demand","Very High Demand")))</f>
        <v>Low Demand</v>
      </c>
    </row>
    <row r="608" spans="1:24" x14ac:dyDescent="0.25">
      <c r="A608">
        <v>607</v>
      </c>
      <c r="B608" s="2">
        <v>40571</v>
      </c>
      <c r="C608">
        <v>1</v>
      </c>
      <c r="D608">
        <v>0</v>
      </c>
      <c r="E608">
        <v>1</v>
      </c>
      <c r="F608">
        <v>12</v>
      </c>
      <c r="G608" t="str">
        <f>IF(F608&lt;6,"Night",IF(F608&lt;12,"Morning",IF(F608&lt;18,"Afternoon","Evening")))</f>
        <v>Afternoon</v>
      </c>
      <c r="H608">
        <v>0</v>
      </c>
      <c r="I608">
        <v>5</v>
      </c>
      <c r="J608" t="str">
        <f>CHOOSE(I608+1,"Monday","Tuesday","Wednesday","Thursday","Friday","Saturday","Sunday")</f>
        <v>Saturday</v>
      </c>
      <c r="K608">
        <v>3</v>
      </c>
      <c r="L608" t="str">
        <f>CHOOSE(K608+1,"error","Clear","Misty","Rainy","Severe heater")</f>
        <v>Rainy</v>
      </c>
      <c r="M608">
        <v>0.18</v>
      </c>
      <c r="N608" t="str">
        <f>IF(M608&lt;=0.2,"Low",IF(M608&lt;=0.4,"Mid","High"))</f>
        <v>Low</v>
      </c>
      <c r="O608">
        <v>0.21210000000000001</v>
      </c>
      <c r="P608" t="str">
        <f>IF(O608&lt;=0.15,"Very Cold",IF(O608&lt;=0.3,"Cold",IF(O608&lt;=0.45,"Pleasant","Hot")))</f>
        <v>Cold</v>
      </c>
      <c r="Q608">
        <v>0.93</v>
      </c>
      <c r="R608" t="str">
        <f>IF(Q608&lt;=0.25,"Low ",IF(Q608&lt;=0.5,"Moderate ",IF(Q608&lt;=0.75,"High ","Very High ")))</f>
        <v xml:space="preserve">Very High </v>
      </c>
      <c r="S608">
        <v>0.1045</v>
      </c>
      <c r="T608" t="str">
        <f>IF(S608&lt;=0.15,"Calm",IF(S608&lt;=0.3,"Light Wind",IF(S608&lt;=0.45,"Moderate Wind","Strong Wind")))</f>
        <v>Calm</v>
      </c>
      <c r="U608">
        <v>1</v>
      </c>
      <c r="V608">
        <v>28</v>
      </c>
      <c r="W608">
        <v>29</v>
      </c>
      <c r="X608" t="str">
        <f>IF(W608&lt;=75,"Low Demand",IF(W608&lt;=150,"Medium Demand",IF(W608&lt;=225,"High Demand","Very High Demand")))</f>
        <v>Low Demand</v>
      </c>
    </row>
    <row r="609" spans="1:24" x14ac:dyDescent="0.25">
      <c r="A609">
        <v>608</v>
      </c>
      <c r="B609" s="2">
        <v>40571</v>
      </c>
      <c r="C609">
        <v>1</v>
      </c>
      <c r="D609">
        <v>0</v>
      </c>
      <c r="E609">
        <v>1</v>
      </c>
      <c r="F609">
        <v>13</v>
      </c>
      <c r="G609" t="str">
        <f>IF(F609&lt;6,"Night",IF(F609&lt;12,"Morning",IF(F609&lt;18,"Afternoon","Evening")))</f>
        <v>Afternoon</v>
      </c>
      <c r="H609">
        <v>0</v>
      </c>
      <c r="I609">
        <v>5</v>
      </c>
      <c r="J609" t="str">
        <f>CHOOSE(I609+1,"Monday","Tuesday","Wednesday","Thursday","Friday","Saturday","Sunday")</f>
        <v>Saturday</v>
      </c>
      <c r="K609">
        <v>3</v>
      </c>
      <c r="L609" t="str">
        <f>CHOOSE(K609+1,"error","Clear","Misty","Rainy","Severe heater")</f>
        <v>Rainy</v>
      </c>
      <c r="M609">
        <v>0.18</v>
      </c>
      <c r="N609" t="str">
        <f>IF(M609&lt;=0.2,"Low",IF(M609&lt;=0.4,"Mid","High"))</f>
        <v>Low</v>
      </c>
      <c r="O609">
        <v>0.21210000000000001</v>
      </c>
      <c r="P609" t="str">
        <f>IF(O609&lt;=0.15,"Very Cold",IF(O609&lt;=0.3,"Cold",IF(O609&lt;=0.45,"Pleasant","Hot")))</f>
        <v>Cold</v>
      </c>
      <c r="Q609">
        <v>0.93</v>
      </c>
      <c r="R609" t="str">
        <f>IF(Q609&lt;=0.25,"Low ",IF(Q609&lt;=0.5,"Moderate ",IF(Q609&lt;=0.75,"High ","Very High ")))</f>
        <v xml:space="preserve">Very High </v>
      </c>
      <c r="S609">
        <v>0.1045</v>
      </c>
      <c r="T609" t="str">
        <f>IF(S609&lt;=0.15,"Calm",IF(S609&lt;=0.3,"Light Wind",IF(S609&lt;=0.45,"Moderate Wind","Strong Wind")))</f>
        <v>Calm</v>
      </c>
      <c r="U609">
        <v>0</v>
      </c>
      <c r="V609">
        <v>31</v>
      </c>
      <c r="W609">
        <v>31</v>
      </c>
      <c r="X609" t="str">
        <f>IF(W609&lt;=75,"Low Demand",IF(W609&lt;=150,"Medium Demand",IF(W609&lt;=225,"High Demand","Very High Demand")))</f>
        <v>Low Demand</v>
      </c>
    </row>
    <row r="610" spans="1:24" x14ac:dyDescent="0.25">
      <c r="A610">
        <v>609</v>
      </c>
      <c r="B610" s="2">
        <v>40571</v>
      </c>
      <c r="C610">
        <v>1</v>
      </c>
      <c r="D610">
        <v>0</v>
      </c>
      <c r="E610">
        <v>1</v>
      </c>
      <c r="F610">
        <v>14</v>
      </c>
      <c r="G610" t="str">
        <f>IF(F610&lt;6,"Night",IF(F610&lt;12,"Morning",IF(F610&lt;18,"Afternoon","Evening")))</f>
        <v>Afternoon</v>
      </c>
      <c r="H610">
        <v>0</v>
      </c>
      <c r="I610">
        <v>5</v>
      </c>
      <c r="J610" t="str">
        <f>CHOOSE(I610+1,"Monday","Tuesday","Wednesday","Thursday","Friday","Saturday","Sunday")</f>
        <v>Saturday</v>
      </c>
      <c r="K610">
        <v>3</v>
      </c>
      <c r="L610" t="str">
        <f>CHOOSE(K610+1,"error","Clear","Misty","Rainy","Severe heater")</f>
        <v>Rainy</v>
      </c>
      <c r="M610">
        <v>0.22</v>
      </c>
      <c r="N610" t="str">
        <f>IF(M610&lt;=0.2,"Low",IF(M610&lt;=0.4,"Mid","High"))</f>
        <v>Mid</v>
      </c>
      <c r="O610">
        <v>0.2727</v>
      </c>
      <c r="P610" t="str">
        <f>IF(O610&lt;=0.15,"Very Cold",IF(O610&lt;=0.3,"Cold",IF(O610&lt;=0.45,"Pleasant","Hot")))</f>
        <v>Cold</v>
      </c>
      <c r="Q610">
        <v>0.8</v>
      </c>
      <c r="R610" t="str">
        <f>IF(Q610&lt;=0.25,"Low ",IF(Q610&lt;=0.5,"Moderate ",IF(Q610&lt;=0.75,"High ","Very High ")))</f>
        <v xml:space="preserve">Very High </v>
      </c>
      <c r="S610">
        <v>0</v>
      </c>
      <c r="T610" t="str">
        <f>IF(S610&lt;=0.15,"Calm",IF(S610&lt;=0.3,"Light Wind",IF(S610&lt;=0.45,"Moderate Wind","Strong Wind")))</f>
        <v>Calm</v>
      </c>
      <c r="U610">
        <v>2</v>
      </c>
      <c r="V610">
        <v>36</v>
      </c>
      <c r="W610">
        <v>38</v>
      </c>
      <c r="X610" t="str">
        <f>IF(W610&lt;=75,"Low Demand",IF(W610&lt;=150,"Medium Demand",IF(W610&lt;=225,"High Demand","Very High Demand")))</f>
        <v>Low Demand</v>
      </c>
    </row>
    <row r="611" spans="1:24" x14ac:dyDescent="0.25">
      <c r="A611">
        <v>610</v>
      </c>
      <c r="B611" s="2">
        <v>40571</v>
      </c>
      <c r="C611">
        <v>1</v>
      </c>
      <c r="D611">
        <v>0</v>
      </c>
      <c r="E611">
        <v>1</v>
      </c>
      <c r="F611">
        <v>15</v>
      </c>
      <c r="G611" t="str">
        <f>IF(F611&lt;6,"Night",IF(F611&lt;12,"Morning",IF(F611&lt;18,"Afternoon","Evening")))</f>
        <v>Afternoon</v>
      </c>
      <c r="H611">
        <v>0</v>
      </c>
      <c r="I611">
        <v>5</v>
      </c>
      <c r="J611" t="str">
        <f>CHOOSE(I611+1,"Monday","Tuesday","Wednesday","Thursday","Friday","Saturday","Sunday")</f>
        <v>Saturday</v>
      </c>
      <c r="K611">
        <v>2</v>
      </c>
      <c r="L611" t="str">
        <f>CHOOSE(K611+1,"error","Clear","Misty","Rainy","Severe heater")</f>
        <v>Misty</v>
      </c>
      <c r="M611">
        <v>0.2</v>
      </c>
      <c r="N611" t="str">
        <f>IF(M611&lt;=0.2,"Low",IF(M611&lt;=0.4,"Mid","High"))</f>
        <v>Low</v>
      </c>
      <c r="O611">
        <v>0.2576</v>
      </c>
      <c r="P611" t="str">
        <f>IF(O611&lt;=0.15,"Very Cold",IF(O611&lt;=0.3,"Cold",IF(O611&lt;=0.45,"Pleasant","Hot")))</f>
        <v>Cold</v>
      </c>
      <c r="Q611">
        <v>0.86</v>
      </c>
      <c r="R611" t="str">
        <f>IF(Q611&lt;=0.25,"Low ",IF(Q611&lt;=0.5,"Moderate ",IF(Q611&lt;=0.75,"High ","Very High ")))</f>
        <v xml:space="preserve">Very High </v>
      </c>
      <c r="S611">
        <v>0</v>
      </c>
      <c r="T611" t="str">
        <f>IF(S611&lt;=0.15,"Calm",IF(S611&lt;=0.3,"Light Wind",IF(S611&lt;=0.45,"Moderate Wind","Strong Wind")))</f>
        <v>Calm</v>
      </c>
      <c r="U611">
        <v>1</v>
      </c>
      <c r="V611">
        <v>40</v>
      </c>
      <c r="W611">
        <v>41</v>
      </c>
      <c r="X611" t="str">
        <f>IF(W611&lt;=75,"Low Demand",IF(W611&lt;=150,"Medium Demand",IF(W611&lt;=225,"High Demand","Very High Demand")))</f>
        <v>Low Demand</v>
      </c>
    </row>
    <row r="612" spans="1:24" x14ac:dyDescent="0.25">
      <c r="A612">
        <v>611</v>
      </c>
      <c r="B612" s="2">
        <v>40571</v>
      </c>
      <c r="C612">
        <v>1</v>
      </c>
      <c r="D612">
        <v>0</v>
      </c>
      <c r="E612">
        <v>1</v>
      </c>
      <c r="F612">
        <v>16</v>
      </c>
      <c r="G612" t="str">
        <f>IF(F612&lt;6,"Night",IF(F612&lt;12,"Morning",IF(F612&lt;18,"Afternoon","Evening")))</f>
        <v>Afternoon</v>
      </c>
      <c r="H612">
        <v>0</v>
      </c>
      <c r="I612">
        <v>5</v>
      </c>
      <c r="J612" t="str">
        <f>CHOOSE(I612+1,"Monday","Tuesday","Wednesday","Thursday","Friday","Saturday","Sunday")</f>
        <v>Saturday</v>
      </c>
      <c r="K612">
        <v>1</v>
      </c>
      <c r="L612" t="str">
        <f>CHOOSE(K612+1,"error","Clear","Misty","Rainy","Severe heater")</f>
        <v>Clear</v>
      </c>
      <c r="M612" s="1">
        <v>0.22</v>
      </c>
      <c r="N612" t="str">
        <f>IF(M612&lt;=0.2,"Low",IF(M612&lt;=0.4,"Mid","High"))</f>
        <v>Mid</v>
      </c>
      <c r="O612" s="1">
        <v>0.2273</v>
      </c>
      <c r="P612" t="str">
        <f>IF(O612&lt;=0.15,"Very Cold",IF(O612&lt;=0.3,"Cold",IF(O612&lt;=0.45,"Pleasant","Hot")))</f>
        <v>Cold</v>
      </c>
      <c r="Q612">
        <v>0.8</v>
      </c>
      <c r="R612" t="str">
        <f>IF(Q612&lt;=0.25,"Low ",IF(Q612&lt;=0.5,"Moderate ",IF(Q612&lt;=0.75,"High ","Very High ")))</f>
        <v xml:space="preserve">Very High </v>
      </c>
      <c r="S612">
        <v>0</v>
      </c>
      <c r="T612" t="str">
        <f>IF(S612&lt;=0.15,"Calm",IF(S612&lt;=0.3,"Light Wind",IF(S612&lt;=0.45,"Moderate Wind","Strong Wind")))</f>
        <v>Calm</v>
      </c>
      <c r="U612">
        <v>10</v>
      </c>
      <c r="V612">
        <v>70</v>
      </c>
      <c r="W612">
        <v>80</v>
      </c>
      <c r="X612" t="str">
        <f>IF(W612&lt;=75,"Low Demand",IF(W612&lt;=150,"Medium Demand",IF(W612&lt;=225,"High Demand","Very High Demand")))</f>
        <v>Medium Demand</v>
      </c>
    </row>
    <row r="613" spans="1:24" x14ac:dyDescent="0.25">
      <c r="A613">
        <v>612</v>
      </c>
      <c r="B613" s="2">
        <v>40571</v>
      </c>
      <c r="C613">
        <v>1</v>
      </c>
      <c r="D613">
        <v>0</v>
      </c>
      <c r="E613">
        <v>1</v>
      </c>
      <c r="F613">
        <v>17</v>
      </c>
      <c r="G613" t="str">
        <f>IF(F613&lt;6,"Night",IF(F613&lt;12,"Morning",IF(F613&lt;18,"Afternoon","Evening")))</f>
        <v>Afternoon</v>
      </c>
      <c r="H613">
        <v>0</v>
      </c>
      <c r="I613">
        <v>5</v>
      </c>
      <c r="J613" t="str">
        <f>CHOOSE(I613+1,"Monday","Tuesday","Wednesday","Thursday","Friday","Saturday","Sunday")</f>
        <v>Saturday</v>
      </c>
      <c r="K613">
        <v>1</v>
      </c>
      <c r="L613" t="str">
        <f>CHOOSE(K613+1,"error","Clear","Misty","Rainy","Severe heater")</f>
        <v>Clear</v>
      </c>
      <c r="M613" s="1">
        <v>0.22</v>
      </c>
      <c r="N613" t="str">
        <f>IF(M613&lt;=0.2,"Low",IF(M613&lt;=0.4,"Mid","High"))</f>
        <v>Mid</v>
      </c>
      <c r="O613" s="1">
        <v>0.2273</v>
      </c>
      <c r="P613" t="str">
        <f>IF(O613&lt;=0.15,"Very Cold",IF(O613&lt;=0.3,"Cold",IF(O613&lt;=0.45,"Pleasant","Hot")))</f>
        <v>Cold</v>
      </c>
      <c r="Q613">
        <v>0.75</v>
      </c>
      <c r="R613" t="str">
        <f>IF(Q613&lt;=0.25,"Low ",IF(Q613&lt;=0.5,"Moderate ",IF(Q613&lt;=0.75,"High ","Very High ")))</f>
        <v xml:space="preserve">High </v>
      </c>
      <c r="S613">
        <v>0.1343</v>
      </c>
      <c r="T613" t="str">
        <f>IF(S613&lt;=0.15,"Calm",IF(S613&lt;=0.3,"Light Wind",IF(S613&lt;=0.45,"Moderate Wind","Strong Wind")))</f>
        <v>Calm</v>
      </c>
      <c r="U613">
        <v>2</v>
      </c>
      <c r="V613">
        <v>147</v>
      </c>
      <c r="W613">
        <v>149</v>
      </c>
      <c r="X613" t="str">
        <f>IF(W613&lt;=75,"Low Demand",IF(W613&lt;=150,"Medium Demand",IF(W613&lt;=225,"High Demand","Very High Demand")))</f>
        <v>Medium Demand</v>
      </c>
    </row>
    <row r="614" spans="1:24" x14ac:dyDescent="0.25">
      <c r="A614">
        <v>613</v>
      </c>
      <c r="B614" s="2">
        <v>40571</v>
      </c>
      <c r="C614">
        <v>1</v>
      </c>
      <c r="D614">
        <v>0</v>
      </c>
      <c r="E614">
        <v>1</v>
      </c>
      <c r="F614">
        <v>18</v>
      </c>
      <c r="G614" t="str">
        <f>IF(F614&lt;6,"Night",IF(F614&lt;12,"Morning",IF(F614&lt;18,"Afternoon","Evening")))</f>
        <v>Evening</v>
      </c>
      <c r="H614">
        <v>0</v>
      </c>
      <c r="I614">
        <v>5</v>
      </c>
      <c r="J614" t="str">
        <f>CHOOSE(I614+1,"Monday","Tuesday","Wednesday","Thursday","Friday","Saturday","Sunday")</f>
        <v>Saturday</v>
      </c>
      <c r="K614">
        <v>1</v>
      </c>
      <c r="L614" t="str">
        <f>CHOOSE(K614+1,"error","Clear","Misty","Rainy","Severe heater")</f>
        <v>Clear</v>
      </c>
      <c r="M614" s="1">
        <v>0.2</v>
      </c>
      <c r="N614" t="str">
        <f>IF(M614&lt;=0.2,"Low",IF(M614&lt;=0.4,"Mid","High"))</f>
        <v>Low</v>
      </c>
      <c r="O614" s="1">
        <v>0.21210000000000001</v>
      </c>
      <c r="P614" t="str">
        <f>IF(O614&lt;=0.15,"Very Cold",IF(O614&lt;=0.3,"Cold",IF(O614&lt;=0.45,"Pleasant","Hot")))</f>
        <v>Cold</v>
      </c>
      <c r="Q614">
        <v>0.75</v>
      </c>
      <c r="R614" t="str">
        <f>IF(Q614&lt;=0.25,"Low ",IF(Q614&lt;=0.5,"Moderate ",IF(Q614&lt;=0.75,"High ","Very High ")))</f>
        <v xml:space="preserve">High </v>
      </c>
      <c r="S614">
        <v>0.19400000000000001</v>
      </c>
      <c r="T614" t="str">
        <f>IF(S614&lt;=0.15,"Calm",IF(S614&lt;=0.3,"Light Wind",IF(S614&lt;=0.45,"Moderate Wind","Strong Wind")))</f>
        <v>Light Wind</v>
      </c>
      <c r="U614">
        <v>2</v>
      </c>
      <c r="V614">
        <v>107</v>
      </c>
      <c r="W614">
        <v>109</v>
      </c>
      <c r="X614" t="str">
        <f>IF(W614&lt;=75,"Low Demand",IF(W614&lt;=150,"Medium Demand",IF(W614&lt;=225,"High Demand","Very High Demand")))</f>
        <v>Medium Demand</v>
      </c>
    </row>
    <row r="615" spans="1:24" x14ac:dyDescent="0.25">
      <c r="A615">
        <v>614</v>
      </c>
      <c r="B615" s="2">
        <v>40571</v>
      </c>
      <c r="C615">
        <v>1</v>
      </c>
      <c r="D615">
        <v>0</v>
      </c>
      <c r="E615">
        <v>1</v>
      </c>
      <c r="F615">
        <v>19</v>
      </c>
      <c r="G615" t="str">
        <f>IF(F615&lt;6,"Night",IF(F615&lt;12,"Morning",IF(F615&lt;18,"Afternoon","Evening")))</f>
        <v>Evening</v>
      </c>
      <c r="H615">
        <v>0</v>
      </c>
      <c r="I615">
        <v>5</v>
      </c>
      <c r="J615" t="str">
        <f>CHOOSE(I615+1,"Monday","Tuesday","Wednesday","Thursday","Friday","Saturday","Sunday")</f>
        <v>Saturday</v>
      </c>
      <c r="K615">
        <v>2</v>
      </c>
      <c r="L615" t="str">
        <f>CHOOSE(K615+1,"error","Clear","Misty","Rainy","Severe heater")</f>
        <v>Misty</v>
      </c>
      <c r="M615" s="1">
        <v>0.16</v>
      </c>
      <c r="N615" t="str">
        <f>IF(M615&lt;=0.2,"Low",IF(M615&lt;=0.4,"Mid","High"))</f>
        <v>Low</v>
      </c>
      <c r="O615" s="1">
        <v>0.18179999999999999</v>
      </c>
      <c r="P615" t="str">
        <f>IF(O615&lt;=0.15,"Very Cold",IF(O615&lt;=0.3,"Cold",IF(O615&lt;=0.45,"Pleasant","Hot")))</f>
        <v>Cold</v>
      </c>
      <c r="Q615">
        <v>0.75</v>
      </c>
      <c r="R615" t="str">
        <f>IF(Q615&lt;=0.25,"Low ",IF(Q615&lt;=0.5,"Moderate ",IF(Q615&lt;=0.75,"High ","Very High ")))</f>
        <v xml:space="preserve">High </v>
      </c>
      <c r="S615">
        <v>0.1343</v>
      </c>
      <c r="T615" t="str">
        <f>IF(S615&lt;=0.15,"Calm",IF(S615&lt;=0.3,"Light Wind",IF(S615&lt;=0.45,"Moderate Wind","Strong Wind")))</f>
        <v>Calm</v>
      </c>
      <c r="U615">
        <v>5</v>
      </c>
      <c r="V615">
        <v>84</v>
      </c>
      <c r="W615">
        <v>89</v>
      </c>
      <c r="X615" t="str">
        <f>IF(W615&lt;=75,"Low Demand",IF(W615&lt;=150,"Medium Demand",IF(W615&lt;=225,"High Demand","Very High Demand")))</f>
        <v>Medium Demand</v>
      </c>
    </row>
    <row r="616" spans="1:24" x14ac:dyDescent="0.25">
      <c r="A616">
        <v>615</v>
      </c>
      <c r="B616" s="2">
        <v>40571</v>
      </c>
      <c r="C616">
        <v>1</v>
      </c>
      <c r="D616">
        <v>0</v>
      </c>
      <c r="E616">
        <v>1</v>
      </c>
      <c r="F616">
        <v>20</v>
      </c>
      <c r="G616" t="str">
        <f>IF(F616&lt;6,"Night",IF(F616&lt;12,"Morning",IF(F616&lt;18,"Afternoon","Evening")))</f>
        <v>Evening</v>
      </c>
      <c r="H616">
        <v>0</v>
      </c>
      <c r="I616">
        <v>5</v>
      </c>
      <c r="J616" t="str">
        <f>CHOOSE(I616+1,"Monday","Tuesday","Wednesday","Thursday","Friday","Saturday","Sunday")</f>
        <v>Saturday</v>
      </c>
      <c r="K616">
        <v>2</v>
      </c>
      <c r="L616" t="str">
        <f>CHOOSE(K616+1,"error","Clear","Misty","Rainy","Severe heater")</f>
        <v>Misty</v>
      </c>
      <c r="M616" s="1">
        <v>0.16</v>
      </c>
      <c r="N616" t="str">
        <f>IF(M616&lt;=0.2,"Low",IF(M616&lt;=0.4,"Mid","High"))</f>
        <v>Low</v>
      </c>
      <c r="O616" s="1">
        <v>0.18179999999999999</v>
      </c>
      <c r="P616" t="str">
        <f>IF(O616&lt;=0.15,"Very Cold",IF(O616&lt;=0.3,"Cold",IF(O616&lt;=0.45,"Pleasant","Hot")))</f>
        <v>Cold</v>
      </c>
      <c r="Q616">
        <v>0.7</v>
      </c>
      <c r="R616" t="str">
        <f>IF(Q616&lt;=0.25,"Low ",IF(Q616&lt;=0.5,"Moderate ",IF(Q616&lt;=0.75,"High ","Very High ")))</f>
        <v xml:space="preserve">High </v>
      </c>
      <c r="S616">
        <v>0.19400000000000001</v>
      </c>
      <c r="T616" t="str">
        <f>IF(S616&lt;=0.15,"Calm",IF(S616&lt;=0.3,"Light Wind",IF(S616&lt;=0.45,"Moderate Wind","Strong Wind")))</f>
        <v>Light Wind</v>
      </c>
      <c r="U616">
        <v>1</v>
      </c>
      <c r="V616">
        <v>61</v>
      </c>
      <c r="W616">
        <v>62</v>
      </c>
      <c r="X616" t="str">
        <f>IF(W616&lt;=75,"Low Demand",IF(W616&lt;=150,"Medium Demand",IF(W616&lt;=225,"High Demand","Very High Demand")))</f>
        <v>Low Demand</v>
      </c>
    </row>
    <row r="617" spans="1:24" x14ac:dyDescent="0.25">
      <c r="A617">
        <v>616</v>
      </c>
      <c r="B617" s="2">
        <v>40571</v>
      </c>
      <c r="C617">
        <v>1</v>
      </c>
      <c r="D617">
        <v>0</v>
      </c>
      <c r="E617">
        <v>1</v>
      </c>
      <c r="F617">
        <v>21</v>
      </c>
      <c r="G617" t="str">
        <f>IF(F617&lt;6,"Night",IF(F617&lt;12,"Morning",IF(F617&lt;18,"Afternoon","Evening")))</f>
        <v>Evening</v>
      </c>
      <c r="H617">
        <v>0</v>
      </c>
      <c r="I617">
        <v>5</v>
      </c>
      <c r="J617" t="str">
        <f>CHOOSE(I617+1,"Monday","Tuesday","Wednesday","Thursday","Friday","Saturday","Sunday")</f>
        <v>Saturday</v>
      </c>
      <c r="K617">
        <v>2</v>
      </c>
      <c r="L617" t="str">
        <f>CHOOSE(K617+1,"error","Clear","Misty","Rainy","Severe heater")</f>
        <v>Misty</v>
      </c>
      <c r="M617" s="1">
        <v>0.16</v>
      </c>
      <c r="N617" t="str">
        <f>IF(M617&lt;=0.2,"Low",IF(M617&lt;=0.4,"Mid","High"))</f>
        <v>Low</v>
      </c>
      <c r="O617" s="1">
        <v>0.18179999999999999</v>
      </c>
      <c r="P617" t="str">
        <f>IF(O617&lt;=0.15,"Very Cold",IF(O617&lt;=0.3,"Cold",IF(O617&lt;=0.45,"Pleasant","Hot")))</f>
        <v>Cold</v>
      </c>
      <c r="Q617">
        <v>0.75</v>
      </c>
      <c r="R617" t="str">
        <f>IF(Q617&lt;=0.25,"Low ",IF(Q617&lt;=0.5,"Moderate ",IF(Q617&lt;=0.75,"High ","Very High ")))</f>
        <v xml:space="preserve">High </v>
      </c>
      <c r="S617">
        <v>0.1343</v>
      </c>
      <c r="T617" t="str">
        <f>IF(S617&lt;=0.15,"Calm",IF(S617&lt;=0.3,"Light Wind",IF(S617&lt;=0.45,"Moderate Wind","Strong Wind")))</f>
        <v>Calm</v>
      </c>
      <c r="U617">
        <v>1</v>
      </c>
      <c r="V617">
        <v>57</v>
      </c>
      <c r="W617">
        <v>58</v>
      </c>
      <c r="X617" t="str">
        <f>IF(W617&lt;=75,"Low Demand",IF(W617&lt;=150,"Medium Demand",IF(W617&lt;=225,"High Demand","Very High Demand")))</f>
        <v>Low Demand</v>
      </c>
    </row>
    <row r="618" spans="1:24" x14ac:dyDescent="0.25">
      <c r="A618">
        <v>617</v>
      </c>
      <c r="B618" s="2">
        <v>40571</v>
      </c>
      <c r="C618">
        <v>1</v>
      </c>
      <c r="D618">
        <v>0</v>
      </c>
      <c r="E618">
        <v>1</v>
      </c>
      <c r="F618">
        <v>22</v>
      </c>
      <c r="G618" t="str">
        <f>IF(F618&lt;6,"Night",IF(F618&lt;12,"Morning",IF(F618&lt;18,"Afternoon","Evening")))</f>
        <v>Evening</v>
      </c>
      <c r="H618">
        <v>0</v>
      </c>
      <c r="I618">
        <v>5</v>
      </c>
      <c r="J618" t="str">
        <f>CHOOSE(I618+1,"Monday","Tuesday","Wednesday","Thursday","Friday","Saturday","Sunday")</f>
        <v>Saturday</v>
      </c>
      <c r="K618">
        <v>1</v>
      </c>
      <c r="L618" t="str">
        <f>CHOOSE(K618+1,"error","Clear","Misty","Rainy","Severe heater")</f>
        <v>Clear</v>
      </c>
      <c r="M618" s="1">
        <v>0.18</v>
      </c>
      <c r="N618" t="str">
        <f>IF(M618&lt;=0.2,"Low",IF(M618&lt;=0.4,"Mid","High"))</f>
        <v>Low</v>
      </c>
      <c r="O618" s="1">
        <v>0.19700000000000001</v>
      </c>
      <c r="P618" t="str">
        <f>IF(O618&lt;=0.15,"Very Cold",IF(O618&lt;=0.3,"Cold",IF(O618&lt;=0.45,"Pleasant","Hot")))</f>
        <v>Cold</v>
      </c>
      <c r="Q618">
        <v>0.65</v>
      </c>
      <c r="R618" t="str">
        <f>IF(Q618&lt;=0.25,"Low ",IF(Q618&lt;=0.5,"Moderate ",IF(Q618&lt;=0.75,"High ","Very High ")))</f>
        <v xml:space="preserve">High </v>
      </c>
      <c r="S618">
        <v>0.35820000000000002</v>
      </c>
      <c r="T618" t="str">
        <f>IF(S618&lt;=0.15,"Calm",IF(S618&lt;=0.3,"Light Wind",IF(S618&lt;=0.45,"Moderate Wind","Strong Wind")))</f>
        <v>Moderate Wind</v>
      </c>
      <c r="U618">
        <v>0</v>
      </c>
      <c r="V618">
        <v>26</v>
      </c>
      <c r="W618">
        <v>26</v>
      </c>
      <c r="X618" t="str">
        <f>IF(W618&lt;=75,"Low Demand",IF(W618&lt;=150,"Medium Demand",IF(W618&lt;=225,"High Demand","Very High Demand")))</f>
        <v>Low Demand</v>
      </c>
    </row>
    <row r="619" spans="1:24" x14ac:dyDescent="0.25">
      <c r="A619">
        <v>618</v>
      </c>
      <c r="B619" s="2">
        <v>40571</v>
      </c>
      <c r="C619">
        <v>1</v>
      </c>
      <c r="D619">
        <v>0</v>
      </c>
      <c r="E619">
        <v>1</v>
      </c>
      <c r="F619">
        <v>23</v>
      </c>
      <c r="G619" t="str">
        <f>IF(F619&lt;6,"Night",IF(F619&lt;12,"Morning",IF(F619&lt;18,"Afternoon","Evening")))</f>
        <v>Evening</v>
      </c>
      <c r="H619">
        <v>0</v>
      </c>
      <c r="I619">
        <v>5</v>
      </c>
      <c r="J619" t="str">
        <f>CHOOSE(I619+1,"Monday","Tuesday","Wednesday","Thursday","Friday","Saturday","Sunday")</f>
        <v>Saturday</v>
      </c>
      <c r="K619">
        <v>1</v>
      </c>
      <c r="L619" t="str">
        <f>CHOOSE(K619+1,"error","Clear","Misty","Rainy","Severe heater")</f>
        <v>Clear</v>
      </c>
      <c r="M619" s="1">
        <v>0.18</v>
      </c>
      <c r="N619" t="str">
        <f>IF(M619&lt;=0.2,"Low",IF(M619&lt;=0.4,"Mid","High"))</f>
        <v>Low</v>
      </c>
      <c r="O619" s="1">
        <v>0.21210000000000001</v>
      </c>
      <c r="P619" t="str">
        <f>IF(O619&lt;=0.15,"Very Cold",IF(O619&lt;=0.3,"Cold",IF(O619&lt;=0.45,"Pleasant","Hot")))</f>
        <v>Cold</v>
      </c>
      <c r="Q619">
        <v>0.6</v>
      </c>
      <c r="R619" t="str">
        <f>IF(Q619&lt;=0.25,"Low ",IF(Q619&lt;=0.5,"Moderate ",IF(Q619&lt;=0.75,"High ","Very High ")))</f>
        <v xml:space="preserve">High </v>
      </c>
      <c r="S619">
        <v>0.22389999999999999</v>
      </c>
      <c r="T619" t="str">
        <f>IF(S619&lt;=0.15,"Calm",IF(S619&lt;=0.3,"Light Wind",IF(S619&lt;=0.45,"Moderate Wind","Strong Wind")))</f>
        <v>Light Wind</v>
      </c>
      <c r="U619">
        <v>1</v>
      </c>
      <c r="V619">
        <v>22</v>
      </c>
      <c r="W619">
        <v>23</v>
      </c>
      <c r="X619" t="str">
        <f>IF(W619&lt;=75,"Low Demand",IF(W619&lt;=150,"Medium Demand",IF(W619&lt;=225,"High Demand","Very High Demand")))</f>
        <v>Low Demand</v>
      </c>
    </row>
    <row r="620" spans="1:24" x14ac:dyDescent="0.25">
      <c r="A620">
        <v>619</v>
      </c>
      <c r="B620" s="2">
        <v>40572</v>
      </c>
      <c r="C620">
        <v>1</v>
      </c>
      <c r="D620">
        <v>0</v>
      </c>
      <c r="E620">
        <v>1</v>
      </c>
      <c r="F620">
        <v>0</v>
      </c>
      <c r="G620" t="str">
        <f>IF(F620&lt;6,"Night",IF(F620&lt;12,"Morning",IF(F620&lt;18,"Afternoon","Evening")))</f>
        <v>Night</v>
      </c>
      <c r="H620">
        <v>0</v>
      </c>
      <c r="I620">
        <v>6</v>
      </c>
      <c r="J620" t="str">
        <f>CHOOSE(I620+1,"Monday","Tuesday","Wednesday","Thursday","Friday","Saturday","Sunday")</f>
        <v>Sunday</v>
      </c>
      <c r="K620">
        <v>1</v>
      </c>
      <c r="L620" t="str">
        <f>CHOOSE(K620+1,"error","Clear","Misty","Rainy","Severe heater")</f>
        <v>Clear</v>
      </c>
      <c r="M620" s="1">
        <v>0.18</v>
      </c>
      <c r="N620" t="str">
        <f>IF(M620&lt;=0.2,"Low",IF(M620&lt;=0.4,"Mid","High"))</f>
        <v>Low</v>
      </c>
      <c r="O620" s="1">
        <v>0.21210000000000001</v>
      </c>
      <c r="P620" t="str">
        <f>IF(O620&lt;=0.15,"Very Cold",IF(O620&lt;=0.3,"Cold",IF(O620&lt;=0.45,"Pleasant","Hot")))</f>
        <v>Cold</v>
      </c>
      <c r="Q620">
        <v>0.64</v>
      </c>
      <c r="R620" t="str">
        <f>IF(Q620&lt;=0.25,"Low ",IF(Q620&lt;=0.5,"Moderate ",IF(Q620&lt;=0.75,"High ","Very High ")))</f>
        <v xml:space="preserve">High </v>
      </c>
      <c r="S620">
        <v>0.35820000000000002</v>
      </c>
      <c r="T620" t="str">
        <f>IF(S620&lt;=0.15,"Calm",IF(S620&lt;=0.3,"Light Wind",IF(S620&lt;=0.45,"Moderate Wind","Strong Wind")))</f>
        <v>Moderate Wind</v>
      </c>
      <c r="U620">
        <v>2</v>
      </c>
      <c r="V620">
        <v>26</v>
      </c>
      <c r="W620">
        <v>28</v>
      </c>
      <c r="X620" t="str">
        <f>IF(W620&lt;=75,"Low Demand",IF(W620&lt;=150,"Medium Demand",IF(W620&lt;=225,"High Demand","Very High Demand")))</f>
        <v>Low Demand</v>
      </c>
    </row>
    <row r="621" spans="1:24" x14ac:dyDescent="0.25">
      <c r="A621">
        <v>620</v>
      </c>
      <c r="B621" s="2">
        <v>40572</v>
      </c>
      <c r="C621">
        <v>1</v>
      </c>
      <c r="D621">
        <v>0</v>
      </c>
      <c r="E621">
        <v>1</v>
      </c>
      <c r="F621">
        <v>1</v>
      </c>
      <c r="G621" t="str">
        <f>IF(F621&lt;6,"Night",IF(F621&lt;12,"Morning",IF(F621&lt;18,"Afternoon","Evening")))</f>
        <v>Night</v>
      </c>
      <c r="H621">
        <v>0</v>
      </c>
      <c r="I621">
        <v>6</v>
      </c>
      <c r="J621" t="str">
        <f>CHOOSE(I621+1,"Monday","Tuesday","Wednesday","Thursday","Friday","Saturday","Sunday")</f>
        <v>Sunday</v>
      </c>
      <c r="K621">
        <v>1</v>
      </c>
      <c r="L621" t="str">
        <f>CHOOSE(K621+1,"error","Clear","Misty","Rainy","Severe heater")</f>
        <v>Clear</v>
      </c>
      <c r="M621" s="1">
        <v>0.18</v>
      </c>
      <c r="N621" t="str">
        <f>IF(M621&lt;=0.2,"Low",IF(M621&lt;=0.4,"Mid","High"))</f>
        <v>Low</v>
      </c>
      <c r="O621" s="1">
        <v>0.19700000000000001</v>
      </c>
      <c r="P621" t="str">
        <f>IF(O621&lt;=0.15,"Very Cold",IF(O621&lt;=0.3,"Cold",IF(O621&lt;=0.45,"Pleasant","Hot")))</f>
        <v>Cold</v>
      </c>
      <c r="Q621">
        <v>0.64</v>
      </c>
      <c r="R621" t="str">
        <f>IF(Q621&lt;=0.25,"Low ",IF(Q621&lt;=0.5,"Moderate ",IF(Q621&lt;=0.75,"High ","Very High ")))</f>
        <v xml:space="preserve">High </v>
      </c>
      <c r="S621">
        <v>0.19400000000000001</v>
      </c>
      <c r="T621" t="str">
        <f>IF(S621&lt;=0.15,"Calm",IF(S621&lt;=0.3,"Light Wind",IF(S621&lt;=0.45,"Moderate Wind","Strong Wind")))</f>
        <v>Light Wind</v>
      </c>
      <c r="U621">
        <v>0</v>
      </c>
      <c r="V621">
        <v>20</v>
      </c>
      <c r="W621">
        <v>20</v>
      </c>
      <c r="X621" t="str">
        <f>IF(W621&lt;=75,"Low Demand",IF(W621&lt;=150,"Medium Demand",IF(W621&lt;=225,"High Demand","Very High Demand")))</f>
        <v>Low Demand</v>
      </c>
    </row>
    <row r="622" spans="1:24" x14ac:dyDescent="0.25">
      <c r="A622">
        <v>621</v>
      </c>
      <c r="B622" s="2">
        <v>40572</v>
      </c>
      <c r="C622">
        <v>1</v>
      </c>
      <c r="D622">
        <v>0</v>
      </c>
      <c r="E622">
        <v>1</v>
      </c>
      <c r="F622">
        <v>2</v>
      </c>
      <c r="G622" t="str">
        <f>IF(F622&lt;6,"Night",IF(F622&lt;12,"Morning",IF(F622&lt;18,"Afternoon","Evening")))</f>
        <v>Night</v>
      </c>
      <c r="H622">
        <v>0</v>
      </c>
      <c r="I622">
        <v>6</v>
      </c>
      <c r="J622" t="str">
        <f>CHOOSE(I622+1,"Monday","Tuesday","Wednesday","Thursday","Friday","Saturday","Sunday")</f>
        <v>Sunday</v>
      </c>
      <c r="K622">
        <v>1</v>
      </c>
      <c r="L622" t="str">
        <f>CHOOSE(K622+1,"error","Clear","Misty","Rainy","Severe heater")</f>
        <v>Clear</v>
      </c>
      <c r="M622" s="1">
        <v>0.2</v>
      </c>
      <c r="N622" t="str">
        <f>IF(M622&lt;=0.2,"Low",IF(M622&lt;=0.4,"Mid","High"))</f>
        <v>Low</v>
      </c>
      <c r="O622" s="1">
        <v>0.19700000000000001</v>
      </c>
      <c r="P622" t="str">
        <f>IF(O622&lt;=0.15,"Very Cold",IF(O622&lt;=0.3,"Cold",IF(O622&lt;=0.45,"Pleasant","Hot")))</f>
        <v>Cold</v>
      </c>
      <c r="Q622">
        <v>0.64</v>
      </c>
      <c r="R622" t="str">
        <f>IF(Q622&lt;=0.25,"Low ",IF(Q622&lt;=0.5,"Moderate ",IF(Q622&lt;=0.75,"High ","Very High ")))</f>
        <v xml:space="preserve">High </v>
      </c>
      <c r="S622">
        <v>0.16420000000000001</v>
      </c>
      <c r="T622" t="str">
        <f>IF(S622&lt;=0.15,"Calm",IF(S622&lt;=0.3,"Light Wind",IF(S622&lt;=0.45,"Moderate Wind","Strong Wind")))</f>
        <v>Light Wind</v>
      </c>
      <c r="U622">
        <v>0</v>
      </c>
      <c r="V622">
        <v>15</v>
      </c>
      <c r="W622">
        <v>15</v>
      </c>
      <c r="X622" t="str">
        <f>IF(W622&lt;=75,"Low Demand",IF(W622&lt;=150,"Medium Demand",IF(W622&lt;=225,"High Demand","Very High Demand")))</f>
        <v>Low Demand</v>
      </c>
    </row>
    <row r="623" spans="1:24" x14ac:dyDescent="0.25">
      <c r="A623">
        <v>622</v>
      </c>
      <c r="B623" s="2">
        <v>40572</v>
      </c>
      <c r="C623">
        <v>1</v>
      </c>
      <c r="D623">
        <v>0</v>
      </c>
      <c r="E623">
        <v>1</v>
      </c>
      <c r="F623">
        <v>3</v>
      </c>
      <c r="G623" t="str">
        <f>IF(F623&lt;6,"Night",IF(F623&lt;12,"Morning",IF(F623&lt;18,"Afternoon","Evening")))</f>
        <v>Night</v>
      </c>
      <c r="H623">
        <v>0</v>
      </c>
      <c r="I623">
        <v>6</v>
      </c>
      <c r="J623" t="str">
        <f>CHOOSE(I623+1,"Monday","Tuesday","Wednesday","Thursday","Friday","Saturday","Sunday")</f>
        <v>Sunday</v>
      </c>
      <c r="K623">
        <v>1</v>
      </c>
      <c r="L623" t="str">
        <f>CHOOSE(K623+1,"error","Clear","Misty","Rainy","Severe heater")</f>
        <v>Clear</v>
      </c>
      <c r="M623" s="1">
        <v>0.22</v>
      </c>
      <c r="N623" t="str">
        <f>IF(M623&lt;=0.2,"Low",IF(M623&lt;=0.4,"Mid","High"))</f>
        <v>Mid</v>
      </c>
      <c r="O623" s="1">
        <v>0.2273</v>
      </c>
      <c r="P623" t="str">
        <f>IF(O623&lt;=0.15,"Very Cold",IF(O623&lt;=0.3,"Cold",IF(O623&lt;=0.45,"Pleasant","Hot")))</f>
        <v>Cold</v>
      </c>
      <c r="Q623">
        <v>0.64</v>
      </c>
      <c r="R623" t="str">
        <f>IF(Q623&lt;=0.25,"Low ",IF(Q623&lt;=0.5,"Moderate ",IF(Q623&lt;=0.75,"High ","Very High ")))</f>
        <v xml:space="preserve">High </v>
      </c>
      <c r="S623">
        <v>0.1343</v>
      </c>
      <c r="T623" t="str">
        <f>IF(S623&lt;=0.15,"Calm",IF(S623&lt;=0.3,"Light Wind",IF(S623&lt;=0.45,"Moderate Wind","Strong Wind")))</f>
        <v>Calm</v>
      </c>
      <c r="U623">
        <v>3</v>
      </c>
      <c r="V623">
        <v>5</v>
      </c>
      <c r="W623">
        <v>8</v>
      </c>
      <c r="X623" t="str">
        <f>IF(W623&lt;=75,"Low Demand",IF(W623&lt;=150,"Medium Demand",IF(W623&lt;=225,"High Demand","Very High Demand")))</f>
        <v>Low Demand</v>
      </c>
    </row>
    <row r="624" spans="1:24" x14ac:dyDescent="0.25">
      <c r="A624">
        <v>623</v>
      </c>
      <c r="B624" s="2">
        <v>40572</v>
      </c>
      <c r="C624">
        <v>1</v>
      </c>
      <c r="D624">
        <v>0</v>
      </c>
      <c r="E624">
        <v>1</v>
      </c>
      <c r="F624">
        <v>4</v>
      </c>
      <c r="G624" t="str">
        <f>IF(F624&lt;6,"Night",IF(F624&lt;12,"Morning",IF(F624&lt;18,"Afternoon","Evening")))</f>
        <v>Night</v>
      </c>
      <c r="H624">
        <v>0</v>
      </c>
      <c r="I624">
        <v>6</v>
      </c>
      <c r="J624" t="str">
        <f>CHOOSE(I624+1,"Monday","Tuesday","Wednesday","Thursday","Friday","Saturday","Sunday")</f>
        <v>Sunday</v>
      </c>
      <c r="K624">
        <v>1</v>
      </c>
      <c r="L624" t="str">
        <f>CHOOSE(K624+1,"error","Clear","Misty","Rainy","Severe heater")</f>
        <v>Clear</v>
      </c>
      <c r="M624" s="1">
        <v>0.22</v>
      </c>
      <c r="N624" t="str">
        <f>IF(M624&lt;=0.2,"Low",IF(M624&lt;=0.4,"Mid","High"))</f>
        <v>Mid</v>
      </c>
      <c r="O624" s="1">
        <v>0.2273</v>
      </c>
      <c r="P624" t="str">
        <f>IF(O624&lt;=0.15,"Very Cold",IF(O624&lt;=0.3,"Cold",IF(O624&lt;=0.45,"Pleasant","Hot")))</f>
        <v>Cold</v>
      </c>
      <c r="Q624">
        <v>0.69</v>
      </c>
      <c r="R624" t="str">
        <f>IF(Q624&lt;=0.25,"Low ",IF(Q624&lt;=0.5,"Moderate ",IF(Q624&lt;=0.75,"High ","Very High ")))</f>
        <v xml:space="preserve">High </v>
      </c>
      <c r="S624">
        <v>0.1045</v>
      </c>
      <c r="T624" t="str">
        <f>IF(S624&lt;=0.15,"Calm",IF(S624&lt;=0.3,"Light Wind",IF(S624&lt;=0.45,"Moderate Wind","Strong Wind")))</f>
        <v>Calm</v>
      </c>
      <c r="U624">
        <v>1</v>
      </c>
      <c r="V624">
        <v>2</v>
      </c>
      <c r="W624">
        <v>3</v>
      </c>
      <c r="X624" t="str">
        <f>IF(W624&lt;=75,"Low Demand",IF(W624&lt;=150,"Medium Demand",IF(W624&lt;=225,"High Demand","Very High Demand")))</f>
        <v>Low Demand</v>
      </c>
    </row>
    <row r="625" spans="1:24" x14ac:dyDescent="0.25">
      <c r="A625">
        <v>624</v>
      </c>
      <c r="B625" s="2">
        <v>40572</v>
      </c>
      <c r="C625">
        <v>1</v>
      </c>
      <c r="D625">
        <v>0</v>
      </c>
      <c r="E625">
        <v>1</v>
      </c>
      <c r="F625">
        <v>6</v>
      </c>
      <c r="G625" t="str">
        <f>IF(F625&lt;6,"Night",IF(F625&lt;12,"Morning",IF(F625&lt;18,"Afternoon","Evening")))</f>
        <v>Morning</v>
      </c>
      <c r="H625">
        <v>0</v>
      </c>
      <c r="I625">
        <v>6</v>
      </c>
      <c r="J625" t="str">
        <f>CHOOSE(I625+1,"Monday","Tuesday","Wednesday","Thursday","Friday","Saturday","Sunday")</f>
        <v>Sunday</v>
      </c>
      <c r="K625">
        <v>1</v>
      </c>
      <c r="L625" t="str">
        <f>CHOOSE(K625+1,"error","Clear","Misty","Rainy","Severe heater")</f>
        <v>Clear</v>
      </c>
      <c r="M625" s="1">
        <v>0.22</v>
      </c>
      <c r="N625" t="str">
        <f>IF(M625&lt;=0.2,"Low",IF(M625&lt;=0.4,"Mid","High"))</f>
        <v>Mid</v>
      </c>
      <c r="O625" s="1">
        <v>0.21210000000000001</v>
      </c>
      <c r="P625" t="str">
        <f>IF(O625&lt;=0.15,"Very Cold",IF(O625&lt;=0.3,"Cold",IF(O625&lt;=0.45,"Pleasant","Hot")))</f>
        <v>Cold</v>
      </c>
      <c r="Q625">
        <v>0.64</v>
      </c>
      <c r="R625" t="str">
        <f>IF(Q625&lt;=0.25,"Low ",IF(Q625&lt;=0.5,"Moderate ",IF(Q625&lt;=0.75,"High ","Very High ")))</f>
        <v xml:space="preserve">High </v>
      </c>
      <c r="S625">
        <v>0.1343</v>
      </c>
      <c r="T625" t="str">
        <f>IF(S625&lt;=0.15,"Calm",IF(S625&lt;=0.3,"Light Wind",IF(S625&lt;=0.45,"Moderate Wind","Strong Wind")))</f>
        <v>Calm</v>
      </c>
      <c r="U625">
        <v>0</v>
      </c>
      <c r="V625">
        <v>2</v>
      </c>
      <c r="W625">
        <v>2</v>
      </c>
      <c r="X625" t="str">
        <f>IF(W625&lt;=75,"Low Demand",IF(W625&lt;=150,"Medium Demand",IF(W625&lt;=225,"High Demand","Very High Demand")))</f>
        <v>Low Demand</v>
      </c>
    </row>
    <row r="626" spans="1:24" x14ac:dyDescent="0.25">
      <c r="A626">
        <v>625</v>
      </c>
      <c r="B626" s="2">
        <v>40572</v>
      </c>
      <c r="C626">
        <v>1</v>
      </c>
      <c r="D626">
        <v>0</v>
      </c>
      <c r="E626">
        <v>1</v>
      </c>
      <c r="F626">
        <v>7</v>
      </c>
      <c r="G626" t="str">
        <f>IF(F626&lt;6,"Night",IF(F626&lt;12,"Morning",IF(F626&lt;18,"Afternoon","Evening")))</f>
        <v>Morning</v>
      </c>
      <c r="H626">
        <v>0</v>
      </c>
      <c r="I626">
        <v>6</v>
      </c>
      <c r="J626" t="str">
        <f>CHOOSE(I626+1,"Monday","Tuesday","Wednesday","Thursday","Friday","Saturday","Sunday")</f>
        <v>Sunday</v>
      </c>
      <c r="K626">
        <v>1</v>
      </c>
      <c r="L626" t="str">
        <f>CHOOSE(K626+1,"error","Clear","Misty","Rainy","Severe heater")</f>
        <v>Clear</v>
      </c>
      <c r="M626" s="1">
        <v>0.24</v>
      </c>
      <c r="N626" t="str">
        <f>IF(M626&lt;=0.2,"Low",IF(M626&lt;=0.4,"Mid","High"))</f>
        <v>Mid</v>
      </c>
      <c r="O626" s="1">
        <v>0.2424</v>
      </c>
      <c r="P626" t="str">
        <f>IF(O626&lt;=0.15,"Very Cold",IF(O626&lt;=0.3,"Cold",IF(O626&lt;=0.45,"Pleasant","Hot")))</f>
        <v>Cold</v>
      </c>
      <c r="Q626">
        <v>0.59</v>
      </c>
      <c r="R626" t="str">
        <f>IF(Q626&lt;=0.25,"Low ",IF(Q626&lt;=0.5,"Moderate ",IF(Q626&lt;=0.75,"High ","Very High ")))</f>
        <v xml:space="preserve">High </v>
      </c>
      <c r="S626">
        <v>0.1045</v>
      </c>
      <c r="T626" t="str">
        <f>IF(S626&lt;=0.15,"Calm",IF(S626&lt;=0.3,"Light Wind",IF(S626&lt;=0.45,"Moderate Wind","Strong Wind")))</f>
        <v>Calm</v>
      </c>
      <c r="U626">
        <v>1</v>
      </c>
      <c r="V626">
        <v>4</v>
      </c>
      <c r="W626">
        <v>5</v>
      </c>
      <c r="X626" t="str">
        <f>IF(W626&lt;=75,"Low Demand",IF(W626&lt;=150,"Medium Demand",IF(W626&lt;=225,"High Demand","Very High Demand")))</f>
        <v>Low Demand</v>
      </c>
    </row>
    <row r="627" spans="1:24" x14ac:dyDescent="0.25">
      <c r="A627">
        <v>626</v>
      </c>
      <c r="B627" s="2">
        <v>40572</v>
      </c>
      <c r="C627">
        <v>1</v>
      </c>
      <c r="D627">
        <v>0</v>
      </c>
      <c r="E627">
        <v>1</v>
      </c>
      <c r="F627">
        <v>8</v>
      </c>
      <c r="G627" t="str">
        <f>IF(F627&lt;6,"Night",IF(F627&lt;12,"Morning",IF(F627&lt;18,"Afternoon","Evening")))</f>
        <v>Morning</v>
      </c>
      <c r="H627">
        <v>0</v>
      </c>
      <c r="I627">
        <v>6</v>
      </c>
      <c r="J627" t="str">
        <f>CHOOSE(I627+1,"Monday","Tuesday","Wednesday","Thursday","Friday","Saturday","Sunday")</f>
        <v>Sunday</v>
      </c>
      <c r="K627">
        <v>1</v>
      </c>
      <c r="L627" t="str">
        <f>CHOOSE(K627+1,"error","Clear","Misty","Rainy","Severe heater")</f>
        <v>Clear</v>
      </c>
      <c r="M627" s="1">
        <v>0.24</v>
      </c>
      <c r="N627" t="str">
        <f>IF(M627&lt;=0.2,"Low",IF(M627&lt;=0.4,"Mid","High"))</f>
        <v>Mid</v>
      </c>
      <c r="O627" s="1">
        <v>0.28789999999999999</v>
      </c>
      <c r="P627" t="str">
        <f>IF(O627&lt;=0.15,"Very Cold",IF(O627&lt;=0.3,"Cold",IF(O627&lt;=0.45,"Pleasant","Hot")))</f>
        <v>Cold</v>
      </c>
      <c r="Q627">
        <v>0.55000000000000004</v>
      </c>
      <c r="R627" t="str">
        <f>IF(Q627&lt;=0.25,"Low ",IF(Q627&lt;=0.5,"Moderate ",IF(Q627&lt;=0.75,"High ","Very High ")))</f>
        <v xml:space="preserve">High </v>
      </c>
      <c r="S627">
        <v>0.16420000000000001</v>
      </c>
      <c r="T627" t="str">
        <f>IF(S627&lt;=0.15,"Calm",IF(S627&lt;=0.3,"Light Wind",IF(S627&lt;=0.45,"Moderate Wind","Strong Wind")))</f>
        <v>Light Wind</v>
      </c>
      <c r="U627">
        <v>3</v>
      </c>
      <c r="V627">
        <v>31</v>
      </c>
      <c r="W627">
        <v>34</v>
      </c>
      <c r="X627" t="str">
        <f>IF(W627&lt;=75,"Low Demand",IF(W627&lt;=150,"Medium Demand",IF(W627&lt;=225,"High Demand","Very High Demand")))</f>
        <v>Low Demand</v>
      </c>
    </row>
    <row r="628" spans="1:24" x14ac:dyDescent="0.25">
      <c r="A628">
        <v>627</v>
      </c>
      <c r="B628" s="2">
        <v>40572</v>
      </c>
      <c r="C628">
        <v>1</v>
      </c>
      <c r="D628">
        <v>0</v>
      </c>
      <c r="E628">
        <v>1</v>
      </c>
      <c r="F628">
        <v>9</v>
      </c>
      <c r="G628" t="str">
        <f>IF(F628&lt;6,"Night",IF(F628&lt;12,"Morning",IF(F628&lt;18,"Afternoon","Evening")))</f>
        <v>Morning</v>
      </c>
      <c r="H628">
        <v>0</v>
      </c>
      <c r="I628">
        <v>6</v>
      </c>
      <c r="J628" t="str">
        <f>CHOOSE(I628+1,"Monday","Tuesday","Wednesday","Thursday","Friday","Saturday","Sunday")</f>
        <v>Sunday</v>
      </c>
      <c r="K628">
        <v>1</v>
      </c>
      <c r="L628" t="str">
        <f>CHOOSE(K628+1,"error","Clear","Misty","Rainy","Severe heater")</f>
        <v>Clear</v>
      </c>
      <c r="M628" s="1">
        <v>0.22</v>
      </c>
      <c r="N628" t="str">
        <f>IF(M628&lt;=0.2,"Low",IF(M628&lt;=0.4,"Mid","High"))</f>
        <v>Mid</v>
      </c>
      <c r="O628" s="1">
        <v>0.2273</v>
      </c>
      <c r="P628" t="str">
        <f>IF(O628&lt;=0.15,"Very Cold",IF(O628&lt;=0.3,"Cold",IF(O628&lt;=0.45,"Pleasant","Hot")))</f>
        <v>Cold</v>
      </c>
      <c r="Q628">
        <v>0.59</v>
      </c>
      <c r="R628" t="str">
        <f>IF(Q628&lt;=0.25,"Low ",IF(Q628&lt;=0.5,"Moderate ",IF(Q628&lt;=0.75,"High ","Very High ")))</f>
        <v xml:space="preserve">High </v>
      </c>
      <c r="S628">
        <v>8.9599999999999999E-2</v>
      </c>
      <c r="T628" t="str">
        <f>IF(S628&lt;=0.15,"Calm",IF(S628&lt;=0.3,"Light Wind",IF(S628&lt;=0.45,"Moderate Wind","Strong Wind")))</f>
        <v>Calm</v>
      </c>
      <c r="U628">
        <v>0</v>
      </c>
      <c r="V628">
        <v>34</v>
      </c>
      <c r="W628">
        <v>34</v>
      </c>
      <c r="X628" t="str">
        <f>IF(W628&lt;=75,"Low Demand",IF(W628&lt;=150,"Medium Demand",IF(W628&lt;=225,"High Demand","Very High Demand")))</f>
        <v>Low Demand</v>
      </c>
    </row>
    <row r="629" spans="1:24" x14ac:dyDescent="0.25">
      <c r="A629">
        <v>628</v>
      </c>
      <c r="B629" s="2">
        <v>40572</v>
      </c>
      <c r="C629">
        <v>1</v>
      </c>
      <c r="D629">
        <v>0</v>
      </c>
      <c r="E629">
        <v>1</v>
      </c>
      <c r="F629">
        <v>10</v>
      </c>
      <c r="G629" t="str">
        <f>IF(F629&lt;6,"Night",IF(F629&lt;12,"Morning",IF(F629&lt;18,"Afternoon","Evening")))</f>
        <v>Morning</v>
      </c>
      <c r="H629">
        <v>0</v>
      </c>
      <c r="I629">
        <v>6</v>
      </c>
      <c r="J629" t="str">
        <f>CHOOSE(I629+1,"Monday","Tuesday","Wednesday","Thursday","Friday","Saturday","Sunday")</f>
        <v>Sunday</v>
      </c>
      <c r="K629">
        <v>2</v>
      </c>
      <c r="L629" t="str">
        <f>CHOOSE(K629+1,"error","Clear","Misty","Rainy","Severe heater")</f>
        <v>Misty</v>
      </c>
      <c r="M629" s="1">
        <v>0.22</v>
      </c>
      <c r="N629" t="str">
        <f>IF(M629&lt;=0.2,"Low",IF(M629&lt;=0.4,"Mid","High"))</f>
        <v>Mid</v>
      </c>
      <c r="O629" s="1">
        <v>0.21210000000000001</v>
      </c>
      <c r="P629" t="str">
        <f>IF(O629&lt;=0.15,"Very Cold",IF(O629&lt;=0.3,"Cold",IF(O629&lt;=0.45,"Pleasant","Hot")))</f>
        <v>Cold</v>
      </c>
      <c r="Q629">
        <v>0.64</v>
      </c>
      <c r="R629" t="str">
        <f>IF(Q629&lt;=0.25,"Low ",IF(Q629&lt;=0.5,"Moderate ",IF(Q629&lt;=0.75,"High ","Very High ")))</f>
        <v xml:space="preserve">High </v>
      </c>
      <c r="S629">
        <v>0.1045</v>
      </c>
      <c r="T629" t="str">
        <f>IF(S629&lt;=0.15,"Calm",IF(S629&lt;=0.3,"Light Wind",IF(S629&lt;=0.45,"Moderate Wind","Strong Wind")))</f>
        <v>Calm</v>
      </c>
      <c r="U629">
        <v>4</v>
      </c>
      <c r="V629">
        <v>51</v>
      </c>
      <c r="W629">
        <v>55</v>
      </c>
      <c r="X629" t="str">
        <f>IF(W629&lt;=75,"Low Demand",IF(W629&lt;=150,"Medium Demand",IF(W629&lt;=225,"High Demand","Very High Demand")))</f>
        <v>Low Demand</v>
      </c>
    </row>
    <row r="630" spans="1:24" x14ac:dyDescent="0.25">
      <c r="A630">
        <v>629</v>
      </c>
      <c r="B630" s="2">
        <v>40572</v>
      </c>
      <c r="C630">
        <v>1</v>
      </c>
      <c r="D630">
        <v>0</v>
      </c>
      <c r="E630">
        <v>1</v>
      </c>
      <c r="F630">
        <v>11</v>
      </c>
      <c r="G630" t="str">
        <f>IF(F630&lt;6,"Night",IF(F630&lt;12,"Morning",IF(F630&lt;18,"Afternoon","Evening")))</f>
        <v>Morning</v>
      </c>
      <c r="H630">
        <v>0</v>
      </c>
      <c r="I630">
        <v>6</v>
      </c>
      <c r="J630" t="str">
        <f>CHOOSE(I630+1,"Monday","Tuesday","Wednesday","Thursday","Friday","Saturday","Sunday")</f>
        <v>Sunday</v>
      </c>
      <c r="K630">
        <v>2</v>
      </c>
      <c r="L630" t="str">
        <f>CHOOSE(K630+1,"error","Clear","Misty","Rainy","Severe heater")</f>
        <v>Misty</v>
      </c>
      <c r="M630" s="1">
        <v>0.18</v>
      </c>
      <c r="N630" t="str">
        <f>IF(M630&lt;=0.2,"Low",IF(M630&lt;=0.4,"Mid","High"))</f>
        <v>Low</v>
      </c>
      <c r="O630" s="1">
        <v>0.21210000000000001</v>
      </c>
      <c r="P630" t="str">
        <f>IF(O630&lt;=0.15,"Very Cold",IF(O630&lt;=0.3,"Cold",IF(O630&lt;=0.45,"Pleasant","Hot")))</f>
        <v>Cold</v>
      </c>
      <c r="Q630">
        <v>0.64</v>
      </c>
      <c r="R630" t="str">
        <f>IF(Q630&lt;=0.25,"Low ",IF(Q630&lt;=0.5,"Moderate ",IF(Q630&lt;=0.75,"High ","Very High ")))</f>
        <v xml:space="preserve">High </v>
      </c>
      <c r="S630">
        <v>0.1343</v>
      </c>
      <c r="T630" t="str">
        <f>IF(S630&lt;=0.15,"Calm",IF(S630&lt;=0.3,"Light Wind",IF(S630&lt;=0.45,"Moderate Wind","Strong Wind")))</f>
        <v>Calm</v>
      </c>
      <c r="U630">
        <v>4</v>
      </c>
      <c r="V630">
        <v>60</v>
      </c>
      <c r="W630">
        <v>64</v>
      </c>
      <c r="X630" t="str">
        <f>IF(W630&lt;=75,"Low Demand",IF(W630&lt;=150,"Medium Demand",IF(W630&lt;=225,"High Demand","Very High Demand")))</f>
        <v>Low Demand</v>
      </c>
    </row>
    <row r="631" spans="1:24" x14ac:dyDescent="0.25">
      <c r="A631">
        <v>630</v>
      </c>
      <c r="B631" s="2">
        <v>40572</v>
      </c>
      <c r="C631">
        <v>1</v>
      </c>
      <c r="D631">
        <v>0</v>
      </c>
      <c r="E631">
        <v>1</v>
      </c>
      <c r="F631">
        <v>12</v>
      </c>
      <c r="G631" t="str">
        <f>IF(F631&lt;6,"Night",IF(F631&lt;12,"Morning",IF(F631&lt;18,"Afternoon","Evening")))</f>
        <v>Afternoon</v>
      </c>
      <c r="H631">
        <v>0</v>
      </c>
      <c r="I631">
        <v>6</v>
      </c>
      <c r="J631" t="str">
        <f>CHOOSE(I631+1,"Monday","Tuesday","Wednesday","Thursday","Friday","Saturday","Sunday")</f>
        <v>Sunday</v>
      </c>
      <c r="K631">
        <v>2</v>
      </c>
      <c r="L631" t="str">
        <f>CHOOSE(K631+1,"error","Clear","Misty","Rainy","Severe heater")</f>
        <v>Misty</v>
      </c>
      <c r="M631" s="1">
        <v>0.18</v>
      </c>
      <c r="N631" t="str">
        <f>IF(M631&lt;=0.2,"Low",IF(M631&lt;=0.4,"Mid","High"))</f>
        <v>Low</v>
      </c>
      <c r="O631" s="1">
        <v>0.21210000000000001</v>
      </c>
      <c r="P631" t="str">
        <f>IF(O631&lt;=0.15,"Very Cold",IF(O631&lt;=0.3,"Cold",IF(O631&lt;=0.45,"Pleasant","Hot")))</f>
        <v>Cold</v>
      </c>
      <c r="Q631">
        <v>0.59</v>
      </c>
      <c r="R631" t="str">
        <f>IF(Q631&lt;=0.25,"Low ",IF(Q631&lt;=0.5,"Moderate ",IF(Q631&lt;=0.75,"High ","Very High ")))</f>
        <v xml:space="preserve">High </v>
      </c>
      <c r="S631">
        <v>0.19400000000000001</v>
      </c>
      <c r="T631" t="str">
        <f>IF(S631&lt;=0.15,"Calm",IF(S631&lt;=0.3,"Light Wind",IF(S631&lt;=0.45,"Moderate Wind","Strong Wind")))</f>
        <v>Light Wind</v>
      </c>
      <c r="U631">
        <v>12</v>
      </c>
      <c r="V631">
        <v>66</v>
      </c>
      <c r="W631">
        <v>78</v>
      </c>
      <c r="X631" t="str">
        <f>IF(W631&lt;=75,"Low Demand",IF(W631&lt;=150,"Medium Demand",IF(W631&lt;=225,"High Demand","Very High Demand")))</f>
        <v>Medium Demand</v>
      </c>
    </row>
    <row r="632" spans="1:24" x14ac:dyDescent="0.25">
      <c r="A632">
        <v>631</v>
      </c>
      <c r="B632" s="2">
        <v>40572</v>
      </c>
      <c r="C632">
        <v>1</v>
      </c>
      <c r="D632">
        <v>0</v>
      </c>
      <c r="E632">
        <v>1</v>
      </c>
      <c r="F632">
        <v>13</v>
      </c>
      <c r="G632" t="str">
        <f>IF(F632&lt;6,"Night",IF(F632&lt;12,"Morning",IF(F632&lt;18,"Afternoon","Evening")))</f>
        <v>Afternoon</v>
      </c>
      <c r="H632">
        <v>0</v>
      </c>
      <c r="I632">
        <v>6</v>
      </c>
      <c r="J632" t="str">
        <f>CHOOSE(I632+1,"Monday","Tuesday","Wednesday","Thursday","Friday","Saturday","Sunday")</f>
        <v>Sunday</v>
      </c>
      <c r="K632">
        <v>2</v>
      </c>
      <c r="L632" t="str">
        <f>CHOOSE(K632+1,"error","Clear","Misty","Rainy","Severe heater")</f>
        <v>Misty</v>
      </c>
      <c r="M632" s="1">
        <v>0.16</v>
      </c>
      <c r="N632" t="str">
        <f>IF(M632&lt;=0.2,"Low",IF(M632&lt;=0.4,"Mid","High"))</f>
        <v>Low</v>
      </c>
      <c r="O632" s="1">
        <v>0.19700000000000001</v>
      </c>
      <c r="P632" t="str">
        <f>IF(O632&lt;=0.15,"Very Cold",IF(O632&lt;=0.3,"Cold",IF(O632&lt;=0.45,"Pleasant","Hot")))</f>
        <v>Cold</v>
      </c>
      <c r="Q632">
        <v>0.55000000000000004</v>
      </c>
      <c r="R632" t="str">
        <f>IF(Q632&lt;=0.25,"Low ",IF(Q632&lt;=0.5,"Moderate ",IF(Q632&lt;=0.75,"High ","Very High ")))</f>
        <v xml:space="preserve">High </v>
      </c>
      <c r="S632">
        <v>0.16420000000000001</v>
      </c>
      <c r="T632" t="str">
        <f>IF(S632&lt;=0.15,"Calm",IF(S632&lt;=0.3,"Light Wind",IF(S632&lt;=0.45,"Moderate Wind","Strong Wind")))</f>
        <v>Light Wind</v>
      </c>
      <c r="U632">
        <v>9</v>
      </c>
      <c r="V632">
        <v>56</v>
      </c>
      <c r="W632">
        <v>65</v>
      </c>
      <c r="X632" t="str">
        <f>IF(W632&lt;=75,"Low Demand",IF(W632&lt;=150,"Medium Demand",IF(W632&lt;=225,"High Demand","Very High Demand")))</f>
        <v>Low Demand</v>
      </c>
    </row>
    <row r="633" spans="1:24" x14ac:dyDescent="0.25">
      <c r="A633">
        <v>632</v>
      </c>
      <c r="B633" s="2">
        <v>40572</v>
      </c>
      <c r="C633">
        <v>1</v>
      </c>
      <c r="D633">
        <v>0</v>
      </c>
      <c r="E633">
        <v>1</v>
      </c>
      <c r="F633">
        <v>14</v>
      </c>
      <c r="G633" t="str">
        <f>IF(F633&lt;6,"Night",IF(F633&lt;12,"Morning",IF(F633&lt;18,"Afternoon","Evening")))</f>
        <v>Afternoon</v>
      </c>
      <c r="H633">
        <v>0</v>
      </c>
      <c r="I633">
        <v>6</v>
      </c>
      <c r="J633" t="str">
        <f>CHOOSE(I633+1,"Monday","Tuesday","Wednesday","Thursday","Friday","Saturday","Sunday")</f>
        <v>Sunday</v>
      </c>
      <c r="K633">
        <v>2</v>
      </c>
      <c r="L633" t="str">
        <f>CHOOSE(K633+1,"error","Clear","Misty","Rainy","Severe heater")</f>
        <v>Misty</v>
      </c>
      <c r="M633" s="1">
        <v>0.16</v>
      </c>
      <c r="N633" t="str">
        <f>IF(M633&lt;=0.2,"Low",IF(M633&lt;=0.4,"Mid","High"))</f>
        <v>Low</v>
      </c>
      <c r="O633" s="1">
        <v>0.19700000000000001</v>
      </c>
      <c r="P633" t="str">
        <f>IF(O633&lt;=0.15,"Very Cold",IF(O633&lt;=0.3,"Cold",IF(O633&lt;=0.45,"Pleasant","Hot")))</f>
        <v>Cold</v>
      </c>
      <c r="Q633">
        <v>0.6</v>
      </c>
      <c r="R633" t="str">
        <f>IF(Q633&lt;=0.25,"Low ",IF(Q633&lt;=0.5,"Moderate ",IF(Q633&lt;=0.75,"High ","Very High ")))</f>
        <v xml:space="preserve">High </v>
      </c>
      <c r="S633">
        <v>0.1343</v>
      </c>
      <c r="T633" t="str">
        <f>IF(S633&lt;=0.15,"Calm",IF(S633&lt;=0.3,"Light Wind",IF(S633&lt;=0.45,"Moderate Wind","Strong Wind")))</f>
        <v>Calm</v>
      </c>
      <c r="U633">
        <v>10</v>
      </c>
      <c r="V633">
        <v>89</v>
      </c>
      <c r="W633">
        <v>99</v>
      </c>
      <c r="X633" t="str">
        <f>IF(W633&lt;=75,"Low Demand",IF(W633&lt;=150,"Medium Demand",IF(W633&lt;=225,"High Demand","Very High Demand")))</f>
        <v>Medium Demand</v>
      </c>
    </row>
    <row r="634" spans="1:24" x14ac:dyDescent="0.25">
      <c r="A634">
        <v>633</v>
      </c>
      <c r="B634" s="2">
        <v>40572</v>
      </c>
      <c r="C634">
        <v>1</v>
      </c>
      <c r="D634">
        <v>0</v>
      </c>
      <c r="E634">
        <v>1</v>
      </c>
      <c r="F634">
        <v>15</v>
      </c>
      <c r="G634" t="str">
        <f>IF(F634&lt;6,"Night",IF(F634&lt;12,"Morning",IF(F634&lt;18,"Afternoon","Evening")))</f>
        <v>Afternoon</v>
      </c>
      <c r="H634">
        <v>0</v>
      </c>
      <c r="I634">
        <v>6</v>
      </c>
      <c r="J634" t="str">
        <f>CHOOSE(I634+1,"Monday","Tuesday","Wednesday","Thursday","Friday","Saturday","Sunday")</f>
        <v>Sunday</v>
      </c>
      <c r="K634">
        <v>1</v>
      </c>
      <c r="L634" t="str">
        <f>CHOOSE(K634+1,"error","Clear","Misty","Rainy","Severe heater")</f>
        <v>Clear</v>
      </c>
      <c r="M634" s="1">
        <v>0.16</v>
      </c>
      <c r="N634" t="str">
        <f>IF(M634&lt;=0.2,"Low",IF(M634&lt;=0.4,"Mid","High"))</f>
        <v>Low</v>
      </c>
      <c r="O634" s="1">
        <v>0.18179999999999999</v>
      </c>
      <c r="P634" t="str">
        <f>IF(O634&lt;=0.15,"Very Cold",IF(O634&lt;=0.3,"Cold",IF(O634&lt;=0.45,"Pleasant","Hot")))</f>
        <v>Cold</v>
      </c>
      <c r="Q634">
        <v>0.69</v>
      </c>
      <c r="R634" t="str">
        <f>IF(Q634&lt;=0.25,"Low ",IF(Q634&lt;=0.5,"Moderate ",IF(Q634&lt;=0.75,"High ","Very High ")))</f>
        <v xml:space="preserve">High </v>
      </c>
      <c r="S634">
        <v>0.25369999999999998</v>
      </c>
      <c r="T634" t="str">
        <f>IF(S634&lt;=0.15,"Calm",IF(S634&lt;=0.3,"Light Wind",IF(S634&lt;=0.45,"Moderate Wind","Strong Wind")))</f>
        <v>Light Wind</v>
      </c>
      <c r="U634">
        <v>22</v>
      </c>
      <c r="V634">
        <v>98</v>
      </c>
      <c r="W634">
        <v>120</v>
      </c>
      <c r="X634" t="str">
        <f>IF(W634&lt;=75,"Low Demand",IF(W634&lt;=150,"Medium Demand",IF(W634&lt;=225,"High Demand","Very High Demand")))</f>
        <v>Medium Demand</v>
      </c>
    </row>
    <row r="635" spans="1:24" x14ac:dyDescent="0.25">
      <c r="A635">
        <v>634</v>
      </c>
      <c r="B635" s="2">
        <v>40572</v>
      </c>
      <c r="C635">
        <v>1</v>
      </c>
      <c r="D635">
        <v>0</v>
      </c>
      <c r="E635">
        <v>1</v>
      </c>
      <c r="F635">
        <v>16</v>
      </c>
      <c r="G635" t="str">
        <f>IF(F635&lt;6,"Night",IF(F635&lt;12,"Morning",IF(F635&lt;18,"Afternoon","Evening")))</f>
        <v>Afternoon</v>
      </c>
      <c r="H635">
        <v>0</v>
      </c>
      <c r="I635">
        <v>6</v>
      </c>
      <c r="J635" t="str">
        <f>CHOOSE(I635+1,"Monday","Tuesday","Wednesday","Thursday","Friday","Saturday","Sunday")</f>
        <v>Sunday</v>
      </c>
      <c r="K635">
        <v>1</v>
      </c>
      <c r="L635" t="str">
        <f>CHOOSE(K635+1,"error","Clear","Misty","Rainy","Severe heater")</f>
        <v>Clear</v>
      </c>
      <c r="M635" s="1">
        <v>0.14000000000000001</v>
      </c>
      <c r="N635" t="str">
        <f>IF(M635&lt;=0.2,"Low",IF(M635&lt;=0.4,"Mid","High"))</f>
        <v>Low</v>
      </c>
      <c r="O635" s="1">
        <v>0.21210000000000001</v>
      </c>
      <c r="P635" t="str">
        <f>IF(O635&lt;=0.15,"Very Cold",IF(O635&lt;=0.3,"Cold",IF(O635&lt;=0.45,"Pleasant","Hot")))</f>
        <v>Cold</v>
      </c>
      <c r="Q635">
        <v>0.6</v>
      </c>
      <c r="R635" t="str">
        <f>IF(Q635&lt;=0.25,"Low ",IF(Q635&lt;=0.5,"Moderate ",IF(Q635&lt;=0.75,"High ","Very High ")))</f>
        <v xml:space="preserve">High </v>
      </c>
      <c r="S635">
        <v>0.16420000000000001</v>
      </c>
      <c r="T635" t="str">
        <f>IF(S635&lt;=0.15,"Calm",IF(S635&lt;=0.3,"Light Wind",IF(S635&lt;=0.45,"Moderate Wind","Strong Wind")))</f>
        <v>Light Wind</v>
      </c>
      <c r="U635">
        <v>19</v>
      </c>
      <c r="V635">
        <v>88</v>
      </c>
      <c r="W635">
        <v>107</v>
      </c>
      <c r="X635" t="str">
        <f>IF(W635&lt;=75,"Low Demand",IF(W635&lt;=150,"Medium Demand",IF(W635&lt;=225,"High Demand","Very High Demand")))</f>
        <v>Medium Demand</v>
      </c>
    </row>
    <row r="636" spans="1:24" x14ac:dyDescent="0.25">
      <c r="A636">
        <v>635</v>
      </c>
      <c r="B636" s="2">
        <v>40572</v>
      </c>
      <c r="C636">
        <v>1</v>
      </c>
      <c r="D636">
        <v>0</v>
      </c>
      <c r="E636">
        <v>1</v>
      </c>
      <c r="F636">
        <v>17</v>
      </c>
      <c r="G636" t="str">
        <f>IF(F636&lt;6,"Night",IF(F636&lt;12,"Morning",IF(F636&lt;18,"Afternoon","Evening")))</f>
        <v>Afternoon</v>
      </c>
      <c r="H636">
        <v>0</v>
      </c>
      <c r="I636">
        <v>6</v>
      </c>
      <c r="J636" t="str">
        <f>CHOOSE(I636+1,"Monday","Tuesday","Wednesday","Thursday","Friday","Saturday","Sunday")</f>
        <v>Sunday</v>
      </c>
      <c r="K636">
        <v>1</v>
      </c>
      <c r="L636" t="str">
        <f>CHOOSE(K636+1,"error","Clear","Misty","Rainy","Severe heater")</f>
        <v>Clear</v>
      </c>
      <c r="M636" s="1">
        <v>0.16</v>
      </c>
      <c r="N636" t="str">
        <f>IF(M636&lt;=0.2,"Low",IF(M636&lt;=0.4,"Mid","High"))</f>
        <v>Low</v>
      </c>
      <c r="O636" s="1">
        <v>0.2273</v>
      </c>
      <c r="P636" t="str">
        <f>IF(O636&lt;=0.15,"Very Cold",IF(O636&lt;=0.3,"Cold",IF(O636&lt;=0.45,"Pleasant","Hot")))</f>
        <v>Cold</v>
      </c>
      <c r="Q636">
        <v>0.6</v>
      </c>
      <c r="R636" t="str">
        <f>IF(Q636&lt;=0.25,"Low ",IF(Q636&lt;=0.5,"Moderate ",IF(Q636&lt;=0.75,"High ","Very High ")))</f>
        <v xml:space="preserve">High </v>
      </c>
      <c r="S636">
        <v>0</v>
      </c>
      <c r="T636" t="str">
        <f>IF(S636&lt;=0.15,"Calm",IF(S636&lt;=0.3,"Light Wind",IF(S636&lt;=0.45,"Moderate Wind","Strong Wind")))</f>
        <v>Calm</v>
      </c>
      <c r="U636">
        <v>9</v>
      </c>
      <c r="V636">
        <v>82</v>
      </c>
      <c r="W636">
        <v>91</v>
      </c>
      <c r="X636" t="str">
        <f>IF(W636&lt;=75,"Low Demand",IF(W636&lt;=150,"Medium Demand",IF(W636&lt;=225,"High Demand","Very High Demand")))</f>
        <v>Medium Demand</v>
      </c>
    </row>
    <row r="637" spans="1:24" x14ac:dyDescent="0.25">
      <c r="A637">
        <v>636</v>
      </c>
      <c r="B637" s="2">
        <v>40572</v>
      </c>
      <c r="C637">
        <v>1</v>
      </c>
      <c r="D637">
        <v>0</v>
      </c>
      <c r="E637">
        <v>1</v>
      </c>
      <c r="F637">
        <v>18</v>
      </c>
      <c r="G637" t="str">
        <f>IF(F637&lt;6,"Night",IF(F637&lt;12,"Morning",IF(F637&lt;18,"Afternoon","Evening")))</f>
        <v>Evening</v>
      </c>
      <c r="H637">
        <v>0</v>
      </c>
      <c r="I637">
        <v>6</v>
      </c>
      <c r="J637" t="str">
        <f>CHOOSE(I637+1,"Monday","Tuesday","Wednesday","Thursday","Friday","Saturday","Sunday")</f>
        <v>Sunday</v>
      </c>
      <c r="K637">
        <v>1</v>
      </c>
      <c r="L637" t="str">
        <f>CHOOSE(K637+1,"error","Clear","Misty","Rainy","Severe heater")</f>
        <v>Clear</v>
      </c>
      <c r="M637" s="1">
        <v>0.14000000000000001</v>
      </c>
      <c r="N637" t="str">
        <f>IF(M637&lt;=0.2,"Low",IF(M637&lt;=0.4,"Mid","High"))</f>
        <v>Low</v>
      </c>
      <c r="O637" s="1">
        <v>0.21210000000000001</v>
      </c>
      <c r="P637" t="str">
        <f>IF(O637&lt;=0.15,"Very Cold",IF(O637&lt;=0.3,"Cold",IF(O637&lt;=0.45,"Pleasant","Hot")))</f>
        <v>Cold</v>
      </c>
      <c r="Q637">
        <v>0.69</v>
      </c>
      <c r="R637" t="str">
        <f>IF(Q637&lt;=0.25,"Low ",IF(Q637&lt;=0.5,"Moderate ",IF(Q637&lt;=0.75,"High ","Very High ")))</f>
        <v xml:space="preserve">High </v>
      </c>
      <c r="S637">
        <v>0.1343</v>
      </c>
      <c r="T637" t="str">
        <f>IF(S637&lt;=0.15,"Calm",IF(S637&lt;=0.3,"Light Wind",IF(S637&lt;=0.45,"Moderate Wind","Strong Wind")))</f>
        <v>Calm</v>
      </c>
      <c r="U637">
        <v>9</v>
      </c>
      <c r="V637">
        <v>59</v>
      </c>
      <c r="W637">
        <v>68</v>
      </c>
      <c r="X637" t="str">
        <f>IF(W637&lt;=75,"Low Demand",IF(W637&lt;=150,"Medium Demand",IF(W637&lt;=225,"High Demand","Very High Demand")))</f>
        <v>Low Demand</v>
      </c>
    </row>
    <row r="638" spans="1:24" x14ac:dyDescent="0.25">
      <c r="A638">
        <v>637</v>
      </c>
      <c r="B638" s="2">
        <v>40572</v>
      </c>
      <c r="C638">
        <v>1</v>
      </c>
      <c r="D638">
        <v>0</v>
      </c>
      <c r="E638">
        <v>1</v>
      </c>
      <c r="F638">
        <v>19</v>
      </c>
      <c r="G638" t="str">
        <f>IF(F638&lt;6,"Night",IF(F638&lt;12,"Morning",IF(F638&lt;18,"Afternoon","Evening")))</f>
        <v>Evening</v>
      </c>
      <c r="H638">
        <v>0</v>
      </c>
      <c r="I638">
        <v>6</v>
      </c>
      <c r="J638" t="str">
        <f>CHOOSE(I638+1,"Monday","Tuesday","Wednesday","Thursday","Friday","Saturday","Sunday")</f>
        <v>Sunday</v>
      </c>
      <c r="K638">
        <v>2</v>
      </c>
      <c r="L638" t="str">
        <f>CHOOSE(K638+1,"error","Clear","Misty","Rainy","Severe heater")</f>
        <v>Misty</v>
      </c>
      <c r="M638" s="1">
        <v>0.14000000000000001</v>
      </c>
      <c r="N638" t="str">
        <f>IF(M638&lt;=0.2,"Low",IF(M638&lt;=0.4,"Mid","High"))</f>
        <v>Low</v>
      </c>
      <c r="O638" s="1">
        <v>0.21210000000000001</v>
      </c>
      <c r="P638" t="str">
        <f>IF(O638&lt;=0.15,"Very Cold",IF(O638&lt;=0.3,"Cold",IF(O638&lt;=0.45,"Pleasant","Hot")))</f>
        <v>Cold</v>
      </c>
      <c r="Q638">
        <v>0.69</v>
      </c>
      <c r="R638" t="str">
        <f>IF(Q638&lt;=0.25,"Low ",IF(Q638&lt;=0.5,"Moderate ",IF(Q638&lt;=0.75,"High ","Very High ")))</f>
        <v xml:space="preserve">High </v>
      </c>
      <c r="S638">
        <v>0.25369999999999998</v>
      </c>
      <c r="T638" t="str">
        <f>IF(S638&lt;=0.15,"Calm",IF(S638&lt;=0.3,"Light Wind",IF(S638&lt;=0.45,"Moderate Wind","Strong Wind")))</f>
        <v>Light Wind</v>
      </c>
      <c r="U638">
        <v>6</v>
      </c>
      <c r="V638">
        <v>52</v>
      </c>
      <c r="W638">
        <v>58</v>
      </c>
      <c r="X638" t="str">
        <f>IF(W638&lt;=75,"Low Demand",IF(W638&lt;=150,"Medium Demand",IF(W638&lt;=225,"High Demand","Very High Demand")))</f>
        <v>Low Demand</v>
      </c>
    </row>
    <row r="639" spans="1:24" x14ac:dyDescent="0.25">
      <c r="A639">
        <v>638</v>
      </c>
      <c r="B639" s="2">
        <v>40572</v>
      </c>
      <c r="C639">
        <v>1</v>
      </c>
      <c r="D639">
        <v>0</v>
      </c>
      <c r="E639">
        <v>1</v>
      </c>
      <c r="F639">
        <v>20</v>
      </c>
      <c r="G639" t="str">
        <f>IF(F639&lt;6,"Night",IF(F639&lt;12,"Morning",IF(F639&lt;18,"Afternoon","Evening")))</f>
        <v>Evening</v>
      </c>
      <c r="H639">
        <v>0</v>
      </c>
      <c r="I639">
        <v>6</v>
      </c>
      <c r="J639" t="str">
        <f>CHOOSE(I639+1,"Monday","Tuesday","Wednesday","Thursday","Friday","Saturday","Sunday")</f>
        <v>Sunday</v>
      </c>
      <c r="K639">
        <v>1</v>
      </c>
      <c r="L639" t="str">
        <f>CHOOSE(K639+1,"error","Clear","Misty","Rainy","Severe heater")</f>
        <v>Clear</v>
      </c>
      <c r="M639" s="1">
        <v>0.14000000000000001</v>
      </c>
      <c r="N639" t="str">
        <f>IF(M639&lt;=0.2,"Low",IF(M639&lt;=0.4,"Mid","High"))</f>
        <v>Low</v>
      </c>
      <c r="O639" s="1">
        <v>0.21210000000000001</v>
      </c>
      <c r="P639" t="str">
        <f>IF(O639&lt;=0.15,"Very Cold",IF(O639&lt;=0.3,"Cold",IF(O639&lt;=0.45,"Pleasant","Hot")))</f>
        <v>Cold</v>
      </c>
      <c r="Q639">
        <v>0.74</v>
      </c>
      <c r="R639" t="str">
        <f>IF(Q639&lt;=0.25,"Low ",IF(Q639&lt;=0.5,"Moderate ",IF(Q639&lt;=0.75,"High ","Very High ")))</f>
        <v xml:space="preserve">High </v>
      </c>
      <c r="S639">
        <v>8.9599999999999999E-2</v>
      </c>
      <c r="T639" t="str">
        <f>IF(S639&lt;=0.15,"Calm",IF(S639&lt;=0.3,"Light Wind",IF(S639&lt;=0.45,"Moderate Wind","Strong Wind")))</f>
        <v>Calm</v>
      </c>
      <c r="U639">
        <v>1</v>
      </c>
      <c r="V639">
        <v>42</v>
      </c>
      <c r="W639">
        <v>43</v>
      </c>
      <c r="X639" t="str">
        <f>IF(W639&lt;=75,"Low Demand",IF(W639&lt;=150,"Medium Demand",IF(W639&lt;=225,"High Demand","Very High Demand")))</f>
        <v>Low Demand</v>
      </c>
    </row>
    <row r="640" spans="1:24" x14ac:dyDescent="0.25">
      <c r="A640">
        <v>639</v>
      </c>
      <c r="B640" s="2">
        <v>40572</v>
      </c>
      <c r="C640">
        <v>1</v>
      </c>
      <c r="D640">
        <v>0</v>
      </c>
      <c r="E640">
        <v>1</v>
      </c>
      <c r="F640">
        <v>21</v>
      </c>
      <c r="G640" t="str">
        <f>IF(F640&lt;6,"Night",IF(F640&lt;12,"Morning",IF(F640&lt;18,"Afternoon","Evening")))</f>
        <v>Evening</v>
      </c>
      <c r="H640">
        <v>0</v>
      </c>
      <c r="I640">
        <v>6</v>
      </c>
      <c r="J640" t="str">
        <f>CHOOSE(I640+1,"Monday","Tuesday","Wednesday","Thursday","Friday","Saturday","Sunday")</f>
        <v>Sunday</v>
      </c>
      <c r="K640">
        <v>1</v>
      </c>
      <c r="L640" t="str">
        <f>CHOOSE(K640+1,"error","Clear","Misty","Rainy","Severe heater")</f>
        <v>Clear</v>
      </c>
      <c r="M640" s="1">
        <v>0.14000000000000001</v>
      </c>
      <c r="N640" t="str">
        <f>IF(M640&lt;=0.2,"Low",IF(M640&lt;=0.4,"Mid","High"))</f>
        <v>Low</v>
      </c>
      <c r="O640" s="1">
        <v>0.21210000000000001</v>
      </c>
      <c r="P640" t="str">
        <f>IF(O640&lt;=0.15,"Very Cold",IF(O640&lt;=0.3,"Cold",IF(O640&lt;=0.45,"Pleasant","Hot")))</f>
        <v>Cold</v>
      </c>
      <c r="Q640">
        <v>0.74</v>
      </c>
      <c r="R640" t="str">
        <f>IF(Q640&lt;=0.25,"Low ",IF(Q640&lt;=0.5,"Moderate ",IF(Q640&lt;=0.75,"High ","Very High ")))</f>
        <v xml:space="preserve">High </v>
      </c>
      <c r="S640">
        <v>8.9599999999999999E-2</v>
      </c>
      <c r="T640" t="str">
        <f>IF(S640&lt;=0.15,"Calm",IF(S640&lt;=0.3,"Light Wind",IF(S640&lt;=0.45,"Moderate Wind","Strong Wind")))</f>
        <v>Calm</v>
      </c>
      <c r="U640">
        <v>1</v>
      </c>
      <c r="V640">
        <v>35</v>
      </c>
      <c r="W640">
        <v>36</v>
      </c>
      <c r="X640" t="str">
        <f>IF(W640&lt;=75,"Low Demand",IF(W640&lt;=150,"Medium Demand",IF(W640&lt;=225,"High Demand","Very High Demand")))</f>
        <v>Low Demand</v>
      </c>
    </row>
    <row r="641" spans="1:24" x14ac:dyDescent="0.25">
      <c r="A641">
        <v>640</v>
      </c>
      <c r="B641" s="2">
        <v>40572</v>
      </c>
      <c r="C641">
        <v>1</v>
      </c>
      <c r="D641">
        <v>0</v>
      </c>
      <c r="E641">
        <v>1</v>
      </c>
      <c r="F641">
        <v>22</v>
      </c>
      <c r="G641" t="str">
        <f>IF(F641&lt;6,"Night",IF(F641&lt;12,"Morning",IF(F641&lt;18,"Afternoon","Evening")))</f>
        <v>Evening</v>
      </c>
      <c r="H641">
        <v>0</v>
      </c>
      <c r="I641">
        <v>6</v>
      </c>
      <c r="J641" t="str">
        <f>CHOOSE(I641+1,"Monday","Tuesday","Wednesday","Thursday","Friday","Saturday","Sunday")</f>
        <v>Sunday</v>
      </c>
      <c r="K641">
        <v>1</v>
      </c>
      <c r="L641" t="str">
        <f>CHOOSE(K641+1,"error","Clear","Misty","Rainy","Severe heater")</f>
        <v>Clear</v>
      </c>
      <c r="M641" s="1">
        <v>0.14000000000000001</v>
      </c>
      <c r="N641" t="str">
        <f>IF(M641&lt;=0.2,"Low",IF(M641&lt;=0.4,"Mid","High"))</f>
        <v>Low</v>
      </c>
      <c r="O641" s="1">
        <v>0.21210000000000001</v>
      </c>
      <c r="P641" t="str">
        <f>IF(O641&lt;=0.15,"Very Cold",IF(O641&lt;=0.3,"Cold",IF(O641&lt;=0.45,"Pleasant","Hot")))</f>
        <v>Cold</v>
      </c>
      <c r="Q641">
        <v>0.8</v>
      </c>
      <c r="R641" t="str">
        <f>IF(Q641&lt;=0.25,"Low ",IF(Q641&lt;=0.5,"Moderate ",IF(Q641&lt;=0.75,"High ","Very High ")))</f>
        <v xml:space="preserve">Very High </v>
      </c>
      <c r="S641">
        <v>8.9599999999999999E-2</v>
      </c>
      <c r="T641" t="str">
        <f>IF(S641&lt;=0.15,"Calm",IF(S641&lt;=0.3,"Light Wind",IF(S641&lt;=0.45,"Moderate Wind","Strong Wind")))</f>
        <v>Calm</v>
      </c>
      <c r="U641">
        <v>4</v>
      </c>
      <c r="V641">
        <v>28</v>
      </c>
      <c r="W641">
        <v>32</v>
      </c>
      <c r="X641" t="str">
        <f>IF(W641&lt;=75,"Low Demand",IF(W641&lt;=150,"Medium Demand",IF(W641&lt;=225,"High Demand","Very High Demand")))</f>
        <v>Low Demand</v>
      </c>
    </row>
    <row r="642" spans="1:24" x14ac:dyDescent="0.25">
      <c r="A642">
        <v>641</v>
      </c>
      <c r="B642" s="2">
        <v>40572</v>
      </c>
      <c r="C642">
        <v>1</v>
      </c>
      <c r="D642">
        <v>0</v>
      </c>
      <c r="E642">
        <v>1</v>
      </c>
      <c r="F642">
        <v>23</v>
      </c>
      <c r="G642" t="str">
        <f>IF(F642&lt;6,"Night",IF(F642&lt;12,"Morning",IF(F642&lt;18,"Afternoon","Evening")))</f>
        <v>Evening</v>
      </c>
      <c r="H642">
        <v>0</v>
      </c>
      <c r="I642">
        <v>6</v>
      </c>
      <c r="J642" t="str">
        <f>CHOOSE(I642+1,"Monday","Tuesday","Wednesday","Thursday","Friday","Saturday","Sunday")</f>
        <v>Sunday</v>
      </c>
      <c r="K642">
        <v>1</v>
      </c>
      <c r="L642" t="str">
        <f>CHOOSE(K642+1,"error","Clear","Misty","Rainy","Severe heater")</f>
        <v>Clear</v>
      </c>
      <c r="M642" s="1">
        <v>0.16</v>
      </c>
      <c r="N642" t="str">
        <f>IF(M642&lt;=0.2,"Low",IF(M642&lt;=0.4,"Mid","High"))</f>
        <v>Low</v>
      </c>
      <c r="O642" s="1">
        <v>0.2273</v>
      </c>
      <c r="P642" t="str">
        <f>IF(O642&lt;=0.15,"Very Cold",IF(O642&lt;=0.3,"Cold",IF(O642&lt;=0.45,"Pleasant","Hot")))</f>
        <v>Cold</v>
      </c>
      <c r="Q642">
        <v>0.8</v>
      </c>
      <c r="R642" t="str">
        <f>IF(Q642&lt;=0.25,"Low ",IF(Q642&lt;=0.5,"Moderate ",IF(Q642&lt;=0.75,"High ","Very High ")))</f>
        <v xml:space="preserve">Very High </v>
      </c>
      <c r="S642">
        <v>8.9599999999999999E-2</v>
      </c>
      <c r="T642" t="str">
        <f>IF(S642&lt;=0.15,"Calm",IF(S642&lt;=0.3,"Light Wind",IF(S642&lt;=0.45,"Moderate Wind","Strong Wind")))</f>
        <v>Calm</v>
      </c>
      <c r="U642">
        <v>3</v>
      </c>
      <c r="V642">
        <v>30</v>
      </c>
      <c r="W642">
        <v>33</v>
      </c>
      <c r="X642" t="str">
        <f>IF(W642&lt;=75,"Low Demand",IF(W642&lt;=150,"Medium Demand",IF(W642&lt;=225,"High Demand","Very High Demand")))</f>
        <v>Low Demand</v>
      </c>
    </row>
    <row r="643" spans="1:24" x14ac:dyDescent="0.25">
      <c r="A643">
        <v>642</v>
      </c>
      <c r="B643" s="2">
        <v>40573</v>
      </c>
      <c r="C643">
        <v>1</v>
      </c>
      <c r="D643">
        <v>0</v>
      </c>
      <c r="E643">
        <v>1</v>
      </c>
      <c r="F643">
        <v>0</v>
      </c>
      <c r="G643" t="str">
        <f>IF(F643&lt;6,"Night",IF(F643&lt;12,"Morning",IF(F643&lt;18,"Afternoon","Evening")))</f>
        <v>Night</v>
      </c>
      <c r="H643">
        <v>0</v>
      </c>
      <c r="I643">
        <v>0</v>
      </c>
      <c r="J643" t="str">
        <f>CHOOSE(I643+1,"Monday","Tuesday","Wednesday","Thursday","Friday","Saturday","Sunday")</f>
        <v>Monday</v>
      </c>
      <c r="K643">
        <v>1</v>
      </c>
      <c r="L643" t="str">
        <f>CHOOSE(K643+1,"error","Clear","Misty","Rainy","Severe heater")</f>
        <v>Clear</v>
      </c>
      <c r="M643" s="1">
        <v>0.18</v>
      </c>
      <c r="N643" t="str">
        <f>IF(M643&lt;=0.2,"Low",IF(M643&lt;=0.4,"Mid","High"))</f>
        <v>Low</v>
      </c>
      <c r="O643" s="1">
        <v>0.2424</v>
      </c>
      <c r="P643" t="str">
        <f>IF(O643&lt;=0.15,"Very Cold",IF(O643&lt;=0.3,"Cold",IF(O643&lt;=0.45,"Pleasant","Hot")))</f>
        <v>Cold</v>
      </c>
      <c r="Q643">
        <v>0.8</v>
      </c>
      <c r="R643" t="str">
        <f>IF(Q643&lt;=0.25,"Low ",IF(Q643&lt;=0.5,"Moderate ",IF(Q643&lt;=0.75,"High ","Very High ")))</f>
        <v xml:space="preserve">Very High </v>
      </c>
      <c r="S643">
        <v>0.1045</v>
      </c>
      <c r="T643" t="str">
        <f>IF(S643&lt;=0.15,"Calm",IF(S643&lt;=0.3,"Light Wind",IF(S643&lt;=0.45,"Moderate Wind","Strong Wind")))</f>
        <v>Calm</v>
      </c>
      <c r="U643">
        <v>0</v>
      </c>
      <c r="V643">
        <v>33</v>
      </c>
      <c r="W643">
        <v>33</v>
      </c>
      <c r="X643" t="str">
        <f>IF(W643&lt;=75,"Low Demand",IF(W643&lt;=150,"Medium Demand",IF(W643&lt;=225,"High Demand","Very High Demand")))</f>
        <v>Low Demand</v>
      </c>
    </row>
    <row r="644" spans="1:24" x14ac:dyDescent="0.25">
      <c r="A644">
        <v>643</v>
      </c>
      <c r="B644" s="2">
        <v>40573</v>
      </c>
      <c r="C644">
        <v>1</v>
      </c>
      <c r="D644">
        <v>0</v>
      </c>
      <c r="E644">
        <v>1</v>
      </c>
      <c r="F644">
        <v>1</v>
      </c>
      <c r="G644" t="str">
        <f>IF(F644&lt;6,"Night",IF(F644&lt;12,"Morning",IF(F644&lt;18,"Afternoon","Evening")))</f>
        <v>Night</v>
      </c>
      <c r="H644">
        <v>0</v>
      </c>
      <c r="I644">
        <v>0</v>
      </c>
      <c r="J644" t="str">
        <f>CHOOSE(I644+1,"Monday","Tuesday","Wednesday","Thursday","Friday","Saturday","Sunday")</f>
        <v>Monday</v>
      </c>
      <c r="K644">
        <v>1</v>
      </c>
      <c r="L644" t="str">
        <f>CHOOSE(K644+1,"error","Clear","Misty","Rainy","Severe heater")</f>
        <v>Clear</v>
      </c>
      <c r="M644" s="1">
        <v>0.22</v>
      </c>
      <c r="N644" t="str">
        <f>IF(M644&lt;=0.2,"Low",IF(M644&lt;=0.4,"Mid","High"))</f>
        <v>Mid</v>
      </c>
      <c r="O644" s="1">
        <v>0.2727</v>
      </c>
      <c r="P644" t="str">
        <f>IF(O644&lt;=0.15,"Very Cold",IF(O644&lt;=0.3,"Cold",IF(O644&lt;=0.45,"Pleasant","Hot")))</f>
        <v>Cold</v>
      </c>
      <c r="Q644">
        <v>0.8</v>
      </c>
      <c r="R644" t="str">
        <f>IF(Q644&lt;=0.25,"Low ",IF(Q644&lt;=0.5,"Moderate ",IF(Q644&lt;=0.75,"High ","Very High ")))</f>
        <v xml:space="preserve">Very High </v>
      </c>
      <c r="S644">
        <v>0</v>
      </c>
      <c r="T644" t="str">
        <f>IF(S644&lt;=0.15,"Calm",IF(S644&lt;=0.3,"Light Wind",IF(S644&lt;=0.45,"Moderate Wind","Strong Wind")))</f>
        <v>Calm</v>
      </c>
      <c r="U644">
        <v>7</v>
      </c>
      <c r="V644">
        <v>22</v>
      </c>
      <c r="W644">
        <v>29</v>
      </c>
      <c r="X644" t="str">
        <f>IF(W644&lt;=75,"Low Demand",IF(W644&lt;=150,"Medium Demand",IF(W644&lt;=225,"High Demand","Very High Demand")))</f>
        <v>Low Demand</v>
      </c>
    </row>
    <row r="645" spans="1:24" x14ac:dyDescent="0.25">
      <c r="A645">
        <v>644</v>
      </c>
      <c r="B645" s="2">
        <v>40573</v>
      </c>
      <c r="C645">
        <v>1</v>
      </c>
      <c r="D645">
        <v>0</v>
      </c>
      <c r="E645">
        <v>1</v>
      </c>
      <c r="F645">
        <v>2</v>
      </c>
      <c r="G645" t="str">
        <f>IF(F645&lt;6,"Night",IF(F645&lt;12,"Morning",IF(F645&lt;18,"Afternoon","Evening")))</f>
        <v>Night</v>
      </c>
      <c r="H645">
        <v>0</v>
      </c>
      <c r="I645">
        <v>0</v>
      </c>
      <c r="J645" t="str">
        <f>CHOOSE(I645+1,"Monday","Tuesday","Wednesday","Thursday","Friday","Saturday","Sunday")</f>
        <v>Monday</v>
      </c>
      <c r="K645">
        <v>1</v>
      </c>
      <c r="L645" t="str">
        <f>CHOOSE(K645+1,"error","Clear","Misty","Rainy","Severe heater")</f>
        <v>Clear</v>
      </c>
      <c r="M645" s="1">
        <v>0.3</v>
      </c>
      <c r="N645" t="str">
        <f>IF(M645&lt;=0.2,"Low",IF(M645&lt;=0.4,"Mid","High"))</f>
        <v>Mid</v>
      </c>
      <c r="O645" s="1">
        <v>0.31819999999999998</v>
      </c>
      <c r="P645" t="str">
        <f>IF(O645&lt;=0.15,"Very Cold",IF(O645&lt;=0.3,"Cold",IF(O645&lt;=0.45,"Pleasant","Hot")))</f>
        <v>Pleasant</v>
      </c>
      <c r="Q645">
        <v>0.8</v>
      </c>
      <c r="R645" t="str">
        <f>IF(Q645&lt;=0.25,"Low ",IF(Q645&lt;=0.5,"Moderate ",IF(Q645&lt;=0.75,"High ","Very High ")))</f>
        <v xml:space="preserve">Very High </v>
      </c>
      <c r="S645">
        <v>0</v>
      </c>
      <c r="T645" t="str">
        <f>IF(S645&lt;=0.15,"Calm",IF(S645&lt;=0.3,"Light Wind",IF(S645&lt;=0.45,"Moderate Wind","Strong Wind")))</f>
        <v>Calm</v>
      </c>
      <c r="U645">
        <v>1</v>
      </c>
      <c r="V645">
        <v>10</v>
      </c>
      <c r="W645">
        <v>11</v>
      </c>
      <c r="X645" t="str">
        <f>IF(W645&lt;=75,"Low Demand",IF(W645&lt;=150,"Medium Demand",IF(W645&lt;=225,"High Demand","Very High Demand")))</f>
        <v>Low Demand</v>
      </c>
    </row>
    <row r="646" spans="1:24" x14ac:dyDescent="0.25">
      <c r="A646">
        <v>645</v>
      </c>
      <c r="B646" s="2">
        <v>40573</v>
      </c>
      <c r="C646">
        <v>1</v>
      </c>
      <c r="D646">
        <v>0</v>
      </c>
      <c r="E646">
        <v>1</v>
      </c>
      <c r="F646">
        <v>3</v>
      </c>
      <c r="G646" t="str">
        <f>IF(F646&lt;6,"Night",IF(F646&lt;12,"Morning",IF(F646&lt;18,"Afternoon","Evening")))</f>
        <v>Night</v>
      </c>
      <c r="H646">
        <v>0</v>
      </c>
      <c r="I646">
        <v>0</v>
      </c>
      <c r="J646" t="str">
        <f>CHOOSE(I646+1,"Monday","Tuesday","Wednesday","Thursday","Friday","Saturday","Sunday")</f>
        <v>Monday</v>
      </c>
      <c r="K646">
        <v>1</v>
      </c>
      <c r="L646" t="str">
        <f>CHOOSE(K646+1,"error","Clear","Misty","Rainy","Severe heater")</f>
        <v>Clear</v>
      </c>
      <c r="M646" s="1">
        <v>0.28000000000000003</v>
      </c>
      <c r="N646" t="str">
        <f>IF(M646&lt;=0.2,"Low",IF(M646&lt;=0.4,"Mid","High"))</f>
        <v>Mid</v>
      </c>
      <c r="O646" s="1">
        <v>0.28789999999999999</v>
      </c>
      <c r="P646" t="str">
        <f>IF(O646&lt;=0.15,"Very Cold",IF(O646&lt;=0.3,"Cold",IF(O646&lt;=0.45,"Pleasant","Hot")))</f>
        <v>Cold</v>
      </c>
      <c r="Q646">
        <v>0.93</v>
      </c>
      <c r="R646" t="str">
        <f>IF(Q646&lt;=0.25,"Low ",IF(Q646&lt;=0.5,"Moderate ",IF(Q646&lt;=0.75,"High ","Very High ")))</f>
        <v xml:space="preserve">Very High </v>
      </c>
      <c r="S646">
        <v>0</v>
      </c>
      <c r="T646" t="str">
        <f>IF(S646&lt;=0.15,"Calm",IF(S646&lt;=0.3,"Light Wind",IF(S646&lt;=0.45,"Moderate Wind","Strong Wind")))</f>
        <v>Calm</v>
      </c>
      <c r="U646">
        <v>1</v>
      </c>
      <c r="V646">
        <v>7</v>
      </c>
      <c r="W646">
        <v>8</v>
      </c>
      <c r="X646" t="str">
        <f>IF(W646&lt;=75,"Low Demand",IF(W646&lt;=150,"Medium Demand",IF(W646&lt;=225,"High Demand","Very High Demand")))</f>
        <v>Low Demand</v>
      </c>
    </row>
    <row r="647" spans="1:24" x14ac:dyDescent="0.25">
      <c r="A647">
        <v>646</v>
      </c>
      <c r="B647" s="2">
        <v>40573</v>
      </c>
      <c r="C647">
        <v>1</v>
      </c>
      <c r="D647">
        <v>0</v>
      </c>
      <c r="E647">
        <v>1</v>
      </c>
      <c r="F647">
        <v>4</v>
      </c>
      <c r="G647" t="str">
        <f>IF(F647&lt;6,"Night",IF(F647&lt;12,"Morning",IF(F647&lt;18,"Afternoon","Evening")))</f>
        <v>Night</v>
      </c>
      <c r="H647">
        <v>0</v>
      </c>
      <c r="I647">
        <v>0</v>
      </c>
      <c r="J647" t="str">
        <f>CHOOSE(I647+1,"Monday","Tuesday","Wednesday","Thursday","Friday","Saturday","Sunday")</f>
        <v>Monday</v>
      </c>
      <c r="K647">
        <v>1</v>
      </c>
      <c r="L647" t="str">
        <f>CHOOSE(K647+1,"error","Clear","Misty","Rainy","Severe heater")</f>
        <v>Clear</v>
      </c>
      <c r="M647" s="1">
        <v>0.28000000000000003</v>
      </c>
      <c r="N647" t="str">
        <f>IF(M647&lt;=0.2,"Low",IF(M647&lt;=0.4,"Mid","High"))</f>
        <v>Mid</v>
      </c>
      <c r="O647" s="1">
        <v>0.30299999999999999</v>
      </c>
      <c r="P647" t="str">
        <f>IF(O647&lt;=0.15,"Very Cold",IF(O647&lt;=0.3,"Cold",IF(O647&lt;=0.45,"Pleasant","Hot")))</f>
        <v>Pleasant</v>
      </c>
      <c r="Q647">
        <v>0.93</v>
      </c>
      <c r="R647" t="str">
        <f>IF(Q647&lt;=0.25,"Low ",IF(Q647&lt;=0.5,"Moderate ",IF(Q647&lt;=0.75,"High ","Very High ")))</f>
        <v xml:space="preserve">Very High </v>
      </c>
      <c r="S647">
        <v>0</v>
      </c>
      <c r="T647" t="str">
        <f>IF(S647&lt;=0.15,"Calm",IF(S647&lt;=0.3,"Light Wind",IF(S647&lt;=0.45,"Moderate Wind","Strong Wind")))</f>
        <v>Calm</v>
      </c>
      <c r="U647">
        <v>0</v>
      </c>
      <c r="V647">
        <v>1</v>
      </c>
      <c r="W647">
        <v>1</v>
      </c>
      <c r="X647" t="str">
        <f>IF(W647&lt;=75,"Low Demand",IF(W647&lt;=150,"Medium Demand",IF(W647&lt;=225,"High Demand","Very High Demand")))</f>
        <v>Low Demand</v>
      </c>
    </row>
    <row r="648" spans="1:24" x14ac:dyDescent="0.25">
      <c r="A648">
        <v>647</v>
      </c>
      <c r="B648" s="2">
        <v>40573</v>
      </c>
      <c r="C648">
        <v>1</v>
      </c>
      <c r="D648">
        <v>0</v>
      </c>
      <c r="E648">
        <v>1</v>
      </c>
      <c r="F648">
        <v>5</v>
      </c>
      <c r="G648" t="str">
        <f>IF(F648&lt;6,"Night",IF(F648&lt;12,"Morning",IF(F648&lt;18,"Afternoon","Evening")))</f>
        <v>Night</v>
      </c>
      <c r="H648">
        <v>0</v>
      </c>
      <c r="I648">
        <v>0</v>
      </c>
      <c r="J648" t="str">
        <f>CHOOSE(I648+1,"Monday","Tuesday","Wednesday","Thursday","Friday","Saturday","Sunday")</f>
        <v>Monday</v>
      </c>
      <c r="K648">
        <v>1</v>
      </c>
      <c r="L648" t="str">
        <f>CHOOSE(K648+1,"error","Clear","Misty","Rainy","Severe heater")</f>
        <v>Clear</v>
      </c>
      <c r="M648" s="1">
        <v>0.3</v>
      </c>
      <c r="N648" t="str">
        <f>IF(M648&lt;=0.2,"Low",IF(M648&lt;=0.4,"Mid","High"))</f>
        <v>Mid</v>
      </c>
      <c r="O648" s="1">
        <v>0.33329999999999999</v>
      </c>
      <c r="P648" t="str">
        <f>IF(O648&lt;=0.15,"Very Cold",IF(O648&lt;=0.3,"Cold",IF(O648&lt;=0.45,"Pleasant","Hot")))</f>
        <v>Pleasant</v>
      </c>
      <c r="Q648">
        <v>0.86</v>
      </c>
      <c r="R648" t="str">
        <f>IF(Q648&lt;=0.25,"Low ",IF(Q648&lt;=0.5,"Moderate ",IF(Q648&lt;=0.75,"High ","Very High ")))</f>
        <v xml:space="preserve">Very High </v>
      </c>
      <c r="S648">
        <v>0</v>
      </c>
      <c r="T648" t="str">
        <f>IF(S648&lt;=0.15,"Calm",IF(S648&lt;=0.3,"Light Wind",IF(S648&lt;=0.45,"Moderate Wind","Strong Wind")))</f>
        <v>Calm</v>
      </c>
      <c r="U648">
        <v>0</v>
      </c>
      <c r="V648">
        <v>3</v>
      </c>
      <c r="W648">
        <v>3</v>
      </c>
      <c r="X648" t="str">
        <f>IF(W648&lt;=75,"Low Demand",IF(W648&lt;=150,"Medium Demand",IF(W648&lt;=225,"High Demand","Very High Demand")))</f>
        <v>Low Demand</v>
      </c>
    </row>
    <row r="649" spans="1:24" x14ac:dyDescent="0.25">
      <c r="A649">
        <v>648</v>
      </c>
      <c r="B649" s="2">
        <v>40573</v>
      </c>
      <c r="C649">
        <v>1</v>
      </c>
      <c r="D649">
        <v>0</v>
      </c>
      <c r="E649">
        <v>1</v>
      </c>
      <c r="F649">
        <v>7</v>
      </c>
      <c r="G649" t="str">
        <f>IF(F649&lt;6,"Night",IF(F649&lt;12,"Morning",IF(F649&lt;18,"Afternoon","Evening")))</f>
        <v>Morning</v>
      </c>
      <c r="H649">
        <v>0</v>
      </c>
      <c r="I649">
        <v>0</v>
      </c>
      <c r="J649" t="str">
        <f>CHOOSE(I649+1,"Monday","Tuesday","Wednesday","Thursday","Friday","Saturday","Sunday")</f>
        <v>Monday</v>
      </c>
      <c r="K649">
        <v>1</v>
      </c>
      <c r="L649" t="str">
        <f>CHOOSE(K649+1,"error","Clear","Misty","Rainy","Severe heater")</f>
        <v>Clear</v>
      </c>
      <c r="M649" s="1">
        <v>0.3</v>
      </c>
      <c r="N649" t="str">
        <f>IF(M649&lt;=0.2,"Low",IF(M649&lt;=0.4,"Mid","High"))</f>
        <v>Mid</v>
      </c>
      <c r="O649" s="1">
        <v>0.33329999999999999</v>
      </c>
      <c r="P649" t="str">
        <f>IF(O649&lt;=0.15,"Very Cold",IF(O649&lt;=0.3,"Cold",IF(O649&lt;=0.45,"Pleasant","Hot")))</f>
        <v>Pleasant</v>
      </c>
      <c r="Q649">
        <v>0.86</v>
      </c>
      <c r="R649" t="str">
        <f>IF(Q649&lt;=0.25,"Low ",IF(Q649&lt;=0.5,"Moderate ",IF(Q649&lt;=0.75,"High ","Very High ")))</f>
        <v xml:space="preserve">Very High </v>
      </c>
      <c r="S649">
        <v>0</v>
      </c>
      <c r="T649" t="str">
        <f>IF(S649&lt;=0.15,"Calm",IF(S649&lt;=0.3,"Light Wind",IF(S649&lt;=0.45,"Moderate Wind","Strong Wind")))</f>
        <v>Calm</v>
      </c>
      <c r="U649">
        <v>0</v>
      </c>
      <c r="V649">
        <v>3</v>
      </c>
      <c r="W649">
        <v>3</v>
      </c>
      <c r="X649" t="str">
        <f>IF(W649&lt;=75,"Low Demand",IF(W649&lt;=150,"Medium Demand",IF(W649&lt;=225,"High Demand","Very High Demand")))</f>
        <v>Low Demand</v>
      </c>
    </row>
    <row r="650" spans="1:24" x14ac:dyDescent="0.25">
      <c r="A650">
        <v>649</v>
      </c>
      <c r="B650" s="2">
        <v>40573</v>
      </c>
      <c r="C650">
        <v>1</v>
      </c>
      <c r="D650">
        <v>0</v>
      </c>
      <c r="E650">
        <v>1</v>
      </c>
      <c r="F650">
        <v>8</v>
      </c>
      <c r="G650" t="str">
        <f>IF(F650&lt;6,"Night",IF(F650&lt;12,"Morning",IF(F650&lt;18,"Afternoon","Evening")))</f>
        <v>Morning</v>
      </c>
      <c r="H650">
        <v>0</v>
      </c>
      <c r="I650">
        <v>0</v>
      </c>
      <c r="J650" t="str">
        <f>CHOOSE(I650+1,"Monday","Tuesday","Wednesday","Thursday","Friday","Saturday","Sunday")</f>
        <v>Monday</v>
      </c>
      <c r="K650">
        <v>2</v>
      </c>
      <c r="L650" t="str">
        <f>CHOOSE(K650+1,"error","Clear","Misty","Rainy","Severe heater")</f>
        <v>Misty</v>
      </c>
      <c r="M650" s="1">
        <v>0.3</v>
      </c>
      <c r="N650" t="str">
        <f>IF(M650&lt;=0.2,"Low",IF(M650&lt;=0.4,"Mid","High"))</f>
        <v>Mid</v>
      </c>
      <c r="O650" s="1">
        <v>0.28789999999999999</v>
      </c>
      <c r="P650" t="str">
        <f>IF(O650&lt;=0.15,"Very Cold",IF(O650&lt;=0.3,"Cold",IF(O650&lt;=0.45,"Pleasant","Hot")))</f>
        <v>Cold</v>
      </c>
      <c r="Q650">
        <v>0.86</v>
      </c>
      <c r="R650" t="str">
        <f>IF(Q650&lt;=0.25,"Low ",IF(Q650&lt;=0.5,"Moderate ",IF(Q650&lt;=0.75,"High ","Very High ")))</f>
        <v xml:space="preserve">Very High </v>
      </c>
      <c r="S650">
        <v>0</v>
      </c>
      <c r="T650" t="str">
        <f>IF(S650&lt;=0.15,"Calm",IF(S650&lt;=0.3,"Light Wind",IF(S650&lt;=0.45,"Moderate Wind","Strong Wind")))</f>
        <v>Calm</v>
      </c>
      <c r="U650">
        <v>1</v>
      </c>
      <c r="V650">
        <v>11</v>
      </c>
      <c r="W650">
        <v>12</v>
      </c>
      <c r="X650" t="str">
        <f>IF(W650&lt;=75,"Low Demand",IF(W650&lt;=150,"Medium Demand",IF(W650&lt;=225,"High Demand","Very High Demand")))</f>
        <v>Low Demand</v>
      </c>
    </row>
    <row r="651" spans="1:24" x14ac:dyDescent="0.25">
      <c r="A651">
        <v>650</v>
      </c>
      <c r="B651" s="2">
        <v>40573</v>
      </c>
      <c r="C651">
        <v>1</v>
      </c>
      <c r="D651">
        <v>0</v>
      </c>
      <c r="E651">
        <v>1</v>
      </c>
      <c r="F651">
        <v>9</v>
      </c>
      <c r="G651" t="str">
        <f>IF(F651&lt;6,"Night",IF(F651&lt;12,"Morning",IF(F651&lt;18,"Afternoon","Evening")))</f>
        <v>Morning</v>
      </c>
      <c r="H651">
        <v>0</v>
      </c>
      <c r="I651">
        <v>0</v>
      </c>
      <c r="J651" t="str">
        <f>CHOOSE(I651+1,"Monday","Tuesday","Wednesday","Thursday","Friday","Saturday","Sunday")</f>
        <v>Monday</v>
      </c>
      <c r="K651">
        <v>2</v>
      </c>
      <c r="L651" t="str">
        <f>CHOOSE(K651+1,"error","Clear","Misty","Rainy","Severe heater")</f>
        <v>Misty</v>
      </c>
      <c r="M651" s="1">
        <v>0.26</v>
      </c>
      <c r="N651" t="str">
        <f>IF(M651&lt;=0.2,"Low",IF(M651&lt;=0.4,"Mid","High"))</f>
        <v>Mid</v>
      </c>
      <c r="O651" s="1">
        <v>0.2576</v>
      </c>
      <c r="P651" t="str">
        <f>IF(O651&lt;=0.15,"Very Cold",IF(O651&lt;=0.3,"Cold",IF(O651&lt;=0.45,"Pleasant","Hot")))</f>
        <v>Cold</v>
      </c>
      <c r="Q651">
        <v>0.8</v>
      </c>
      <c r="R651" t="str">
        <f>IF(Q651&lt;=0.25,"Low ",IF(Q651&lt;=0.5,"Moderate ",IF(Q651&lt;=0.75,"High ","Very High ")))</f>
        <v xml:space="preserve">Very High </v>
      </c>
      <c r="S651">
        <v>0</v>
      </c>
      <c r="T651" t="str">
        <f>IF(S651&lt;=0.15,"Calm",IF(S651&lt;=0.3,"Light Wind",IF(S651&lt;=0.45,"Moderate Wind","Strong Wind")))</f>
        <v>Calm</v>
      </c>
      <c r="U651">
        <v>4</v>
      </c>
      <c r="V651">
        <v>34</v>
      </c>
      <c r="W651">
        <v>38</v>
      </c>
      <c r="X651" t="str">
        <f>IF(W651&lt;=75,"Low Demand",IF(W651&lt;=150,"Medium Demand",IF(W651&lt;=225,"High Demand","Very High Demand")))</f>
        <v>Low Demand</v>
      </c>
    </row>
    <row r="652" spans="1:24" x14ac:dyDescent="0.25">
      <c r="A652">
        <v>651</v>
      </c>
      <c r="B652" s="2">
        <v>40573</v>
      </c>
      <c r="C652">
        <v>1</v>
      </c>
      <c r="D652">
        <v>0</v>
      </c>
      <c r="E652">
        <v>1</v>
      </c>
      <c r="F652">
        <v>10</v>
      </c>
      <c r="G652" t="str">
        <f>IF(F652&lt;6,"Night",IF(F652&lt;12,"Morning",IF(F652&lt;18,"Afternoon","Evening")))</f>
        <v>Morning</v>
      </c>
      <c r="H652">
        <v>0</v>
      </c>
      <c r="I652">
        <v>0</v>
      </c>
      <c r="J652" t="str">
        <f>CHOOSE(I652+1,"Monday","Tuesday","Wednesday","Thursday","Friday","Saturday","Sunday")</f>
        <v>Monday</v>
      </c>
      <c r="K652">
        <v>2</v>
      </c>
      <c r="L652" t="str">
        <f>CHOOSE(K652+1,"error","Clear","Misty","Rainy","Severe heater")</f>
        <v>Misty</v>
      </c>
      <c r="M652" s="1">
        <v>0.26</v>
      </c>
      <c r="N652" t="str">
        <f>IF(M652&lt;=0.2,"Low",IF(M652&lt;=0.4,"Mid","High"))</f>
        <v>Mid</v>
      </c>
      <c r="O652" s="1">
        <v>0.2576</v>
      </c>
      <c r="P652" t="str">
        <f>IF(O652&lt;=0.15,"Very Cold",IF(O652&lt;=0.3,"Cold",IF(O652&lt;=0.45,"Pleasant","Hot")))</f>
        <v>Cold</v>
      </c>
      <c r="Q652">
        <v>0.8</v>
      </c>
      <c r="R652" t="str">
        <f>IF(Q652&lt;=0.25,"Low ",IF(Q652&lt;=0.5,"Moderate ",IF(Q652&lt;=0.75,"High ","Very High ")))</f>
        <v xml:space="preserve">Very High </v>
      </c>
      <c r="S652">
        <v>0</v>
      </c>
      <c r="T652" t="str">
        <f>IF(S652&lt;=0.15,"Calm",IF(S652&lt;=0.3,"Light Wind",IF(S652&lt;=0.45,"Moderate Wind","Strong Wind")))</f>
        <v>Calm</v>
      </c>
      <c r="U652">
        <v>7</v>
      </c>
      <c r="V652">
        <v>57</v>
      </c>
      <c r="W652">
        <v>64</v>
      </c>
      <c r="X652" t="str">
        <f>IF(W652&lt;=75,"Low Demand",IF(W652&lt;=150,"Medium Demand",IF(W652&lt;=225,"High Demand","Very High Demand")))</f>
        <v>Low Demand</v>
      </c>
    </row>
    <row r="653" spans="1:24" x14ac:dyDescent="0.25">
      <c r="A653">
        <v>652</v>
      </c>
      <c r="B653" s="2">
        <v>40573</v>
      </c>
      <c r="C653">
        <v>1</v>
      </c>
      <c r="D653">
        <v>0</v>
      </c>
      <c r="E653">
        <v>1</v>
      </c>
      <c r="F653">
        <v>11</v>
      </c>
      <c r="G653" t="str">
        <f>IF(F653&lt;6,"Night",IF(F653&lt;12,"Morning",IF(F653&lt;18,"Afternoon","Evening")))</f>
        <v>Morning</v>
      </c>
      <c r="H653">
        <v>0</v>
      </c>
      <c r="I653">
        <v>0</v>
      </c>
      <c r="J653" t="str">
        <f>CHOOSE(I653+1,"Monday","Tuesday","Wednesday","Thursday","Friday","Saturday","Sunday")</f>
        <v>Monday</v>
      </c>
      <c r="K653">
        <v>1</v>
      </c>
      <c r="L653" t="str">
        <f>CHOOSE(K653+1,"error","Clear","Misty","Rainy","Severe heater")</f>
        <v>Clear</v>
      </c>
      <c r="M653" s="1">
        <v>0.26</v>
      </c>
      <c r="N653" t="str">
        <f>IF(M653&lt;=0.2,"Low",IF(M653&lt;=0.4,"Mid","High"))</f>
        <v>Mid</v>
      </c>
      <c r="O653" s="1">
        <v>0.2727</v>
      </c>
      <c r="P653" t="str">
        <f>IF(O653&lt;=0.15,"Very Cold",IF(O653&lt;=0.3,"Cold",IF(O653&lt;=0.45,"Pleasant","Hot")))</f>
        <v>Cold</v>
      </c>
      <c r="Q653">
        <v>0.75</v>
      </c>
      <c r="R653" t="str">
        <f>IF(Q653&lt;=0.25,"Low ",IF(Q653&lt;=0.5,"Moderate ",IF(Q653&lt;=0.75,"High ","Very High ")))</f>
        <v xml:space="preserve">High </v>
      </c>
      <c r="S653">
        <v>0</v>
      </c>
      <c r="T653" t="str">
        <f>IF(S653&lt;=0.15,"Calm",IF(S653&lt;=0.3,"Light Wind",IF(S653&lt;=0.45,"Moderate Wind","Strong Wind")))</f>
        <v>Calm</v>
      </c>
      <c r="U653">
        <v>9</v>
      </c>
      <c r="V653">
        <v>50</v>
      </c>
      <c r="W653">
        <v>59</v>
      </c>
      <c r="X653" t="str">
        <f>IF(W653&lt;=75,"Low Demand",IF(W653&lt;=150,"Medium Demand",IF(W653&lt;=225,"High Demand","Very High Demand")))</f>
        <v>Low Demand</v>
      </c>
    </row>
    <row r="654" spans="1:24" x14ac:dyDescent="0.25">
      <c r="A654">
        <v>653</v>
      </c>
      <c r="B654" s="2">
        <v>40573</v>
      </c>
      <c r="C654">
        <v>1</v>
      </c>
      <c r="D654">
        <v>0</v>
      </c>
      <c r="E654">
        <v>1</v>
      </c>
      <c r="F654">
        <v>12</v>
      </c>
      <c r="G654" t="str">
        <f>IF(F654&lt;6,"Night",IF(F654&lt;12,"Morning",IF(F654&lt;18,"Afternoon","Evening")))</f>
        <v>Afternoon</v>
      </c>
      <c r="H654">
        <v>0</v>
      </c>
      <c r="I654">
        <v>0</v>
      </c>
      <c r="J654" t="str">
        <f>CHOOSE(I654+1,"Monday","Tuesday","Wednesday","Thursday","Friday","Saturday","Sunday")</f>
        <v>Monday</v>
      </c>
      <c r="K654">
        <v>1</v>
      </c>
      <c r="L654" t="str">
        <f>CHOOSE(K654+1,"error","Clear","Misty","Rainy","Severe heater")</f>
        <v>Clear</v>
      </c>
      <c r="M654" s="1">
        <v>0.24</v>
      </c>
      <c r="N654" t="str">
        <f>IF(M654&lt;=0.2,"Low",IF(M654&lt;=0.4,"Mid","High"))</f>
        <v>Mid</v>
      </c>
      <c r="O654" s="1">
        <v>0.2424</v>
      </c>
      <c r="P654" t="str">
        <f>IF(O654&lt;=0.15,"Very Cold",IF(O654&lt;=0.3,"Cold",IF(O654&lt;=0.45,"Pleasant","Hot")))</f>
        <v>Cold</v>
      </c>
      <c r="Q654">
        <v>0.52</v>
      </c>
      <c r="R654" t="str">
        <f>IF(Q654&lt;=0.25,"Low ",IF(Q654&lt;=0.5,"Moderate ",IF(Q654&lt;=0.75,"High ","Very High ")))</f>
        <v xml:space="preserve">High </v>
      </c>
      <c r="S654">
        <v>0.1045</v>
      </c>
      <c r="T654" t="str">
        <f>IF(S654&lt;=0.15,"Calm",IF(S654&lt;=0.3,"Light Wind",IF(S654&lt;=0.45,"Moderate Wind","Strong Wind")))</f>
        <v>Calm</v>
      </c>
      <c r="U654">
        <v>10</v>
      </c>
      <c r="V654">
        <v>87</v>
      </c>
      <c r="W654">
        <v>97</v>
      </c>
      <c r="X654" t="str">
        <f>IF(W654&lt;=75,"Low Demand",IF(W654&lt;=150,"Medium Demand",IF(W654&lt;=225,"High Demand","Very High Demand")))</f>
        <v>Medium Demand</v>
      </c>
    </row>
    <row r="655" spans="1:24" x14ac:dyDescent="0.25">
      <c r="A655">
        <v>654</v>
      </c>
      <c r="B655" s="2">
        <v>40573</v>
      </c>
      <c r="C655">
        <v>1</v>
      </c>
      <c r="D655">
        <v>0</v>
      </c>
      <c r="E655">
        <v>1</v>
      </c>
      <c r="F655">
        <v>13</v>
      </c>
      <c r="G655" t="str">
        <f>IF(F655&lt;6,"Night",IF(F655&lt;12,"Morning",IF(F655&lt;18,"Afternoon","Evening")))</f>
        <v>Afternoon</v>
      </c>
      <c r="H655">
        <v>0</v>
      </c>
      <c r="I655">
        <v>0</v>
      </c>
      <c r="J655" t="str">
        <f>CHOOSE(I655+1,"Monday","Tuesday","Wednesday","Thursday","Friday","Saturday","Sunday")</f>
        <v>Monday</v>
      </c>
      <c r="K655">
        <v>1</v>
      </c>
      <c r="L655" t="str">
        <f>CHOOSE(K655+1,"error","Clear","Misty","Rainy","Severe heater")</f>
        <v>Clear</v>
      </c>
      <c r="M655" s="1">
        <v>0.24</v>
      </c>
      <c r="N655" t="str">
        <f>IF(M655&lt;=0.2,"Low",IF(M655&lt;=0.4,"Mid","High"))</f>
        <v>Mid</v>
      </c>
      <c r="O655" s="1">
        <v>0.2273</v>
      </c>
      <c r="P655" t="str">
        <f>IF(O655&lt;=0.15,"Very Cold",IF(O655&lt;=0.3,"Cold",IF(O655&lt;=0.45,"Pleasant","Hot")))</f>
        <v>Cold</v>
      </c>
      <c r="Q655">
        <v>0.61</v>
      </c>
      <c r="R655" t="str">
        <f>IF(Q655&lt;=0.25,"Low ",IF(Q655&lt;=0.5,"Moderate ",IF(Q655&lt;=0.75,"High ","Very High ")))</f>
        <v xml:space="preserve">High </v>
      </c>
      <c r="S655">
        <v>0.1045</v>
      </c>
      <c r="T655" t="str">
        <f>IF(S655&lt;=0.15,"Calm",IF(S655&lt;=0.3,"Light Wind",IF(S655&lt;=0.45,"Moderate Wind","Strong Wind")))</f>
        <v>Calm</v>
      </c>
      <c r="U655">
        <v>13</v>
      </c>
      <c r="V655">
        <v>71</v>
      </c>
      <c r="W655">
        <v>84</v>
      </c>
      <c r="X655" t="str">
        <f>IF(W655&lt;=75,"Low Demand",IF(W655&lt;=150,"Medium Demand",IF(W655&lt;=225,"High Demand","Very High Demand")))</f>
        <v>Medium Demand</v>
      </c>
    </row>
    <row r="656" spans="1:24" x14ac:dyDescent="0.25">
      <c r="A656">
        <v>655</v>
      </c>
      <c r="B656" s="2">
        <v>40573</v>
      </c>
      <c r="C656">
        <v>1</v>
      </c>
      <c r="D656">
        <v>0</v>
      </c>
      <c r="E656">
        <v>1</v>
      </c>
      <c r="F656">
        <v>14</v>
      </c>
      <c r="G656" t="str">
        <f>IF(F656&lt;6,"Night",IF(F656&lt;12,"Morning",IF(F656&lt;18,"Afternoon","Evening")))</f>
        <v>Afternoon</v>
      </c>
      <c r="H656">
        <v>0</v>
      </c>
      <c r="I656">
        <v>0</v>
      </c>
      <c r="J656" t="str">
        <f>CHOOSE(I656+1,"Monday","Tuesday","Wednesday","Thursday","Friday","Saturday","Sunday")</f>
        <v>Monday</v>
      </c>
      <c r="K656">
        <v>1</v>
      </c>
      <c r="L656" t="str">
        <f>CHOOSE(K656+1,"error","Clear","Misty","Rainy","Severe heater")</f>
        <v>Clear</v>
      </c>
      <c r="M656" s="1">
        <v>0.24</v>
      </c>
      <c r="N656" t="str">
        <f>IF(M656&lt;=0.2,"Low",IF(M656&lt;=0.4,"Mid","High"))</f>
        <v>Mid</v>
      </c>
      <c r="O656" s="1">
        <v>0.21210000000000001</v>
      </c>
      <c r="P656" t="str">
        <f>IF(O656&lt;=0.15,"Very Cold",IF(O656&lt;=0.3,"Cold",IF(O656&lt;=0.45,"Pleasant","Hot")))</f>
        <v>Cold</v>
      </c>
      <c r="Q656">
        <v>0.61</v>
      </c>
      <c r="R656" t="str">
        <f>IF(Q656&lt;=0.25,"Low ",IF(Q656&lt;=0.5,"Moderate ",IF(Q656&lt;=0.75,"High ","Very High ")))</f>
        <v xml:space="preserve">High </v>
      </c>
      <c r="S656">
        <v>8.9599999999999999E-2</v>
      </c>
      <c r="T656" t="str">
        <f>IF(S656&lt;=0.15,"Calm",IF(S656&lt;=0.3,"Light Wind",IF(S656&lt;=0.45,"Moderate Wind","Strong Wind")))</f>
        <v>Calm</v>
      </c>
      <c r="U656">
        <v>18</v>
      </c>
      <c r="V656">
        <v>104</v>
      </c>
      <c r="W656">
        <v>122</v>
      </c>
      <c r="X656" t="str">
        <f>IF(W656&lt;=75,"Low Demand",IF(W656&lt;=150,"Medium Demand",IF(W656&lt;=225,"High Demand","Very High Demand")))</f>
        <v>Medium Demand</v>
      </c>
    </row>
    <row r="657" spans="1:24" x14ac:dyDescent="0.25">
      <c r="A657">
        <v>656</v>
      </c>
      <c r="B657" s="2">
        <v>40573</v>
      </c>
      <c r="C657">
        <v>1</v>
      </c>
      <c r="D657">
        <v>0</v>
      </c>
      <c r="E657">
        <v>1</v>
      </c>
      <c r="F657">
        <v>15</v>
      </c>
      <c r="G657" t="str">
        <f>IF(F657&lt;6,"Night",IF(F657&lt;12,"Morning",IF(F657&lt;18,"Afternoon","Evening")))</f>
        <v>Afternoon</v>
      </c>
      <c r="H657">
        <v>0</v>
      </c>
      <c r="I657">
        <v>0</v>
      </c>
      <c r="J657" t="str">
        <f>CHOOSE(I657+1,"Monday","Tuesday","Wednesday","Thursday","Friday","Saturday","Sunday")</f>
        <v>Monday</v>
      </c>
      <c r="K657">
        <v>1</v>
      </c>
      <c r="L657" t="str">
        <f>CHOOSE(K657+1,"error","Clear","Misty","Rainy","Severe heater")</f>
        <v>Clear</v>
      </c>
      <c r="M657" s="1">
        <v>0.24</v>
      </c>
      <c r="N657" t="str">
        <f>IF(M657&lt;=0.2,"Low",IF(M657&lt;=0.4,"Mid","High"))</f>
        <v>Mid</v>
      </c>
      <c r="O657" s="1">
        <v>0.2273</v>
      </c>
      <c r="P657" t="str">
        <f>IF(O657&lt;=0.15,"Very Cold",IF(O657&lt;=0.3,"Cold",IF(O657&lt;=0.45,"Pleasant","Hot")))</f>
        <v>Cold</v>
      </c>
      <c r="Q657">
        <v>0.56000000000000005</v>
      </c>
      <c r="R657" t="str">
        <f>IF(Q657&lt;=0.25,"Low ",IF(Q657&lt;=0.5,"Moderate ",IF(Q657&lt;=0.75,"High ","Very High ")))</f>
        <v xml:space="preserve">High </v>
      </c>
      <c r="S657">
        <v>0</v>
      </c>
      <c r="T657" t="str">
        <f>IF(S657&lt;=0.15,"Calm",IF(S657&lt;=0.3,"Light Wind",IF(S657&lt;=0.45,"Moderate Wind","Strong Wind")))</f>
        <v>Calm</v>
      </c>
      <c r="U657">
        <v>14</v>
      </c>
      <c r="V657">
        <v>95</v>
      </c>
      <c r="W657">
        <v>109</v>
      </c>
      <c r="X657" t="str">
        <f>IF(W657&lt;=75,"Low Demand",IF(W657&lt;=150,"Medium Demand",IF(W657&lt;=225,"High Demand","Very High Demand")))</f>
        <v>Medium Demand</v>
      </c>
    </row>
    <row r="658" spans="1:24" x14ac:dyDescent="0.25">
      <c r="A658">
        <v>657</v>
      </c>
      <c r="B658" s="2">
        <v>40573</v>
      </c>
      <c r="C658">
        <v>1</v>
      </c>
      <c r="D658">
        <v>0</v>
      </c>
      <c r="E658">
        <v>1</v>
      </c>
      <c r="F658">
        <v>16</v>
      </c>
      <c r="G658" t="str">
        <f>IF(F658&lt;6,"Night",IF(F658&lt;12,"Morning",IF(F658&lt;18,"Afternoon","Evening")))</f>
        <v>Afternoon</v>
      </c>
      <c r="H658">
        <v>0</v>
      </c>
      <c r="I658">
        <v>0</v>
      </c>
      <c r="J658" t="str">
        <f>CHOOSE(I658+1,"Monday","Tuesday","Wednesday","Thursday","Friday","Saturday","Sunday")</f>
        <v>Monday</v>
      </c>
      <c r="K658">
        <v>1</v>
      </c>
      <c r="L658" t="str">
        <f>CHOOSE(K658+1,"error","Clear","Misty","Rainy","Severe heater")</f>
        <v>Clear</v>
      </c>
      <c r="M658" s="1">
        <v>0.22</v>
      </c>
      <c r="N658" t="str">
        <f>IF(M658&lt;=0.2,"Low",IF(M658&lt;=0.4,"Mid","High"))</f>
        <v>Mid</v>
      </c>
      <c r="O658" s="1">
        <v>0.21210000000000001</v>
      </c>
      <c r="P658" t="str">
        <f>IF(O658&lt;=0.15,"Very Cold",IF(O658&lt;=0.3,"Cold",IF(O658&lt;=0.45,"Pleasant","Hot")))</f>
        <v>Cold</v>
      </c>
      <c r="Q658">
        <v>0.56000000000000005</v>
      </c>
      <c r="R658" t="str">
        <f>IF(Q658&lt;=0.25,"Low ",IF(Q658&lt;=0.5,"Moderate ",IF(Q658&lt;=0.75,"High ","Very High ")))</f>
        <v xml:space="preserve">High </v>
      </c>
      <c r="S658">
        <v>0</v>
      </c>
      <c r="T658" t="str">
        <f>IF(S658&lt;=0.15,"Calm",IF(S658&lt;=0.3,"Light Wind",IF(S658&lt;=0.45,"Moderate Wind","Strong Wind")))</f>
        <v>Calm</v>
      </c>
      <c r="U658">
        <v>19</v>
      </c>
      <c r="V658">
        <v>104</v>
      </c>
      <c r="W658">
        <v>123</v>
      </c>
      <c r="X658" t="str">
        <f>IF(W658&lt;=75,"Low Demand",IF(W658&lt;=150,"Medium Demand",IF(W658&lt;=225,"High Demand","Very High Demand")))</f>
        <v>Medium Demand</v>
      </c>
    </row>
    <row r="659" spans="1:24" x14ac:dyDescent="0.25">
      <c r="A659">
        <v>658</v>
      </c>
      <c r="B659" s="2">
        <v>40573</v>
      </c>
      <c r="C659">
        <v>1</v>
      </c>
      <c r="D659">
        <v>0</v>
      </c>
      <c r="E659">
        <v>1</v>
      </c>
      <c r="F659">
        <v>17</v>
      </c>
      <c r="G659" t="str">
        <f>IF(F659&lt;6,"Night",IF(F659&lt;12,"Morning",IF(F659&lt;18,"Afternoon","Evening")))</f>
        <v>Afternoon</v>
      </c>
      <c r="H659">
        <v>0</v>
      </c>
      <c r="I659">
        <v>0</v>
      </c>
      <c r="J659" t="str">
        <f>CHOOSE(I659+1,"Monday","Tuesday","Wednesday","Thursday","Friday","Saturday","Sunday")</f>
        <v>Monday</v>
      </c>
      <c r="K659">
        <v>1</v>
      </c>
      <c r="L659" t="str">
        <f>CHOOSE(K659+1,"error","Clear","Misty","Rainy","Severe heater")</f>
        <v>Clear</v>
      </c>
      <c r="M659" s="1">
        <v>0.22</v>
      </c>
      <c r="N659" t="str">
        <f>IF(M659&lt;=0.2,"Low",IF(M659&lt;=0.4,"Mid","High"))</f>
        <v>Mid</v>
      </c>
      <c r="O659" s="1">
        <v>0.2273</v>
      </c>
      <c r="P659" t="str">
        <f>IF(O659&lt;=0.15,"Very Cold",IF(O659&lt;=0.3,"Cold",IF(O659&lt;=0.45,"Pleasant","Hot")))</f>
        <v>Cold</v>
      </c>
      <c r="Q659">
        <v>0.56000000000000005</v>
      </c>
      <c r="R659" t="str">
        <f>IF(Q659&lt;=0.25,"Low ",IF(Q659&lt;=0.5,"Moderate ",IF(Q659&lt;=0.75,"High ","Very High ")))</f>
        <v xml:space="preserve">High </v>
      </c>
      <c r="S659">
        <v>0.19400000000000001</v>
      </c>
      <c r="T659" t="str">
        <f>IF(S659&lt;=0.15,"Calm",IF(S659&lt;=0.3,"Light Wind",IF(S659&lt;=0.45,"Moderate Wind","Strong Wind")))</f>
        <v>Light Wind</v>
      </c>
      <c r="U659">
        <v>6</v>
      </c>
      <c r="V659">
        <v>71</v>
      </c>
      <c r="W659">
        <v>77</v>
      </c>
      <c r="X659" t="str">
        <f>IF(W659&lt;=75,"Low Demand",IF(W659&lt;=150,"Medium Demand",IF(W659&lt;=225,"High Demand","Very High Demand")))</f>
        <v>Medium Demand</v>
      </c>
    </row>
    <row r="660" spans="1:24" x14ac:dyDescent="0.25">
      <c r="A660">
        <v>659</v>
      </c>
      <c r="B660" s="2">
        <v>40573</v>
      </c>
      <c r="C660">
        <v>1</v>
      </c>
      <c r="D660">
        <v>0</v>
      </c>
      <c r="E660">
        <v>1</v>
      </c>
      <c r="F660">
        <v>18</v>
      </c>
      <c r="G660" t="str">
        <f>IF(F660&lt;6,"Night",IF(F660&lt;12,"Morning",IF(F660&lt;18,"Afternoon","Evening")))</f>
        <v>Evening</v>
      </c>
      <c r="H660">
        <v>0</v>
      </c>
      <c r="I660">
        <v>0</v>
      </c>
      <c r="J660" t="str">
        <f>CHOOSE(I660+1,"Monday","Tuesday","Wednesday","Thursday","Friday","Saturday","Sunday")</f>
        <v>Monday</v>
      </c>
      <c r="K660">
        <v>1</v>
      </c>
      <c r="L660" t="str">
        <f>CHOOSE(K660+1,"error","Clear","Misty","Rainy","Severe heater")</f>
        <v>Clear</v>
      </c>
      <c r="M660" s="1">
        <v>0.22</v>
      </c>
      <c r="N660" t="str">
        <f>IF(M660&lt;=0.2,"Low",IF(M660&lt;=0.4,"Mid","High"))</f>
        <v>Mid</v>
      </c>
      <c r="O660" s="1">
        <v>0.2273</v>
      </c>
      <c r="P660" t="str">
        <f>IF(O660&lt;=0.15,"Very Cold",IF(O660&lt;=0.3,"Cold",IF(O660&lt;=0.45,"Pleasant","Hot")))</f>
        <v>Cold</v>
      </c>
      <c r="Q660">
        <v>0.65</v>
      </c>
      <c r="R660" t="str">
        <f>IF(Q660&lt;=0.25,"Low ",IF(Q660&lt;=0.5,"Moderate ",IF(Q660&lt;=0.75,"High ","Very High ")))</f>
        <v xml:space="preserve">High </v>
      </c>
      <c r="S660">
        <v>0.16420000000000001</v>
      </c>
      <c r="T660" t="str">
        <f>IF(S660&lt;=0.15,"Calm",IF(S660&lt;=0.3,"Light Wind",IF(S660&lt;=0.45,"Moderate Wind","Strong Wind")))</f>
        <v>Light Wind</v>
      </c>
      <c r="U660">
        <v>8</v>
      </c>
      <c r="V660">
        <v>57</v>
      </c>
      <c r="W660">
        <v>65</v>
      </c>
      <c r="X660" t="str">
        <f>IF(W660&lt;=75,"Low Demand",IF(W660&lt;=150,"Medium Demand",IF(W660&lt;=225,"High Demand","Very High Demand")))</f>
        <v>Low Demand</v>
      </c>
    </row>
    <row r="661" spans="1:24" x14ac:dyDescent="0.25">
      <c r="A661">
        <v>660</v>
      </c>
      <c r="B661" s="2">
        <v>40573</v>
      </c>
      <c r="C661">
        <v>1</v>
      </c>
      <c r="D661">
        <v>0</v>
      </c>
      <c r="E661">
        <v>1</v>
      </c>
      <c r="F661">
        <v>19</v>
      </c>
      <c r="G661" t="str">
        <f>IF(F661&lt;6,"Night",IF(F661&lt;12,"Morning",IF(F661&lt;18,"Afternoon","Evening")))</f>
        <v>Evening</v>
      </c>
      <c r="H661">
        <v>0</v>
      </c>
      <c r="I661">
        <v>0</v>
      </c>
      <c r="J661" t="str">
        <f>CHOOSE(I661+1,"Monday","Tuesday","Wednesday","Thursday","Friday","Saturday","Sunday")</f>
        <v>Monday</v>
      </c>
      <c r="K661">
        <v>1</v>
      </c>
      <c r="L661" t="str">
        <f>CHOOSE(K661+1,"error","Clear","Misty","Rainy","Severe heater")</f>
        <v>Clear</v>
      </c>
      <c r="M661" s="1">
        <v>0.2</v>
      </c>
      <c r="N661" t="str">
        <f>IF(M661&lt;=0.2,"Low",IF(M661&lt;=0.4,"Mid","High"))</f>
        <v>Low</v>
      </c>
      <c r="O661" s="1">
        <v>0.19700000000000001</v>
      </c>
      <c r="P661" t="str">
        <f>IF(O661&lt;=0.15,"Very Cold",IF(O661&lt;=0.3,"Cold",IF(O661&lt;=0.45,"Pleasant","Hot")))</f>
        <v>Cold</v>
      </c>
      <c r="Q661">
        <v>0.65</v>
      </c>
      <c r="R661" t="str">
        <f>IF(Q661&lt;=0.25,"Low ",IF(Q661&lt;=0.5,"Moderate ",IF(Q661&lt;=0.75,"High ","Very High ")))</f>
        <v xml:space="preserve">High </v>
      </c>
      <c r="S661">
        <v>0.19400000000000001</v>
      </c>
      <c r="T661" t="str">
        <f>IF(S661&lt;=0.15,"Calm",IF(S661&lt;=0.3,"Light Wind",IF(S661&lt;=0.45,"Moderate Wind","Strong Wind")))</f>
        <v>Light Wind</v>
      </c>
      <c r="U661">
        <v>9</v>
      </c>
      <c r="V661">
        <v>46</v>
      </c>
      <c r="W661">
        <v>55</v>
      </c>
      <c r="X661" t="str">
        <f>IF(W661&lt;=75,"Low Demand",IF(W661&lt;=150,"Medium Demand",IF(W661&lt;=225,"High Demand","Very High Demand")))</f>
        <v>Low Demand</v>
      </c>
    </row>
    <row r="662" spans="1:24" x14ac:dyDescent="0.25">
      <c r="A662">
        <v>661</v>
      </c>
      <c r="B662" s="2">
        <v>40573</v>
      </c>
      <c r="C662">
        <v>1</v>
      </c>
      <c r="D662">
        <v>0</v>
      </c>
      <c r="E662">
        <v>1</v>
      </c>
      <c r="F662">
        <v>20</v>
      </c>
      <c r="G662" t="str">
        <f>IF(F662&lt;6,"Night",IF(F662&lt;12,"Morning",IF(F662&lt;18,"Afternoon","Evening")))</f>
        <v>Evening</v>
      </c>
      <c r="H662">
        <v>0</v>
      </c>
      <c r="I662">
        <v>0</v>
      </c>
      <c r="J662" t="str">
        <f>CHOOSE(I662+1,"Monday","Tuesday","Wednesday","Thursday","Friday","Saturday","Sunday")</f>
        <v>Monday</v>
      </c>
      <c r="K662">
        <v>2</v>
      </c>
      <c r="L662" t="str">
        <f>CHOOSE(K662+1,"error","Clear","Misty","Rainy","Severe heater")</f>
        <v>Misty</v>
      </c>
      <c r="M662" s="1">
        <v>0.18</v>
      </c>
      <c r="N662" t="str">
        <f>IF(M662&lt;=0.2,"Low",IF(M662&lt;=0.4,"Mid","High"))</f>
        <v>Low</v>
      </c>
      <c r="O662" s="1">
        <v>0.16669999999999999</v>
      </c>
      <c r="P662" t="str">
        <f>IF(O662&lt;=0.15,"Very Cold",IF(O662&lt;=0.3,"Cold",IF(O662&lt;=0.45,"Pleasant","Hot")))</f>
        <v>Cold</v>
      </c>
      <c r="Q662">
        <v>0.65</v>
      </c>
      <c r="R662" t="str">
        <f>IF(Q662&lt;=0.25,"Low ",IF(Q662&lt;=0.5,"Moderate ",IF(Q662&lt;=0.75,"High ","Very High ")))</f>
        <v xml:space="preserve">High </v>
      </c>
      <c r="S662">
        <v>0.1045</v>
      </c>
      <c r="T662" t="str">
        <f>IF(S662&lt;=0.15,"Calm",IF(S662&lt;=0.3,"Light Wind",IF(S662&lt;=0.45,"Moderate Wind","Strong Wind")))</f>
        <v>Calm</v>
      </c>
      <c r="U662">
        <v>3</v>
      </c>
      <c r="V662">
        <v>30</v>
      </c>
      <c r="W662">
        <v>33</v>
      </c>
      <c r="X662" t="str">
        <f>IF(W662&lt;=75,"Low Demand",IF(W662&lt;=150,"Medium Demand",IF(W662&lt;=225,"High Demand","Very High Demand")))</f>
        <v>Low Demand</v>
      </c>
    </row>
    <row r="663" spans="1:24" x14ac:dyDescent="0.25">
      <c r="A663">
        <v>662</v>
      </c>
      <c r="B663" s="2">
        <v>40573</v>
      </c>
      <c r="C663">
        <v>1</v>
      </c>
      <c r="D663">
        <v>0</v>
      </c>
      <c r="E663">
        <v>1</v>
      </c>
      <c r="F663">
        <v>21</v>
      </c>
      <c r="G663" t="str">
        <f>IF(F663&lt;6,"Night",IF(F663&lt;12,"Morning",IF(F663&lt;18,"Afternoon","Evening")))</f>
        <v>Evening</v>
      </c>
      <c r="H663">
        <v>0</v>
      </c>
      <c r="I663">
        <v>0</v>
      </c>
      <c r="J663" t="str">
        <f>CHOOSE(I663+1,"Monday","Tuesday","Wednesday","Thursday","Friday","Saturday","Sunday")</f>
        <v>Monday</v>
      </c>
      <c r="K663">
        <v>2</v>
      </c>
      <c r="L663" t="str">
        <f>CHOOSE(K663+1,"error","Clear","Misty","Rainy","Severe heater")</f>
        <v>Misty</v>
      </c>
      <c r="M663" s="1">
        <v>0.16</v>
      </c>
      <c r="N663" t="str">
        <f>IF(M663&lt;=0.2,"Low",IF(M663&lt;=0.4,"Mid","High"))</f>
        <v>Low</v>
      </c>
      <c r="O663" s="1">
        <v>0.13639999999999999</v>
      </c>
      <c r="P663" t="str">
        <f>IF(O663&lt;=0.15,"Very Cold",IF(O663&lt;=0.3,"Cold",IF(O663&lt;=0.45,"Pleasant","Hot")))</f>
        <v>Very Cold</v>
      </c>
      <c r="Q663">
        <v>0.7</v>
      </c>
      <c r="R663" t="str">
        <f>IF(Q663&lt;=0.25,"Low ",IF(Q663&lt;=0.5,"Moderate ",IF(Q663&lt;=0.75,"High ","Very High ")))</f>
        <v xml:space="preserve">High </v>
      </c>
      <c r="S663">
        <v>0.16420000000000001</v>
      </c>
      <c r="T663" t="str">
        <f>IF(S663&lt;=0.15,"Calm",IF(S663&lt;=0.3,"Light Wind",IF(S663&lt;=0.45,"Moderate Wind","Strong Wind")))</f>
        <v>Light Wind</v>
      </c>
      <c r="U663">
        <v>3</v>
      </c>
      <c r="V663">
        <v>25</v>
      </c>
      <c r="W663">
        <v>28</v>
      </c>
      <c r="X663" t="str">
        <f>IF(W663&lt;=75,"Low Demand",IF(W663&lt;=150,"Medium Demand",IF(W663&lt;=225,"High Demand","Very High Demand")))</f>
        <v>Low Demand</v>
      </c>
    </row>
    <row r="664" spans="1:24" x14ac:dyDescent="0.25">
      <c r="A664">
        <v>663</v>
      </c>
      <c r="B664" s="2">
        <v>40573</v>
      </c>
      <c r="C664">
        <v>1</v>
      </c>
      <c r="D664">
        <v>0</v>
      </c>
      <c r="E664">
        <v>1</v>
      </c>
      <c r="F664">
        <v>22</v>
      </c>
      <c r="G664" t="str">
        <f>IF(F664&lt;6,"Night",IF(F664&lt;12,"Morning",IF(F664&lt;18,"Afternoon","Evening")))</f>
        <v>Evening</v>
      </c>
      <c r="H664">
        <v>0</v>
      </c>
      <c r="I664">
        <v>0</v>
      </c>
      <c r="J664" t="str">
        <f>CHOOSE(I664+1,"Monday","Tuesday","Wednesday","Thursday","Friday","Saturday","Sunday")</f>
        <v>Monday</v>
      </c>
      <c r="K664">
        <v>2</v>
      </c>
      <c r="L664" t="str">
        <f>CHOOSE(K664+1,"error","Clear","Misty","Rainy","Severe heater")</f>
        <v>Misty</v>
      </c>
      <c r="M664" s="1">
        <v>0.16</v>
      </c>
      <c r="N664" t="str">
        <f>IF(M664&lt;=0.2,"Low",IF(M664&lt;=0.4,"Mid","High"))</f>
        <v>Low</v>
      </c>
      <c r="O664" s="1">
        <v>0.13639999999999999</v>
      </c>
      <c r="P664" t="str">
        <f>IF(O664&lt;=0.15,"Very Cold",IF(O664&lt;=0.3,"Cold",IF(O664&lt;=0.45,"Pleasant","Hot")))</f>
        <v>Very Cold</v>
      </c>
      <c r="Q664">
        <v>0.7</v>
      </c>
      <c r="R664" t="str">
        <f>IF(Q664&lt;=0.25,"Low ",IF(Q664&lt;=0.5,"Moderate ",IF(Q664&lt;=0.75,"High ","Very High ")))</f>
        <v xml:space="preserve">High </v>
      </c>
      <c r="S664">
        <v>0.19400000000000001</v>
      </c>
      <c r="T664" t="str">
        <f>IF(S664&lt;=0.15,"Calm",IF(S664&lt;=0.3,"Light Wind",IF(S664&lt;=0.45,"Moderate Wind","Strong Wind")))</f>
        <v>Light Wind</v>
      </c>
      <c r="U664">
        <v>2</v>
      </c>
      <c r="V664">
        <v>19</v>
      </c>
      <c r="W664">
        <v>21</v>
      </c>
      <c r="X664" t="str">
        <f>IF(W664&lt;=75,"Low Demand",IF(W664&lt;=150,"Medium Demand",IF(W664&lt;=225,"High Demand","Very High Demand")))</f>
        <v>Low Demand</v>
      </c>
    </row>
    <row r="665" spans="1:24" x14ac:dyDescent="0.25">
      <c r="A665">
        <v>664</v>
      </c>
      <c r="B665" s="2">
        <v>40573</v>
      </c>
      <c r="C665">
        <v>1</v>
      </c>
      <c r="D665">
        <v>0</v>
      </c>
      <c r="E665">
        <v>1</v>
      </c>
      <c r="F665">
        <v>23</v>
      </c>
      <c r="G665" t="str">
        <f>IF(F665&lt;6,"Night",IF(F665&lt;12,"Morning",IF(F665&lt;18,"Afternoon","Evening")))</f>
        <v>Evening</v>
      </c>
      <c r="H665">
        <v>0</v>
      </c>
      <c r="I665">
        <v>0</v>
      </c>
      <c r="J665" t="str">
        <f>CHOOSE(I665+1,"Monday","Tuesday","Wednesday","Thursday","Friday","Saturday","Sunday")</f>
        <v>Monday</v>
      </c>
      <c r="K665">
        <v>2</v>
      </c>
      <c r="L665" t="str">
        <f>CHOOSE(K665+1,"error","Clear","Misty","Rainy","Severe heater")</f>
        <v>Misty</v>
      </c>
      <c r="M665" s="1">
        <v>0.16</v>
      </c>
      <c r="N665" t="str">
        <f>IF(M665&lt;=0.2,"Low",IF(M665&lt;=0.4,"Mid","High"))</f>
        <v>Low</v>
      </c>
      <c r="O665" s="1">
        <v>0.13639999999999999</v>
      </c>
      <c r="P665" t="str">
        <f>IF(O665&lt;=0.15,"Very Cold",IF(O665&lt;=0.3,"Cold",IF(O665&lt;=0.45,"Pleasant","Hot")))</f>
        <v>Very Cold</v>
      </c>
      <c r="Q665">
        <v>0.65</v>
      </c>
      <c r="R665" t="str">
        <f>IF(Q665&lt;=0.25,"Low ",IF(Q665&lt;=0.5,"Moderate ",IF(Q665&lt;=0.75,"High ","Very High ")))</f>
        <v xml:space="preserve">High </v>
      </c>
      <c r="S665">
        <v>0.28360000000000002</v>
      </c>
      <c r="T665" t="str">
        <f>IF(S665&lt;=0.15,"Calm",IF(S665&lt;=0.3,"Light Wind",IF(S665&lt;=0.45,"Moderate Wind","Strong Wind")))</f>
        <v>Light Wind</v>
      </c>
      <c r="U665">
        <v>5</v>
      </c>
      <c r="V665">
        <v>16</v>
      </c>
      <c r="W665">
        <v>21</v>
      </c>
      <c r="X665" t="str">
        <f>IF(W665&lt;=75,"Low Demand",IF(W665&lt;=150,"Medium Demand",IF(W665&lt;=225,"High Demand","Very High Demand")))</f>
        <v>Low Demand</v>
      </c>
    </row>
    <row r="666" spans="1:24" x14ac:dyDescent="0.25">
      <c r="A666">
        <v>665</v>
      </c>
      <c r="B666" s="2">
        <v>40574</v>
      </c>
      <c r="C666">
        <v>1</v>
      </c>
      <c r="D666">
        <v>0</v>
      </c>
      <c r="E666">
        <v>1</v>
      </c>
      <c r="F666">
        <v>0</v>
      </c>
      <c r="G666" t="str">
        <f>IF(F666&lt;6,"Night",IF(F666&lt;12,"Morning",IF(F666&lt;18,"Afternoon","Evening")))</f>
        <v>Night</v>
      </c>
      <c r="H666">
        <v>0</v>
      </c>
      <c r="I666">
        <v>1</v>
      </c>
      <c r="J666" t="str">
        <f>CHOOSE(I666+1,"Monday","Tuesday","Wednesday","Thursday","Friday","Saturday","Sunday")</f>
        <v>Tuesday</v>
      </c>
      <c r="K666">
        <v>2</v>
      </c>
      <c r="L666" t="str">
        <f>CHOOSE(K666+1,"error","Clear","Misty","Rainy","Severe heater")</f>
        <v>Misty</v>
      </c>
      <c r="M666" s="1">
        <v>0.16</v>
      </c>
      <c r="N666" t="str">
        <f>IF(M666&lt;=0.2,"Low",IF(M666&lt;=0.4,"Mid","High"))</f>
        <v>Low</v>
      </c>
      <c r="O666" s="1">
        <v>0.13639999999999999</v>
      </c>
      <c r="P666" t="str">
        <f>IF(O666&lt;=0.15,"Very Cold",IF(O666&lt;=0.3,"Cold",IF(O666&lt;=0.45,"Pleasant","Hot")))</f>
        <v>Very Cold</v>
      </c>
      <c r="Q666">
        <v>0.65</v>
      </c>
      <c r="R666" t="str">
        <f>IF(Q666&lt;=0.25,"Low ",IF(Q666&lt;=0.5,"Moderate ",IF(Q666&lt;=0.75,"High ","Very High ")))</f>
        <v xml:space="preserve">High </v>
      </c>
      <c r="S666">
        <v>0.22389999999999999</v>
      </c>
      <c r="T666" t="str">
        <f>IF(S666&lt;=0.15,"Calm",IF(S666&lt;=0.3,"Light Wind",IF(S666&lt;=0.45,"Moderate Wind","Strong Wind")))</f>
        <v>Light Wind</v>
      </c>
      <c r="U666">
        <v>1</v>
      </c>
      <c r="V666">
        <v>6</v>
      </c>
      <c r="W666">
        <v>7</v>
      </c>
      <c r="X666" t="str">
        <f>IF(W666&lt;=75,"Low Demand",IF(W666&lt;=150,"Medium Demand",IF(W666&lt;=225,"High Demand","Very High Demand")))</f>
        <v>Low Demand</v>
      </c>
    </row>
    <row r="667" spans="1:24" x14ac:dyDescent="0.25">
      <c r="A667">
        <v>666</v>
      </c>
      <c r="B667" s="2">
        <v>40574</v>
      </c>
      <c r="C667">
        <v>1</v>
      </c>
      <c r="D667">
        <v>0</v>
      </c>
      <c r="E667">
        <v>1</v>
      </c>
      <c r="F667">
        <v>1</v>
      </c>
      <c r="G667" t="str">
        <f>IF(F667&lt;6,"Night",IF(F667&lt;12,"Morning",IF(F667&lt;18,"Afternoon","Evening")))</f>
        <v>Night</v>
      </c>
      <c r="H667">
        <v>0</v>
      </c>
      <c r="I667">
        <v>1</v>
      </c>
      <c r="J667" t="str">
        <f>CHOOSE(I667+1,"Monday","Tuesday","Wednesday","Thursday","Friday","Saturday","Sunday")</f>
        <v>Tuesday</v>
      </c>
      <c r="K667">
        <v>1</v>
      </c>
      <c r="L667" t="str">
        <f>CHOOSE(K667+1,"error","Clear","Misty","Rainy","Severe heater")</f>
        <v>Clear</v>
      </c>
      <c r="M667" s="1">
        <v>0.16</v>
      </c>
      <c r="N667" t="str">
        <f>IF(M667&lt;=0.2,"Low",IF(M667&lt;=0.4,"Mid","High"))</f>
        <v>Low</v>
      </c>
      <c r="O667" s="1">
        <v>0.1515</v>
      </c>
      <c r="P667" t="str">
        <f>IF(O667&lt;=0.15,"Very Cold",IF(O667&lt;=0.3,"Cold",IF(O667&lt;=0.45,"Pleasant","Hot")))</f>
        <v>Cold</v>
      </c>
      <c r="Q667">
        <v>0.64</v>
      </c>
      <c r="R667" t="str">
        <f>IF(Q667&lt;=0.25,"Low ",IF(Q667&lt;=0.5,"Moderate ",IF(Q667&lt;=0.75,"High ","Very High ")))</f>
        <v xml:space="preserve">High </v>
      </c>
      <c r="S667">
        <v>0.25369999999999998</v>
      </c>
      <c r="T667" t="str">
        <f>IF(S667&lt;=0.15,"Calm",IF(S667&lt;=0.3,"Light Wind",IF(S667&lt;=0.45,"Moderate Wind","Strong Wind")))</f>
        <v>Light Wind</v>
      </c>
      <c r="U667">
        <v>2</v>
      </c>
      <c r="V667">
        <v>5</v>
      </c>
      <c r="W667">
        <v>7</v>
      </c>
      <c r="X667" t="str">
        <f>IF(W667&lt;=75,"Low Demand",IF(W667&lt;=150,"Medium Demand",IF(W667&lt;=225,"High Demand","Very High Demand")))</f>
        <v>Low Demand</v>
      </c>
    </row>
    <row r="668" spans="1:24" x14ac:dyDescent="0.25">
      <c r="A668">
        <v>667</v>
      </c>
      <c r="B668" s="2">
        <v>40574</v>
      </c>
      <c r="C668">
        <v>1</v>
      </c>
      <c r="D668">
        <v>0</v>
      </c>
      <c r="E668">
        <v>1</v>
      </c>
      <c r="F668">
        <v>2</v>
      </c>
      <c r="G668" t="str">
        <f>IF(F668&lt;6,"Night",IF(F668&lt;12,"Morning",IF(F668&lt;18,"Afternoon","Evening")))</f>
        <v>Night</v>
      </c>
      <c r="H668">
        <v>0</v>
      </c>
      <c r="I668">
        <v>1</v>
      </c>
      <c r="J668" t="str">
        <f>CHOOSE(I668+1,"Monday","Tuesday","Wednesday","Thursday","Friday","Saturday","Sunday")</f>
        <v>Tuesday</v>
      </c>
      <c r="K668">
        <v>1</v>
      </c>
      <c r="L668" t="str">
        <f>CHOOSE(K668+1,"error","Clear","Misty","Rainy","Severe heater")</f>
        <v>Clear</v>
      </c>
      <c r="M668" s="1">
        <v>0.16</v>
      </c>
      <c r="N668" t="str">
        <f>IF(M668&lt;=0.2,"Low",IF(M668&lt;=0.4,"Mid","High"))</f>
        <v>Low</v>
      </c>
      <c r="O668" s="1">
        <v>0.1515</v>
      </c>
      <c r="P668" t="str">
        <f>IF(O668&lt;=0.15,"Very Cold",IF(O668&lt;=0.3,"Cold",IF(O668&lt;=0.45,"Pleasant","Hot")))</f>
        <v>Cold</v>
      </c>
      <c r="Q668">
        <v>0.64</v>
      </c>
      <c r="R668" t="str">
        <f>IF(Q668&lt;=0.25,"Low ",IF(Q668&lt;=0.5,"Moderate ",IF(Q668&lt;=0.75,"High ","Very High ")))</f>
        <v xml:space="preserve">High </v>
      </c>
      <c r="S668">
        <v>0.19400000000000001</v>
      </c>
      <c r="T668" t="str">
        <f>IF(S668&lt;=0.15,"Calm",IF(S668&lt;=0.3,"Light Wind",IF(S668&lt;=0.45,"Moderate Wind","Strong Wind")))</f>
        <v>Light Wind</v>
      </c>
      <c r="U668">
        <v>0</v>
      </c>
      <c r="V668">
        <v>1</v>
      </c>
      <c r="W668">
        <v>1</v>
      </c>
      <c r="X668" t="str">
        <f>IF(W668&lt;=75,"Low Demand",IF(W668&lt;=150,"Medium Demand",IF(W668&lt;=225,"High Demand","Very High Demand")))</f>
        <v>Low Demand</v>
      </c>
    </row>
    <row r="669" spans="1:24" x14ac:dyDescent="0.25">
      <c r="A669">
        <v>668</v>
      </c>
      <c r="B669" s="2">
        <v>40574</v>
      </c>
      <c r="C669">
        <v>1</v>
      </c>
      <c r="D669">
        <v>0</v>
      </c>
      <c r="E669">
        <v>1</v>
      </c>
      <c r="F669">
        <v>3</v>
      </c>
      <c r="G669" t="str">
        <f>IF(F669&lt;6,"Night",IF(F669&lt;12,"Morning",IF(F669&lt;18,"Afternoon","Evening")))</f>
        <v>Night</v>
      </c>
      <c r="H669">
        <v>0</v>
      </c>
      <c r="I669">
        <v>1</v>
      </c>
      <c r="J669" t="str">
        <f>CHOOSE(I669+1,"Monday","Tuesday","Wednesday","Thursday","Friday","Saturday","Sunday")</f>
        <v>Tuesday</v>
      </c>
      <c r="K669">
        <v>1</v>
      </c>
      <c r="L669" t="str">
        <f>CHOOSE(K669+1,"error","Clear","Misty","Rainy","Severe heater")</f>
        <v>Clear</v>
      </c>
      <c r="M669" s="1">
        <v>0.18</v>
      </c>
      <c r="N669" t="str">
        <f>IF(M669&lt;=0.2,"Low",IF(M669&lt;=0.4,"Mid","High"))</f>
        <v>Low</v>
      </c>
      <c r="O669" s="1">
        <v>0.21210000000000001</v>
      </c>
      <c r="P669" t="str">
        <f>IF(O669&lt;=0.15,"Very Cold",IF(O669&lt;=0.3,"Cold",IF(O669&lt;=0.45,"Pleasant","Hot")))</f>
        <v>Cold</v>
      </c>
      <c r="Q669">
        <v>0.64</v>
      </c>
      <c r="R669" t="str">
        <f>IF(Q669&lt;=0.25,"Low ",IF(Q669&lt;=0.5,"Moderate ",IF(Q669&lt;=0.75,"High ","Very High ")))</f>
        <v xml:space="preserve">High </v>
      </c>
      <c r="S669">
        <v>0.19400000000000001</v>
      </c>
      <c r="T669" t="str">
        <f>IF(S669&lt;=0.15,"Calm",IF(S669&lt;=0.3,"Light Wind",IF(S669&lt;=0.45,"Moderate Wind","Strong Wind")))</f>
        <v>Light Wind</v>
      </c>
      <c r="U669">
        <v>0</v>
      </c>
      <c r="V669">
        <v>2</v>
      </c>
      <c r="W669">
        <v>2</v>
      </c>
      <c r="X669" t="str">
        <f>IF(W669&lt;=75,"Low Demand",IF(W669&lt;=150,"Medium Demand",IF(W669&lt;=225,"High Demand","Very High Demand")))</f>
        <v>Low Demand</v>
      </c>
    </row>
    <row r="670" spans="1:24" x14ac:dyDescent="0.25">
      <c r="A670">
        <v>669</v>
      </c>
      <c r="B670" s="2">
        <v>40574</v>
      </c>
      <c r="C670">
        <v>1</v>
      </c>
      <c r="D670">
        <v>0</v>
      </c>
      <c r="E670">
        <v>1</v>
      </c>
      <c r="F670">
        <v>4</v>
      </c>
      <c r="G670" t="str">
        <f>IF(F670&lt;6,"Night",IF(F670&lt;12,"Morning",IF(F670&lt;18,"Afternoon","Evening")))</f>
        <v>Night</v>
      </c>
      <c r="H670">
        <v>0</v>
      </c>
      <c r="I670">
        <v>1</v>
      </c>
      <c r="J670" t="str">
        <f>CHOOSE(I670+1,"Monday","Tuesday","Wednesday","Thursday","Friday","Saturday","Sunday")</f>
        <v>Tuesday</v>
      </c>
      <c r="K670">
        <v>1</v>
      </c>
      <c r="L670" t="str">
        <f>CHOOSE(K670+1,"error","Clear","Misty","Rainy","Severe heater")</f>
        <v>Clear</v>
      </c>
      <c r="M670" s="1">
        <v>0.16</v>
      </c>
      <c r="N670" t="str">
        <f>IF(M670&lt;=0.2,"Low",IF(M670&lt;=0.4,"Mid","High"))</f>
        <v>Low</v>
      </c>
      <c r="O670" s="1">
        <v>0.2273</v>
      </c>
      <c r="P670" t="str">
        <f>IF(O670&lt;=0.15,"Very Cold",IF(O670&lt;=0.3,"Cold",IF(O670&lt;=0.45,"Pleasant","Hot")))</f>
        <v>Cold</v>
      </c>
      <c r="Q670">
        <v>0.59</v>
      </c>
      <c r="R670" t="str">
        <f>IF(Q670&lt;=0.25,"Low ",IF(Q670&lt;=0.5,"Moderate ",IF(Q670&lt;=0.75,"High ","Very High ")))</f>
        <v xml:space="preserve">High </v>
      </c>
      <c r="S670">
        <v>0.22389999999999999</v>
      </c>
      <c r="T670" t="str">
        <f>IF(S670&lt;=0.15,"Calm",IF(S670&lt;=0.3,"Light Wind",IF(S670&lt;=0.45,"Moderate Wind","Strong Wind")))</f>
        <v>Light Wind</v>
      </c>
      <c r="U670">
        <v>0</v>
      </c>
      <c r="V670">
        <v>2</v>
      </c>
      <c r="W670">
        <v>2</v>
      </c>
      <c r="X670" t="str">
        <f>IF(W670&lt;=75,"Low Demand",IF(W670&lt;=150,"Medium Demand",IF(W670&lt;=225,"High Demand","Very High Demand")))</f>
        <v>Low Demand</v>
      </c>
    </row>
    <row r="671" spans="1:24" x14ac:dyDescent="0.25">
      <c r="A671">
        <v>670</v>
      </c>
      <c r="B671" s="2">
        <v>40574</v>
      </c>
      <c r="C671">
        <v>1</v>
      </c>
      <c r="D671">
        <v>0</v>
      </c>
      <c r="E671">
        <v>1</v>
      </c>
      <c r="F671">
        <v>5</v>
      </c>
      <c r="G671" t="str">
        <f>IF(F671&lt;6,"Night",IF(F671&lt;12,"Morning",IF(F671&lt;18,"Afternoon","Evening")))</f>
        <v>Night</v>
      </c>
      <c r="H671">
        <v>0</v>
      </c>
      <c r="I671">
        <v>1</v>
      </c>
      <c r="J671" t="str">
        <f>CHOOSE(I671+1,"Monday","Tuesday","Wednesday","Thursday","Friday","Saturday","Sunday")</f>
        <v>Tuesday</v>
      </c>
      <c r="K671">
        <v>1</v>
      </c>
      <c r="L671" t="str">
        <f>CHOOSE(K671+1,"error","Clear","Misty","Rainy","Severe heater")</f>
        <v>Clear</v>
      </c>
      <c r="M671" s="1">
        <v>0.18</v>
      </c>
      <c r="N671" t="str">
        <f>IF(M671&lt;=0.2,"Low",IF(M671&lt;=0.4,"Mid","High"))</f>
        <v>Low</v>
      </c>
      <c r="O671" s="1">
        <v>0.19700000000000001</v>
      </c>
      <c r="P671" t="str">
        <f>IF(O671&lt;=0.15,"Very Cold",IF(O671&lt;=0.3,"Cold",IF(O671&lt;=0.45,"Pleasant","Hot")))</f>
        <v>Cold</v>
      </c>
      <c r="Q671">
        <v>0.64</v>
      </c>
      <c r="R671" t="str">
        <f>IF(Q671&lt;=0.25,"Low ",IF(Q671&lt;=0.5,"Moderate ",IF(Q671&lt;=0.75,"High ","Very High ")))</f>
        <v xml:space="preserve">High </v>
      </c>
      <c r="S671">
        <v>0.28360000000000002</v>
      </c>
      <c r="T671" t="str">
        <f>IF(S671&lt;=0.15,"Calm",IF(S671&lt;=0.3,"Light Wind",IF(S671&lt;=0.45,"Moderate Wind","Strong Wind")))</f>
        <v>Light Wind</v>
      </c>
      <c r="U671">
        <v>0</v>
      </c>
      <c r="V671">
        <v>8</v>
      </c>
      <c r="W671">
        <v>8</v>
      </c>
      <c r="X671" t="str">
        <f>IF(W671&lt;=75,"Low Demand",IF(W671&lt;=150,"Medium Demand",IF(W671&lt;=225,"High Demand","Very High Demand")))</f>
        <v>Low Demand</v>
      </c>
    </row>
    <row r="672" spans="1:24" x14ac:dyDescent="0.25">
      <c r="A672">
        <v>671</v>
      </c>
      <c r="B672" s="2">
        <v>40574</v>
      </c>
      <c r="C672">
        <v>1</v>
      </c>
      <c r="D672">
        <v>0</v>
      </c>
      <c r="E672">
        <v>1</v>
      </c>
      <c r="F672">
        <v>6</v>
      </c>
      <c r="G672" t="str">
        <f>IF(F672&lt;6,"Night",IF(F672&lt;12,"Morning",IF(F672&lt;18,"Afternoon","Evening")))</f>
        <v>Morning</v>
      </c>
      <c r="H672">
        <v>0</v>
      </c>
      <c r="I672">
        <v>1</v>
      </c>
      <c r="J672" t="str">
        <f>CHOOSE(I672+1,"Monday","Tuesday","Wednesday","Thursday","Friday","Saturday","Sunday")</f>
        <v>Tuesday</v>
      </c>
      <c r="K672">
        <v>1</v>
      </c>
      <c r="L672" t="str">
        <f>CHOOSE(K672+1,"error","Clear","Misty","Rainy","Severe heater")</f>
        <v>Clear</v>
      </c>
      <c r="M672" s="1">
        <v>0.16</v>
      </c>
      <c r="N672" t="str">
        <f>IF(M672&lt;=0.2,"Low",IF(M672&lt;=0.4,"Mid","High"))</f>
        <v>Low</v>
      </c>
      <c r="O672" s="1">
        <v>0.18179999999999999</v>
      </c>
      <c r="P672" t="str">
        <f>IF(O672&lt;=0.15,"Very Cold",IF(O672&lt;=0.3,"Cold",IF(O672&lt;=0.45,"Pleasant","Hot")))</f>
        <v>Cold</v>
      </c>
      <c r="Q672">
        <v>0.69</v>
      </c>
      <c r="R672" t="str">
        <f>IF(Q672&lt;=0.25,"Low ",IF(Q672&lt;=0.5,"Moderate ",IF(Q672&lt;=0.75,"High ","Very High ")))</f>
        <v xml:space="preserve">High </v>
      </c>
      <c r="S672">
        <v>0.32840000000000003</v>
      </c>
      <c r="T672" t="str">
        <f>IF(S672&lt;=0.15,"Calm",IF(S672&lt;=0.3,"Light Wind",IF(S672&lt;=0.45,"Moderate Wind","Strong Wind")))</f>
        <v>Moderate Wind</v>
      </c>
      <c r="U672">
        <v>0</v>
      </c>
      <c r="V672">
        <v>37</v>
      </c>
      <c r="W672">
        <v>37</v>
      </c>
      <c r="X672" t="str">
        <f>IF(W672&lt;=75,"Low Demand",IF(W672&lt;=150,"Medium Demand",IF(W672&lt;=225,"High Demand","Very High Demand")))</f>
        <v>Low Demand</v>
      </c>
    </row>
    <row r="673" spans="1:24" x14ac:dyDescent="0.25">
      <c r="A673">
        <v>672</v>
      </c>
      <c r="B673" s="2">
        <v>40574</v>
      </c>
      <c r="C673">
        <v>1</v>
      </c>
      <c r="D673">
        <v>0</v>
      </c>
      <c r="E673">
        <v>1</v>
      </c>
      <c r="F673">
        <v>7</v>
      </c>
      <c r="G673" t="str">
        <f>IF(F673&lt;6,"Night",IF(F673&lt;12,"Morning",IF(F673&lt;18,"Afternoon","Evening")))</f>
        <v>Morning</v>
      </c>
      <c r="H673">
        <v>0</v>
      </c>
      <c r="I673">
        <v>1</v>
      </c>
      <c r="J673" t="str">
        <f>CHOOSE(I673+1,"Monday","Tuesday","Wednesday","Thursday","Friday","Saturday","Sunday")</f>
        <v>Tuesday</v>
      </c>
      <c r="K673">
        <v>2</v>
      </c>
      <c r="L673" t="str">
        <f>CHOOSE(K673+1,"error","Clear","Misty","Rainy","Severe heater")</f>
        <v>Misty</v>
      </c>
      <c r="M673" s="1">
        <v>0.16</v>
      </c>
      <c r="N673" t="str">
        <f>IF(M673&lt;=0.2,"Low",IF(M673&lt;=0.4,"Mid","High"))</f>
        <v>Low</v>
      </c>
      <c r="O673" s="1">
        <v>0.18179999999999999</v>
      </c>
      <c r="P673" t="str">
        <f>IF(O673&lt;=0.15,"Very Cold",IF(O673&lt;=0.3,"Cold",IF(O673&lt;=0.45,"Pleasant","Hot")))</f>
        <v>Cold</v>
      </c>
      <c r="Q673">
        <v>0.64</v>
      </c>
      <c r="R673" t="str">
        <f>IF(Q673&lt;=0.25,"Low ",IF(Q673&lt;=0.5,"Moderate ",IF(Q673&lt;=0.75,"High ","Very High ")))</f>
        <v xml:space="preserve">High </v>
      </c>
      <c r="S673">
        <v>0.28360000000000002</v>
      </c>
      <c r="T673" t="str">
        <f>IF(S673&lt;=0.15,"Calm",IF(S673&lt;=0.3,"Light Wind",IF(S673&lt;=0.45,"Moderate Wind","Strong Wind")))</f>
        <v>Light Wind</v>
      </c>
      <c r="U673">
        <v>1</v>
      </c>
      <c r="V673">
        <v>71</v>
      </c>
      <c r="W673">
        <v>72</v>
      </c>
      <c r="X673" t="str">
        <f>IF(W673&lt;=75,"Low Demand",IF(W673&lt;=150,"Medium Demand",IF(W673&lt;=225,"High Demand","Very High Demand")))</f>
        <v>Low Demand</v>
      </c>
    </row>
    <row r="674" spans="1:24" x14ac:dyDescent="0.25">
      <c r="A674">
        <v>673</v>
      </c>
      <c r="B674" s="2">
        <v>40574</v>
      </c>
      <c r="C674">
        <v>1</v>
      </c>
      <c r="D674">
        <v>0</v>
      </c>
      <c r="E674">
        <v>1</v>
      </c>
      <c r="F674">
        <v>8</v>
      </c>
      <c r="G674" t="str">
        <f>IF(F674&lt;6,"Night",IF(F674&lt;12,"Morning",IF(F674&lt;18,"Afternoon","Evening")))</f>
        <v>Morning</v>
      </c>
      <c r="H674">
        <v>0</v>
      </c>
      <c r="I674">
        <v>1</v>
      </c>
      <c r="J674" t="str">
        <f>CHOOSE(I674+1,"Monday","Tuesday","Wednesday","Thursday","Friday","Saturday","Sunday")</f>
        <v>Tuesday</v>
      </c>
      <c r="K674">
        <v>2</v>
      </c>
      <c r="L674" t="str">
        <f>CHOOSE(K674+1,"error","Clear","Misty","Rainy","Severe heater")</f>
        <v>Misty</v>
      </c>
      <c r="M674" s="1">
        <v>0.16</v>
      </c>
      <c r="N674" t="str">
        <f>IF(M674&lt;=0.2,"Low",IF(M674&lt;=0.4,"Mid","High"))</f>
        <v>Low</v>
      </c>
      <c r="O674" s="1">
        <v>0.1515</v>
      </c>
      <c r="P674" t="str">
        <f>IF(O674&lt;=0.15,"Very Cold",IF(O674&lt;=0.3,"Cold",IF(O674&lt;=0.45,"Pleasant","Hot")))</f>
        <v>Cold</v>
      </c>
      <c r="Q674">
        <v>0.59</v>
      </c>
      <c r="R674" t="str">
        <f>IF(Q674&lt;=0.25,"Low ",IF(Q674&lt;=0.5,"Moderate ",IF(Q674&lt;=0.75,"High ","Very High ")))</f>
        <v xml:space="preserve">High </v>
      </c>
      <c r="S674">
        <v>0.28360000000000002</v>
      </c>
      <c r="T674" t="str">
        <f>IF(S674&lt;=0.15,"Calm",IF(S674&lt;=0.3,"Light Wind",IF(S674&lt;=0.45,"Moderate Wind","Strong Wind")))</f>
        <v>Light Wind</v>
      </c>
      <c r="U674">
        <v>3</v>
      </c>
      <c r="V674">
        <v>182</v>
      </c>
      <c r="W674">
        <v>185</v>
      </c>
      <c r="X674" t="str">
        <f>IF(W674&lt;=75,"Low Demand",IF(W674&lt;=150,"Medium Demand",IF(W674&lt;=225,"High Demand","Very High Demand")))</f>
        <v>High Demand</v>
      </c>
    </row>
    <row r="675" spans="1:24" x14ac:dyDescent="0.25">
      <c r="A675">
        <v>674</v>
      </c>
      <c r="B675" s="2">
        <v>40574</v>
      </c>
      <c r="C675">
        <v>1</v>
      </c>
      <c r="D675">
        <v>0</v>
      </c>
      <c r="E675">
        <v>1</v>
      </c>
      <c r="F675">
        <v>9</v>
      </c>
      <c r="G675" t="str">
        <f>IF(F675&lt;6,"Night",IF(F675&lt;12,"Morning",IF(F675&lt;18,"Afternoon","Evening")))</f>
        <v>Morning</v>
      </c>
      <c r="H675">
        <v>0</v>
      </c>
      <c r="I675">
        <v>1</v>
      </c>
      <c r="J675" t="str">
        <f>CHOOSE(I675+1,"Monday","Tuesday","Wednesday","Thursday","Friday","Saturday","Sunday")</f>
        <v>Tuesday</v>
      </c>
      <c r="K675">
        <v>2</v>
      </c>
      <c r="L675" t="str">
        <f>CHOOSE(K675+1,"error","Clear","Misty","Rainy","Severe heater")</f>
        <v>Misty</v>
      </c>
      <c r="M675" s="1">
        <v>0.16</v>
      </c>
      <c r="N675" t="str">
        <f>IF(M675&lt;=0.2,"Low",IF(M675&lt;=0.4,"Mid","High"))</f>
        <v>Low</v>
      </c>
      <c r="O675" s="1">
        <v>0.1515</v>
      </c>
      <c r="P675" t="str">
        <f>IF(O675&lt;=0.15,"Very Cold",IF(O675&lt;=0.3,"Cold",IF(O675&lt;=0.45,"Pleasant","Hot")))</f>
        <v>Cold</v>
      </c>
      <c r="Q675">
        <v>0.59</v>
      </c>
      <c r="R675" t="str">
        <f>IF(Q675&lt;=0.25,"Low ",IF(Q675&lt;=0.5,"Moderate ",IF(Q675&lt;=0.75,"High ","Very High ")))</f>
        <v xml:space="preserve">High </v>
      </c>
      <c r="S675">
        <v>0.29849999999999999</v>
      </c>
      <c r="T675" t="str">
        <f>IF(S675&lt;=0.15,"Calm",IF(S675&lt;=0.3,"Light Wind",IF(S675&lt;=0.45,"Moderate Wind","Strong Wind")))</f>
        <v>Light Wind</v>
      </c>
      <c r="U675">
        <v>0</v>
      </c>
      <c r="V675">
        <v>112</v>
      </c>
      <c r="W675">
        <v>112</v>
      </c>
      <c r="X675" t="str">
        <f>IF(W675&lt;=75,"Low Demand",IF(W675&lt;=150,"Medium Demand",IF(W675&lt;=225,"High Demand","Very High Demand")))</f>
        <v>Medium Demand</v>
      </c>
    </row>
    <row r="676" spans="1:24" x14ac:dyDescent="0.25">
      <c r="A676">
        <v>675</v>
      </c>
      <c r="B676" s="2">
        <v>40574</v>
      </c>
      <c r="C676">
        <v>1</v>
      </c>
      <c r="D676">
        <v>0</v>
      </c>
      <c r="E676">
        <v>1</v>
      </c>
      <c r="F676">
        <v>10</v>
      </c>
      <c r="G676" t="str">
        <f>IF(F676&lt;6,"Night",IF(F676&lt;12,"Morning",IF(F676&lt;18,"Afternoon","Evening")))</f>
        <v>Morning</v>
      </c>
      <c r="H676">
        <v>0</v>
      </c>
      <c r="I676">
        <v>1</v>
      </c>
      <c r="J676" t="str">
        <f>CHOOSE(I676+1,"Monday","Tuesday","Wednesday","Thursday","Friday","Saturday","Sunday")</f>
        <v>Tuesday</v>
      </c>
      <c r="K676">
        <v>2</v>
      </c>
      <c r="L676" t="str">
        <f>CHOOSE(K676+1,"error","Clear","Misty","Rainy","Severe heater")</f>
        <v>Misty</v>
      </c>
      <c r="M676" s="1">
        <v>0.3</v>
      </c>
      <c r="N676" t="str">
        <f>IF(M676&lt;=0.2,"Low",IF(M676&lt;=0.4,"Mid","High"))</f>
        <v>Mid</v>
      </c>
      <c r="O676" s="1">
        <v>0.31819999999999998</v>
      </c>
      <c r="P676" t="str">
        <f>IF(O676&lt;=0.15,"Very Cold",IF(O676&lt;=0.3,"Cold",IF(O676&lt;=0.45,"Pleasant","Hot")))</f>
        <v>Pleasant</v>
      </c>
      <c r="Q676">
        <v>0.59</v>
      </c>
      <c r="R676" t="str">
        <f>IF(Q676&lt;=0.25,"Low ",IF(Q676&lt;=0.5,"Moderate ",IF(Q676&lt;=0.75,"High ","Very High ")))</f>
        <v xml:space="preserve">High </v>
      </c>
      <c r="S676">
        <v>0.19400000000000001</v>
      </c>
      <c r="T676" t="str">
        <f>IF(S676&lt;=0.15,"Calm",IF(S676&lt;=0.3,"Light Wind",IF(S676&lt;=0.45,"Moderate Wind","Strong Wind")))</f>
        <v>Light Wind</v>
      </c>
      <c r="U676">
        <v>1</v>
      </c>
      <c r="V676">
        <v>68</v>
      </c>
      <c r="W676">
        <v>69</v>
      </c>
      <c r="X676" t="str">
        <f>IF(W676&lt;=75,"Low Demand",IF(W676&lt;=150,"Medium Demand",IF(W676&lt;=225,"High Demand","Very High Demand")))</f>
        <v>Low Demand</v>
      </c>
    </row>
    <row r="677" spans="1:24" x14ac:dyDescent="0.25">
      <c r="A677">
        <v>676</v>
      </c>
      <c r="B677" s="2">
        <v>40574</v>
      </c>
      <c r="C677">
        <v>1</v>
      </c>
      <c r="D677">
        <v>0</v>
      </c>
      <c r="E677">
        <v>1</v>
      </c>
      <c r="F677">
        <v>11</v>
      </c>
      <c r="G677" t="str">
        <f>IF(F677&lt;6,"Night",IF(F677&lt;12,"Morning",IF(F677&lt;18,"Afternoon","Evening")))</f>
        <v>Morning</v>
      </c>
      <c r="H677">
        <v>0</v>
      </c>
      <c r="I677">
        <v>1</v>
      </c>
      <c r="J677" t="str">
        <f>CHOOSE(I677+1,"Monday","Tuesday","Wednesday","Thursday","Friday","Saturday","Sunday")</f>
        <v>Tuesday</v>
      </c>
      <c r="K677">
        <v>2</v>
      </c>
      <c r="L677" t="str">
        <f>CHOOSE(K677+1,"error","Clear","Misty","Rainy","Severe heater")</f>
        <v>Misty</v>
      </c>
      <c r="M677" s="1">
        <v>0.16</v>
      </c>
      <c r="N677" t="str">
        <f>IF(M677&lt;=0.2,"Low",IF(M677&lt;=0.4,"Mid","High"))</f>
        <v>Low</v>
      </c>
      <c r="O677" s="1">
        <v>0.16669999999999999</v>
      </c>
      <c r="P677" t="str">
        <f>IF(O677&lt;=0.15,"Very Cold",IF(O677&lt;=0.3,"Cold",IF(O677&lt;=0.45,"Pleasant","Hot")))</f>
        <v>Cold</v>
      </c>
      <c r="Q677">
        <v>0.59</v>
      </c>
      <c r="R677" t="str">
        <f>IF(Q677&lt;=0.25,"Low ",IF(Q677&lt;=0.5,"Moderate ",IF(Q677&lt;=0.75,"High ","Very High ")))</f>
        <v xml:space="preserve">High </v>
      </c>
      <c r="S677">
        <v>0.19400000000000001</v>
      </c>
      <c r="T677" t="str">
        <f>IF(S677&lt;=0.15,"Calm",IF(S677&lt;=0.3,"Light Wind",IF(S677&lt;=0.45,"Moderate Wind","Strong Wind")))</f>
        <v>Light Wind</v>
      </c>
      <c r="U677">
        <v>2</v>
      </c>
      <c r="V677">
        <v>46</v>
      </c>
      <c r="W677">
        <v>48</v>
      </c>
      <c r="X677" t="str">
        <f>IF(W677&lt;=75,"Low Demand",IF(W677&lt;=150,"Medium Demand",IF(W677&lt;=225,"High Demand","Very High Demand")))</f>
        <v>Low Demand</v>
      </c>
    </row>
    <row r="678" spans="1:24" x14ac:dyDescent="0.25">
      <c r="A678">
        <v>677</v>
      </c>
      <c r="B678" s="2">
        <v>40574</v>
      </c>
      <c r="C678">
        <v>1</v>
      </c>
      <c r="D678">
        <v>0</v>
      </c>
      <c r="E678">
        <v>1</v>
      </c>
      <c r="F678">
        <v>12</v>
      </c>
      <c r="G678" t="str">
        <f>IF(F678&lt;6,"Night",IF(F678&lt;12,"Morning",IF(F678&lt;18,"Afternoon","Evening")))</f>
        <v>Afternoon</v>
      </c>
      <c r="H678">
        <v>0</v>
      </c>
      <c r="I678">
        <v>1</v>
      </c>
      <c r="J678" t="str">
        <f>CHOOSE(I678+1,"Monday","Tuesday","Wednesday","Thursday","Friday","Saturday","Sunday")</f>
        <v>Tuesday</v>
      </c>
      <c r="K678">
        <v>2</v>
      </c>
      <c r="L678" t="str">
        <f>CHOOSE(K678+1,"error","Clear","Misty","Rainy","Severe heater")</f>
        <v>Misty</v>
      </c>
      <c r="M678" s="1">
        <v>0.16</v>
      </c>
      <c r="N678" t="str">
        <f>IF(M678&lt;=0.2,"Low",IF(M678&lt;=0.4,"Mid","High"))</f>
        <v>Low</v>
      </c>
      <c r="O678" s="1">
        <v>0.19700000000000001</v>
      </c>
      <c r="P678" t="str">
        <f>IF(O678&lt;=0.15,"Very Cold",IF(O678&lt;=0.3,"Cold",IF(O678&lt;=0.45,"Pleasant","Hot")))</f>
        <v>Cold</v>
      </c>
      <c r="Q678">
        <v>0.55000000000000004</v>
      </c>
      <c r="R678" t="str">
        <f>IF(Q678&lt;=0.25,"Low ",IF(Q678&lt;=0.5,"Moderate ",IF(Q678&lt;=0.75,"High ","Very High ")))</f>
        <v xml:space="preserve">High </v>
      </c>
      <c r="S678">
        <v>0.1045</v>
      </c>
      <c r="T678" t="str">
        <f>IF(S678&lt;=0.15,"Calm",IF(S678&lt;=0.3,"Light Wind",IF(S678&lt;=0.45,"Moderate Wind","Strong Wind")))</f>
        <v>Calm</v>
      </c>
      <c r="U678">
        <v>6</v>
      </c>
      <c r="V678">
        <v>62</v>
      </c>
      <c r="W678">
        <v>68</v>
      </c>
      <c r="X678" t="str">
        <f>IF(W678&lt;=75,"Low Demand",IF(W678&lt;=150,"Medium Demand",IF(W678&lt;=225,"High Demand","Very High Demand")))</f>
        <v>Low Demand</v>
      </c>
    </row>
    <row r="679" spans="1:24" x14ac:dyDescent="0.25">
      <c r="A679">
        <v>678</v>
      </c>
      <c r="B679" s="2">
        <v>40574</v>
      </c>
      <c r="C679">
        <v>1</v>
      </c>
      <c r="D679">
        <v>0</v>
      </c>
      <c r="E679">
        <v>1</v>
      </c>
      <c r="F679">
        <v>13</v>
      </c>
      <c r="G679" t="str">
        <f>IF(F679&lt;6,"Night",IF(F679&lt;12,"Morning",IF(F679&lt;18,"Afternoon","Evening")))</f>
        <v>Afternoon</v>
      </c>
      <c r="H679">
        <v>0</v>
      </c>
      <c r="I679">
        <v>1</v>
      </c>
      <c r="J679" t="str">
        <f>CHOOSE(I679+1,"Monday","Tuesday","Wednesday","Thursday","Friday","Saturday","Sunday")</f>
        <v>Tuesday</v>
      </c>
      <c r="K679">
        <v>2</v>
      </c>
      <c r="L679" t="str">
        <f>CHOOSE(K679+1,"error","Clear","Misty","Rainy","Severe heater")</f>
        <v>Misty</v>
      </c>
      <c r="M679" s="1">
        <v>0.16</v>
      </c>
      <c r="N679" t="str">
        <f>IF(M679&lt;=0.2,"Low",IF(M679&lt;=0.4,"Mid","High"))</f>
        <v>Low</v>
      </c>
      <c r="O679" s="1">
        <v>0.18179999999999999</v>
      </c>
      <c r="P679" t="str">
        <f>IF(O679&lt;=0.15,"Very Cold",IF(O679&lt;=0.3,"Cold",IF(O679&lt;=0.45,"Pleasant","Hot")))</f>
        <v>Cold</v>
      </c>
      <c r="Q679">
        <v>0.59</v>
      </c>
      <c r="R679" t="str">
        <f>IF(Q679&lt;=0.25,"Low ",IF(Q679&lt;=0.5,"Moderate ",IF(Q679&lt;=0.75,"High ","Very High ")))</f>
        <v xml:space="preserve">High </v>
      </c>
      <c r="S679">
        <v>0</v>
      </c>
      <c r="T679" t="str">
        <f>IF(S679&lt;=0.15,"Calm",IF(S679&lt;=0.3,"Light Wind",IF(S679&lt;=0.45,"Moderate Wind","Strong Wind")))</f>
        <v>Calm</v>
      </c>
      <c r="U679">
        <v>2</v>
      </c>
      <c r="V679">
        <v>52</v>
      </c>
      <c r="W679">
        <v>54</v>
      </c>
      <c r="X679" t="str">
        <f>IF(W679&lt;=75,"Low Demand",IF(W679&lt;=150,"Medium Demand",IF(W679&lt;=225,"High Demand","Very High Demand")))</f>
        <v>Low Demand</v>
      </c>
    </row>
    <row r="680" spans="1:24" x14ac:dyDescent="0.25">
      <c r="A680">
        <v>679</v>
      </c>
      <c r="B680" s="2">
        <v>40574</v>
      </c>
      <c r="C680">
        <v>1</v>
      </c>
      <c r="D680">
        <v>0</v>
      </c>
      <c r="E680">
        <v>1</v>
      </c>
      <c r="F680">
        <v>14</v>
      </c>
      <c r="G680" t="str">
        <f>IF(F680&lt;6,"Night",IF(F680&lt;12,"Morning",IF(F680&lt;18,"Afternoon","Evening")))</f>
        <v>Afternoon</v>
      </c>
      <c r="H680">
        <v>0</v>
      </c>
      <c r="I680">
        <v>1</v>
      </c>
      <c r="J680" t="str">
        <f>CHOOSE(I680+1,"Monday","Tuesday","Wednesday","Thursday","Friday","Saturday","Sunday")</f>
        <v>Tuesday</v>
      </c>
      <c r="K680">
        <v>2</v>
      </c>
      <c r="L680" t="str">
        <f>CHOOSE(K680+1,"error","Clear","Misty","Rainy","Severe heater")</f>
        <v>Misty</v>
      </c>
      <c r="M680" s="1">
        <v>0.16</v>
      </c>
      <c r="N680" t="str">
        <f>IF(M680&lt;=0.2,"Low",IF(M680&lt;=0.4,"Mid","High"))</f>
        <v>Low</v>
      </c>
      <c r="O680" s="1">
        <v>0.19700000000000001</v>
      </c>
      <c r="P680" t="str">
        <f>IF(O680&lt;=0.15,"Very Cold",IF(O680&lt;=0.3,"Cold",IF(O680&lt;=0.45,"Pleasant","Hot")))</f>
        <v>Cold</v>
      </c>
      <c r="Q680">
        <v>0.55000000000000004</v>
      </c>
      <c r="R680" t="str">
        <f>IF(Q680&lt;=0.25,"Low ",IF(Q680&lt;=0.5,"Moderate ",IF(Q680&lt;=0.75,"High ","Very High ")))</f>
        <v xml:space="preserve">High </v>
      </c>
      <c r="S680">
        <v>0.1343</v>
      </c>
      <c r="T680" t="str">
        <f>IF(S680&lt;=0.15,"Calm",IF(S680&lt;=0.3,"Light Wind",IF(S680&lt;=0.45,"Moderate Wind","Strong Wind")))</f>
        <v>Calm</v>
      </c>
      <c r="U680">
        <v>1</v>
      </c>
      <c r="V680">
        <v>85</v>
      </c>
      <c r="W680">
        <v>86</v>
      </c>
      <c r="X680" t="str">
        <f>IF(W680&lt;=75,"Low Demand",IF(W680&lt;=150,"Medium Demand",IF(W680&lt;=225,"High Demand","Very High Demand")))</f>
        <v>Medium Demand</v>
      </c>
    </row>
    <row r="681" spans="1:24" x14ac:dyDescent="0.25">
      <c r="A681">
        <v>680</v>
      </c>
      <c r="B681" s="2">
        <v>40574</v>
      </c>
      <c r="C681">
        <v>1</v>
      </c>
      <c r="D681">
        <v>0</v>
      </c>
      <c r="E681">
        <v>1</v>
      </c>
      <c r="F681">
        <v>15</v>
      </c>
      <c r="G681" t="str">
        <f>IF(F681&lt;6,"Night",IF(F681&lt;12,"Morning",IF(F681&lt;18,"Afternoon","Evening")))</f>
        <v>Afternoon</v>
      </c>
      <c r="H681">
        <v>0</v>
      </c>
      <c r="I681">
        <v>1</v>
      </c>
      <c r="J681" t="str">
        <f>CHOOSE(I681+1,"Monday","Tuesday","Wednesday","Thursday","Friday","Saturday","Sunday")</f>
        <v>Tuesday</v>
      </c>
      <c r="K681">
        <v>2</v>
      </c>
      <c r="L681" t="str">
        <f>CHOOSE(K681+1,"error","Clear","Misty","Rainy","Severe heater")</f>
        <v>Misty</v>
      </c>
      <c r="M681" s="1">
        <v>0.16</v>
      </c>
      <c r="N681" t="str">
        <f>IF(M681&lt;=0.2,"Low",IF(M681&lt;=0.4,"Mid","High"))</f>
        <v>Low</v>
      </c>
      <c r="O681" s="1">
        <v>0.18179999999999999</v>
      </c>
      <c r="P681" t="str">
        <f>IF(O681&lt;=0.15,"Very Cold",IF(O681&lt;=0.3,"Cold",IF(O681&lt;=0.45,"Pleasant","Hot")))</f>
        <v>Cold</v>
      </c>
      <c r="Q681">
        <v>0.59</v>
      </c>
      <c r="R681" t="str">
        <f>IF(Q681&lt;=0.25,"Low ",IF(Q681&lt;=0.5,"Moderate ",IF(Q681&lt;=0.75,"High ","Very High ")))</f>
        <v xml:space="preserve">High </v>
      </c>
      <c r="S681">
        <v>0.1343</v>
      </c>
      <c r="T681" t="str">
        <f>IF(S681&lt;=0.15,"Calm",IF(S681&lt;=0.3,"Light Wind",IF(S681&lt;=0.45,"Moderate Wind","Strong Wind")))</f>
        <v>Calm</v>
      </c>
      <c r="U681">
        <v>3</v>
      </c>
      <c r="V681">
        <v>41</v>
      </c>
      <c r="W681">
        <v>44</v>
      </c>
      <c r="X681" t="str">
        <f>IF(W681&lt;=75,"Low Demand",IF(W681&lt;=150,"Medium Demand",IF(W681&lt;=225,"High Demand","Very High Demand")))</f>
        <v>Low Demand</v>
      </c>
    </row>
    <row r="682" spans="1:24" x14ac:dyDescent="0.25">
      <c r="A682">
        <v>681</v>
      </c>
      <c r="B682" s="2">
        <v>40574</v>
      </c>
      <c r="C682">
        <v>1</v>
      </c>
      <c r="D682">
        <v>0</v>
      </c>
      <c r="E682">
        <v>1</v>
      </c>
      <c r="F682">
        <v>16</v>
      </c>
      <c r="G682" t="str">
        <f>IF(F682&lt;6,"Night",IF(F682&lt;12,"Morning",IF(F682&lt;18,"Afternoon","Evening")))</f>
        <v>Afternoon</v>
      </c>
      <c r="H682">
        <v>0</v>
      </c>
      <c r="I682">
        <v>1</v>
      </c>
      <c r="J682" t="str">
        <f>CHOOSE(I682+1,"Monday","Tuesday","Wednesday","Thursday","Friday","Saturday","Sunday")</f>
        <v>Tuesday</v>
      </c>
      <c r="K682">
        <v>2</v>
      </c>
      <c r="L682" t="str">
        <f>CHOOSE(K682+1,"error","Clear","Misty","Rainy","Severe heater")</f>
        <v>Misty</v>
      </c>
      <c r="M682" s="1">
        <v>0.16</v>
      </c>
      <c r="N682" t="str">
        <f>IF(M682&lt;=0.2,"Low",IF(M682&lt;=0.4,"Mid","High"))</f>
        <v>Low</v>
      </c>
      <c r="O682" s="1">
        <v>0.18179999999999999</v>
      </c>
      <c r="P682" t="str">
        <f>IF(O682&lt;=0.15,"Very Cold",IF(O682&lt;=0.3,"Cold",IF(O682&lt;=0.45,"Pleasant","Hot")))</f>
        <v>Cold</v>
      </c>
      <c r="Q682">
        <v>0.56000000000000005</v>
      </c>
      <c r="R682" t="str">
        <f>IF(Q682&lt;=0.25,"Low ",IF(Q682&lt;=0.5,"Moderate ",IF(Q682&lt;=0.75,"High ","Very High ")))</f>
        <v xml:space="preserve">High </v>
      </c>
      <c r="S682">
        <v>0.19400000000000001</v>
      </c>
      <c r="T682" t="str">
        <f>IF(S682&lt;=0.15,"Calm",IF(S682&lt;=0.3,"Light Wind",IF(S682&lt;=0.45,"Moderate Wind","Strong Wind")))</f>
        <v>Light Wind</v>
      </c>
      <c r="U682">
        <v>3</v>
      </c>
      <c r="V682">
        <v>83</v>
      </c>
      <c r="W682">
        <v>86</v>
      </c>
      <c r="X682" t="str">
        <f>IF(W682&lt;=75,"Low Demand",IF(W682&lt;=150,"Medium Demand",IF(W682&lt;=225,"High Demand","Very High Demand")))</f>
        <v>Medium Demand</v>
      </c>
    </row>
    <row r="683" spans="1:24" x14ac:dyDescent="0.25">
      <c r="A683">
        <v>682</v>
      </c>
      <c r="B683" s="2">
        <v>40574</v>
      </c>
      <c r="C683">
        <v>1</v>
      </c>
      <c r="D683">
        <v>0</v>
      </c>
      <c r="E683">
        <v>1</v>
      </c>
      <c r="F683">
        <v>17</v>
      </c>
      <c r="G683" t="str">
        <f>IF(F683&lt;6,"Night",IF(F683&lt;12,"Morning",IF(F683&lt;18,"Afternoon","Evening")))</f>
        <v>Afternoon</v>
      </c>
      <c r="H683">
        <v>0</v>
      </c>
      <c r="I683">
        <v>1</v>
      </c>
      <c r="J683" t="str">
        <f>CHOOSE(I683+1,"Monday","Tuesday","Wednesday","Thursday","Friday","Saturday","Sunday")</f>
        <v>Tuesday</v>
      </c>
      <c r="K683">
        <v>2</v>
      </c>
      <c r="L683" t="str">
        <f>CHOOSE(K683+1,"error","Clear","Misty","Rainy","Severe heater")</f>
        <v>Misty</v>
      </c>
      <c r="M683" s="1">
        <v>0.16</v>
      </c>
      <c r="N683" t="str">
        <f>IF(M683&lt;=0.2,"Low",IF(M683&lt;=0.4,"Mid","High"))</f>
        <v>Low</v>
      </c>
      <c r="O683" s="1">
        <v>0.2273</v>
      </c>
      <c r="P683" t="str">
        <f>IF(O683&lt;=0.15,"Very Cold",IF(O683&lt;=0.3,"Cold",IF(O683&lt;=0.45,"Pleasant","Hot")))</f>
        <v>Cold</v>
      </c>
      <c r="Q683">
        <v>0.59</v>
      </c>
      <c r="R683" t="str">
        <f>IF(Q683&lt;=0.25,"Low ",IF(Q683&lt;=0.5,"Moderate ",IF(Q683&lt;=0.75,"High ","Very High ")))</f>
        <v xml:space="preserve">High </v>
      </c>
      <c r="S683">
        <v>0.19400000000000001</v>
      </c>
      <c r="T683" t="str">
        <f>IF(S683&lt;=0.15,"Calm",IF(S683&lt;=0.3,"Light Wind",IF(S683&lt;=0.45,"Moderate Wind","Strong Wind")))</f>
        <v>Light Wind</v>
      </c>
      <c r="U683">
        <v>6</v>
      </c>
      <c r="V683">
        <v>155</v>
      </c>
      <c r="W683">
        <v>161</v>
      </c>
      <c r="X683" t="str">
        <f>IF(W683&lt;=75,"Low Demand",IF(W683&lt;=150,"Medium Demand",IF(W683&lt;=225,"High Demand","Very High Demand")))</f>
        <v>High Demand</v>
      </c>
    </row>
    <row r="684" spans="1:24" x14ac:dyDescent="0.25">
      <c r="A684">
        <v>683</v>
      </c>
      <c r="B684" s="2">
        <v>40574</v>
      </c>
      <c r="C684">
        <v>1</v>
      </c>
      <c r="D684">
        <v>0</v>
      </c>
      <c r="E684">
        <v>1</v>
      </c>
      <c r="F684">
        <v>18</v>
      </c>
      <c r="G684" t="str">
        <f>IF(F684&lt;6,"Night",IF(F684&lt;12,"Morning",IF(F684&lt;18,"Afternoon","Evening")))</f>
        <v>Evening</v>
      </c>
      <c r="H684">
        <v>0</v>
      </c>
      <c r="I684">
        <v>1</v>
      </c>
      <c r="J684" t="str">
        <f>CHOOSE(I684+1,"Monday","Tuesday","Wednesday","Thursday","Friday","Saturday","Sunday")</f>
        <v>Tuesday</v>
      </c>
      <c r="K684">
        <v>2</v>
      </c>
      <c r="L684" t="str">
        <f>CHOOSE(K684+1,"error","Clear","Misty","Rainy","Severe heater")</f>
        <v>Misty</v>
      </c>
      <c r="M684" s="1">
        <v>0.16</v>
      </c>
      <c r="N684" t="str">
        <f>IF(M684&lt;=0.2,"Low",IF(M684&lt;=0.4,"Mid","High"))</f>
        <v>Low</v>
      </c>
      <c r="O684" s="1">
        <v>0.2273</v>
      </c>
      <c r="P684" t="str">
        <f>IF(O684&lt;=0.15,"Very Cold",IF(O684&lt;=0.3,"Cold",IF(O684&lt;=0.45,"Pleasant","Hot")))</f>
        <v>Cold</v>
      </c>
      <c r="Q684">
        <v>0.55000000000000004</v>
      </c>
      <c r="R684" t="str">
        <f>IF(Q684&lt;=0.25,"Low ",IF(Q684&lt;=0.5,"Moderate ",IF(Q684&lt;=0.75,"High ","Very High ")))</f>
        <v xml:space="preserve">High </v>
      </c>
      <c r="S684">
        <v>0.22389999999999999</v>
      </c>
      <c r="T684" t="str">
        <f>IF(S684&lt;=0.15,"Calm",IF(S684&lt;=0.3,"Light Wind",IF(S684&lt;=0.45,"Moderate Wind","Strong Wind")))</f>
        <v>Light Wind</v>
      </c>
      <c r="U684">
        <v>3</v>
      </c>
      <c r="V684">
        <v>153</v>
      </c>
      <c r="W684">
        <v>156</v>
      </c>
      <c r="X684" t="str">
        <f>IF(W684&lt;=75,"Low Demand",IF(W684&lt;=150,"Medium Demand",IF(W684&lt;=225,"High Demand","Very High Demand")))</f>
        <v>High Demand</v>
      </c>
    </row>
    <row r="685" spans="1:24" x14ac:dyDescent="0.25">
      <c r="A685">
        <v>684</v>
      </c>
      <c r="B685" s="2">
        <v>40574</v>
      </c>
      <c r="C685">
        <v>1</v>
      </c>
      <c r="D685">
        <v>0</v>
      </c>
      <c r="E685">
        <v>1</v>
      </c>
      <c r="F685">
        <v>19</v>
      </c>
      <c r="G685" t="str">
        <f>IF(F685&lt;6,"Night",IF(F685&lt;12,"Morning",IF(F685&lt;18,"Afternoon","Evening")))</f>
        <v>Evening</v>
      </c>
      <c r="H685">
        <v>0</v>
      </c>
      <c r="I685">
        <v>1</v>
      </c>
      <c r="J685" t="str">
        <f>CHOOSE(I685+1,"Monday","Tuesday","Wednesday","Thursday","Friday","Saturday","Sunday")</f>
        <v>Tuesday</v>
      </c>
      <c r="K685">
        <v>1</v>
      </c>
      <c r="L685" t="str">
        <f>CHOOSE(K685+1,"error","Clear","Misty","Rainy","Severe heater")</f>
        <v>Clear</v>
      </c>
      <c r="M685" s="1">
        <v>0.14000000000000001</v>
      </c>
      <c r="N685" t="str">
        <f>IF(M685&lt;=0.2,"Low",IF(M685&lt;=0.4,"Mid","High"))</f>
        <v>Low</v>
      </c>
      <c r="O685" s="1">
        <v>0.21210000000000001</v>
      </c>
      <c r="P685" t="str">
        <f>IF(O685&lt;=0.15,"Very Cold",IF(O685&lt;=0.3,"Cold",IF(O685&lt;=0.45,"Pleasant","Hot")))</f>
        <v>Cold</v>
      </c>
      <c r="Q685">
        <v>0.61</v>
      </c>
      <c r="R685" t="str">
        <f>IF(Q685&lt;=0.25,"Low ",IF(Q685&lt;=0.5,"Moderate ",IF(Q685&lt;=0.75,"High ","Very High ")))</f>
        <v xml:space="preserve">High </v>
      </c>
      <c r="S685">
        <v>0.1045</v>
      </c>
      <c r="T685" t="str">
        <f>IF(S685&lt;=0.15,"Calm",IF(S685&lt;=0.3,"Light Wind",IF(S685&lt;=0.45,"Moderate Wind","Strong Wind")))</f>
        <v>Calm</v>
      </c>
      <c r="U685">
        <v>3</v>
      </c>
      <c r="V685">
        <v>108</v>
      </c>
      <c r="W685">
        <v>111</v>
      </c>
      <c r="X685" t="str">
        <f>IF(W685&lt;=75,"Low Demand",IF(W685&lt;=150,"Medium Demand",IF(W685&lt;=225,"High Demand","Very High Demand")))</f>
        <v>Medium Demand</v>
      </c>
    </row>
    <row r="686" spans="1:24" x14ac:dyDescent="0.25">
      <c r="A686">
        <v>685</v>
      </c>
      <c r="B686" s="2">
        <v>40574</v>
      </c>
      <c r="C686">
        <v>1</v>
      </c>
      <c r="D686">
        <v>0</v>
      </c>
      <c r="E686">
        <v>1</v>
      </c>
      <c r="F686">
        <v>20</v>
      </c>
      <c r="G686" t="str">
        <f>IF(F686&lt;6,"Night",IF(F686&lt;12,"Morning",IF(F686&lt;18,"Afternoon","Evening")))</f>
        <v>Evening</v>
      </c>
      <c r="H686">
        <v>0</v>
      </c>
      <c r="I686">
        <v>1</v>
      </c>
      <c r="J686" t="str">
        <f>CHOOSE(I686+1,"Monday","Tuesday","Wednesday","Thursday","Friday","Saturday","Sunday")</f>
        <v>Tuesday</v>
      </c>
      <c r="K686">
        <v>3</v>
      </c>
      <c r="L686" t="str">
        <f>CHOOSE(K686+1,"error","Clear","Misty","Rainy","Severe heater")</f>
        <v>Rainy</v>
      </c>
      <c r="M686" s="1">
        <v>0.14000000000000001</v>
      </c>
      <c r="N686" t="str">
        <f>IF(M686&lt;=0.2,"Low",IF(M686&lt;=0.4,"Mid","High"))</f>
        <v>Low</v>
      </c>
      <c r="O686" s="1">
        <v>0.21210000000000001</v>
      </c>
      <c r="P686" t="str">
        <f>IF(O686&lt;=0.15,"Very Cold",IF(O686&lt;=0.3,"Cold",IF(O686&lt;=0.45,"Pleasant","Hot")))</f>
        <v>Cold</v>
      </c>
      <c r="Q686">
        <v>0.59</v>
      </c>
      <c r="R686" t="str">
        <f>IF(Q686&lt;=0.25,"Low ",IF(Q686&lt;=0.5,"Moderate ",IF(Q686&lt;=0.75,"High ","Very High ")))</f>
        <v xml:space="preserve">High </v>
      </c>
      <c r="S686">
        <v>0.16420000000000001</v>
      </c>
      <c r="T686" t="str">
        <f>IF(S686&lt;=0.15,"Calm",IF(S686&lt;=0.3,"Light Wind",IF(S686&lt;=0.45,"Moderate Wind","Strong Wind")))</f>
        <v>Light Wind</v>
      </c>
      <c r="U686">
        <v>0</v>
      </c>
      <c r="V686">
        <v>78</v>
      </c>
      <c r="W686">
        <v>78</v>
      </c>
      <c r="X686" t="str">
        <f>IF(W686&lt;=75,"Low Demand",IF(W686&lt;=150,"Medium Demand",IF(W686&lt;=225,"High Demand","Very High Demand")))</f>
        <v>Medium Demand</v>
      </c>
    </row>
    <row r="687" spans="1:24" x14ac:dyDescent="0.25">
      <c r="A687">
        <v>686</v>
      </c>
      <c r="B687" s="2">
        <v>40574</v>
      </c>
      <c r="C687">
        <v>1</v>
      </c>
      <c r="D687">
        <v>0</v>
      </c>
      <c r="E687">
        <v>1</v>
      </c>
      <c r="F687">
        <v>21</v>
      </c>
      <c r="G687" t="str">
        <f>IF(F687&lt;6,"Night",IF(F687&lt;12,"Morning",IF(F687&lt;18,"Afternoon","Evening")))</f>
        <v>Evening</v>
      </c>
      <c r="H687">
        <v>0</v>
      </c>
      <c r="I687">
        <v>1</v>
      </c>
      <c r="J687" t="str">
        <f>CHOOSE(I687+1,"Monday","Tuesday","Wednesday","Thursday","Friday","Saturday","Sunday")</f>
        <v>Tuesday</v>
      </c>
      <c r="K687">
        <v>3</v>
      </c>
      <c r="L687" t="str">
        <f>CHOOSE(K687+1,"error","Clear","Misty","Rainy","Severe heater")</f>
        <v>Rainy</v>
      </c>
      <c r="M687" s="1">
        <v>0.16</v>
      </c>
      <c r="N687" t="str">
        <f>IF(M687&lt;=0.2,"Low",IF(M687&lt;=0.4,"Mid","High"))</f>
        <v>Low</v>
      </c>
      <c r="O687" s="1">
        <v>0.2273</v>
      </c>
      <c r="P687" t="str">
        <f>IF(O687&lt;=0.15,"Very Cold",IF(O687&lt;=0.3,"Cold",IF(O687&lt;=0.45,"Pleasant","Hot")))</f>
        <v>Cold</v>
      </c>
      <c r="Q687">
        <v>0.59</v>
      </c>
      <c r="R687" t="str">
        <f>IF(Q687&lt;=0.25,"Low ",IF(Q687&lt;=0.5,"Moderate ",IF(Q687&lt;=0.75,"High ","Very High ")))</f>
        <v xml:space="preserve">High </v>
      </c>
      <c r="S687">
        <v>8.9599999999999999E-2</v>
      </c>
      <c r="T687" t="str">
        <f>IF(S687&lt;=0.15,"Calm",IF(S687&lt;=0.3,"Light Wind",IF(S687&lt;=0.45,"Moderate Wind","Strong Wind")))</f>
        <v>Calm</v>
      </c>
      <c r="U687">
        <v>3</v>
      </c>
      <c r="V687">
        <v>53</v>
      </c>
      <c r="W687">
        <v>56</v>
      </c>
      <c r="X687" t="str">
        <f>IF(W687&lt;=75,"Low Demand",IF(W687&lt;=150,"Medium Demand",IF(W687&lt;=225,"High Demand","Very High Demand")))</f>
        <v>Low Demand</v>
      </c>
    </row>
    <row r="688" spans="1:24" x14ac:dyDescent="0.25">
      <c r="A688">
        <v>687</v>
      </c>
      <c r="B688" s="2">
        <v>40574</v>
      </c>
      <c r="C688">
        <v>1</v>
      </c>
      <c r="D688">
        <v>0</v>
      </c>
      <c r="E688">
        <v>1</v>
      </c>
      <c r="F688">
        <v>22</v>
      </c>
      <c r="G688" t="str">
        <f>IF(F688&lt;6,"Night",IF(F688&lt;12,"Morning",IF(F688&lt;18,"Afternoon","Evening")))</f>
        <v>Evening</v>
      </c>
      <c r="H688">
        <v>0</v>
      </c>
      <c r="I688">
        <v>1</v>
      </c>
      <c r="J688" t="str">
        <f>CHOOSE(I688+1,"Monday","Tuesday","Wednesday","Thursday","Friday","Saturday","Sunday")</f>
        <v>Tuesday</v>
      </c>
      <c r="K688">
        <v>2</v>
      </c>
      <c r="L688" t="str">
        <f>CHOOSE(K688+1,"error","Clear","Misty","Rainy","Severe heater")</f>
        <v>Misty</v>
      </c>
      <c r="M688" s="1">
        <v>0.16</v>
      </c>
      <c r="N688" t="str">
        <f>IF(M688&lt;=0.2,"Low",IF(M688&lt;=0.4,"Mid","High"))</f>
        <v>Low</v>
      </c>
      <c r="O688" s="1">
        <v>0.2273</v>
      </c>
      <c r="P688" t="str">
        <f>IF(O688&lt;=0.15,"Very Cold",IF(O688&lt;=0.3,"Cold",IF(O688&lt;=0.45,"Pleasant","Hot")))</f>
        <v>Cold</v>
      </c>
      <c r="Q688">
        <v>0.59</v>
      </c>
      <c r="R688" t="str">
        <f>IF(Q688&lt;=0.25,"Low ",IF(Q688&lt;=0.5,"Moderate ",IF(Q688&lt;=0.75,"High ","Very High ")))</f>
        <v xml:space="preserve">High </v>
      </c>
      <c r="S688">
        <v>0.1045</v>
      </c>
      <c r="T688" t="str">
        <f>IF(S688&lt;=0.15,"Calm",IF(S688&lt;=0.3,"Light Wind",IF(S688&lt;=0.45,"Moderate Wind","Strong Wind")))</f>
        <v>Calm</v>
      </c>
      <c r="U688">
        <v>0</v>
      </c>
      <c r="V688">
        <v>34</v>
      </c>
      <c r="W688">
        <v>34</v>
      </c>
      <c r="X688" t="str">
        <f>IF(W688&lt;=75,"Low Demand",IF(W688&lt;=150,"Medium Demand",IF(W688&lt;=225,"High Demand","Very High Demand")))</f>
        <v>Low Demand</v>
      </c>
    </row>
    <row r="689" spans="1:24" x14ac:dyDescent="0.25">
      <c r="A689">
        <v>688</v>
      </c>
      <c r="B689" s="2">
        <v>40574</v>
      </c>
      <c r="C689">
        <v>1</v>
      </c>
      <c r="D689">
        <v>0</v>
      </c>
      <c r="E689">
        <v>1</v>
      </c>
      <c r="F689">
        <v>23</v>
      </c>
      <c r="G689" t="str">
        <f>IF(F689&lt;6,"Night",IF(F689&lt;12,"Morning",IF(F689&lt;18,"Afternoon","Evening")))</f>
        <v>Evening</v>
      </c>
      <c r="H689">
        <v>0</v>
      </c>
      <c r="I689">
        <v>1</v>
      </c>
      <c r="J689" t="str">
        <f>CHOOSE(I689+1,"Monday","Tuesday","Wednesday","Thursday","Friday","Saturday","Sunday")</f>
        <v>Tuesday</v>
      </c>
      <c r="K689">
        <v>2</v>
      </c>
      <c r="L689" t="str">
        <f>CHOOSE(K689+1,"error","Clear","Misty","Rainy","Severe heater")</f>
        <v>Misty</v>
      </c>
      <c r="M689" s="1">
        <v>0.16</v>
      </c>
      <c r="N689" t="str">
        <f>IF(M689&lt;=0.2,"Low",IF(M689&lt;=0.4,"Mid","High"))</f>
        <v>Low</v>
      </c>
      <c r="O689" s="1">
        <v>0.2273</v>
      </c>
      <c r="P689" t="str">
        <f>IF(O689&lt;=0.15,"Very Cold",IF(O689&lt;=0.3,"Cold",IF(O689&lt;=0.45,"Pleasant","Hot")))</f>
        <v>Cold</v>
      </c>
      <c r="Q689">
        <v>0.64</v>
      </c>
      <c r="R689" t="str">
        <f>IF(Q689&lt;=0.25,"Low ",IF(Q689&lt;=0.5,"Moderate ",IF(Q689&lt;=0.75,"High ","Very High ")))</f>
        <v xml:space="preserve">High </v>
      </c>
      <c r="S689">
        <v>8.9599999999999999E-2</v>
      </c>
      <c r="T689" t="str">
        <f>IF(S689&lt;=0.15,"Calm",IF(S689&lt;=0.3,"Light Wind",IF(S689&lt;=0.45,"Moderate Wind","Strong Wind")))</f>
        <v>Calm</v>
      </c>
      <c r="U689">
        <v>2</v>
      </c>
      <c r="V689">
        <v>15</v>
      </c>
      <c r="W689">
        <v>17</v>
      </c>
      <c r="X689" t="str">
        <f>IF(W689&lt;=75,"Low Demand",IF(W689&lt;=150,"Medium Demand",IF(W689&lt;=225,"High Demand","Very High Demand")))</f>
        <v>Low Demand</v>
      </c>
    </row>
    <row r="690" spans="1:24" x14ac:dyDescent="0.25">
      <c r="A690">
        <v>689</v>
      </c>
      <c r="B690" s="2">
        <v>40575</v>
      </c>
      <c r="C690">
        <v>1</v>
      </c>
      <c r="D690">
        <v>0</v>
      </c>
      <c r="E690">
        <v>2</v>
      </c>
      <c r="F690">
        <v>0</v>
      </c>
      <c r="G690" t="str">
        <f>IF(F690&lt;6,"Night",IF(F690&lt;12,"Morning",IF(F690&lt;18,"Afternoon","Evening")))</f>
        <v>Night</v>
      </c>
      <c r="H690">
        <v>0</v>
      </c>
      <c r="I690">
        <v>2</v>
      </c>
      <c r="J690" t="str">
        <f>CHOOSE(I690+1,"Monday","Tuesday","Wednesday","Thursday","Friday","Saturday","Sunday")</f>
        <v>Wednesday</v>
      </c>
      <c r="K690">
        <v>2</v>
      </c>
      <c r="L690" t="str">
        <f>CHOOSE(K690+1,"error","Clear","Misty","Rainy","Severe heater")</f>
        <v>Misty</v>
      </c>
      <c r="M690" s="1">
        <v>0.16</v>
      </c>
      <c r="N690" t="str">
        <f>IF(M690&lt;=0.2,"Low",IF(M690&lt;=0.4,"Mid","High"))</f>
        <v>Low</v>
      </c>
      <c r="O690" s="1">
        <v>0.2273</v>
      </c>
      <c r="P690" t="str">
        <f>IF(O690&lt;=0.15,"Very Cold",IF(O690&lt;=0.3,"Cold",IF(O690&lt;=0.45,"Pleasant","Hot")))</f>
        <v>Cold</v>
      </c>
      <c r="Q690">
        <v>0.64</v>
      </c>
      <c r="R690" t="str">
        <f>IF(Q690&lt;=0.25,"Low ",IF(Q690&lt;=0.5,"Moderate ",IF(Q690&lt;=0.75,"High ","Very High ")))</f>
        <v xml:space="preserve">High </v>
      </c>
      <c r="S690">
        <v>0.1045</v>
      </c>
      <c r="T690" t="str">
        <f>IF(S690&lt;=0.15,"Calm",IF(S690&lt;=0.3,"Light Wind",IF(S690&lt;=0.45,"Moderate Wind","Strong Wind")))</f>
        <v>Calm</v>
      </c>
      <c r="U690">
        <v>2</v>
      </c>
      <c r="V690">
        <v>6</v>
      </c>
      <c r="W690">
        <v>8</v>
      </c>
      <c r="X690" t="str">
        <f>IF(W690&lt;=75,"Low Demand",IF(W690&lt;=150,"Medium Demand",IF(W690&lt;=225,"High Demand","Very High Demand")))</f>
        <v>Low Demand</v>
      </c>
    </row>
    <row r="691" spans="1:24" x14ac:dyDescent="0.25">
      <c r="A691">
        <v>690</v>
      </c>
      <c r="B691" s="2">
        <v>40575</v>
      </c>
      <c r="C691">
        <v>1</v>
      </c>
      <c r="D691">
        <v>0</v>
      </c>
      <c r="E691">
        <v>2</v>
      </c>
      <c r="F691">
        <v>1</v>
      </c>
      <c r="G691" t="str">
        <f>IF(F691&lt;6,"Night",IF(F691&lt;12,"Morning",IF(F691&lt;18,"Afternoon","Evening")))</f>
        <v>Night</v>
      </c>
      <c r="H691">
        <v>0</v>
      </c>
      <c r="I691">
        <v>2</v>
      </c>
      <c r="J691" t="str">
        <f>CHOOSE(I691+1,"Monday","Tuesday","Wednesday","Thursday","Friday","Saturday","Sunday")</f>
        <v>Wednesday</v>
      </c>
      <c r="K691">
        <v>2</v>
      </c>
      <c r="L691" t="str">
        <f>CHOOSE(K691+1,"error","Clear","Misty","Rainy","Severe heater")</f>
        <v>Misty</v>
      </c>
      <c r="M691" s="1">
        <v>0.18</v>
      </c>
      <c r="N691" t="str">
        <f>IF(M691&lt;=0.2,"Low",IF(M691&lt;=0.4,"Mid","High"))</f>
        <v>Low</v>
      </c>
      <c r="O691" s="1">
        <v>0.2424</v>
      </c>
      <c r="P691" t="str">
        <f>IF(O691&lt;=0.15,"Very Cold",IF(O691&lt;=0.3,"Cold",IF(O691&lt;=0.45,"Pleasant","Hot")))</f>
        <v>Cold</v>
      </c>
      <c r="Q691">
        <v>0.69</v>
      </c>
      <c r="R691" t="str">
        <f>IF(Q691&lt;=0.25,"Low ",IF(Q691&lt;=0.5,"Moderate ",IF(Q691&lt;=0.75,"High ","Very High ")))</f>
        <v xml:space="preserve">High </v>
      </c>
      <c r="S691">
        <v>0.1045</v>
      </c>
      <c r="T691" t="str">
        <f>IF(S691&lt;=0.15,"Calm",IF(S691&lt;=0.3,"Light Wind",IF(S691&lt;=0.45,"Moderate Wind","Strong Wind")))</f>
        <v>Calm</v>
      </c>
      <c r="U691">
        <v>0</v>
      </c>
      <c r="V691">
        <v>3</v>
      </c>
      <c r="W691">
        <v>3</v>
      </c>
      <c r="X691" t="str">
        <f>IF(W691&lt;=75,"Low Demand",IF(W691&lt;=150,"Medium Demand",IF(W691&lt;=225,"High Demand","Very High Demand")))</f>
        <v>Low Demand</v>
      </c>
    </row>
    <row r="692" spans="1:24" x14ac:dyDescent="0.25">
      <c r="A692">
        <v>691</v>
      </c>
      <c r="B692" s="2">
        <v>40575</v>
      </c>
      <c r="C692">
        <v>1</v>
      </c>
      <c r="D692">
        <v>0</v>
      </c>
      <c r="E692">
        <v>2</v>
      </c>
      <c r="F692">
        <v>2</v>
      </c>
      <c r="G692" t="str">
        <f>IF(F692&lt;6,"Night",IF(F692&lt;12,"Morning",IF(F692&lt;18,"Afternoon","Evening")))</f>
        <v>Night</v>
      </c>
      <c r="H692">
        <v>0</v>
      </c>
      <c r="I692">
        <v>2</v>
      </c>
      <c r="J692" t="str">
        <f>CHOOSE(I692+1,"Monday","Tuesday","Wednesday","Thursday","Friday","Saturday","Sunday")</f>
        <v>Wednesday</v>
      </c>
      <c r="K692">
        <v>2</v>
      </c>
      <c r="L692" t="str">
        <f>CHOOSE(K692+1,"error","Clear","Misty","Rainy","Severe heater")</f>
        <v>Misty</v>
      </c>
      <c r="M692" s="1">
        <v>0.2</v>
      </c>
      <c r="N692" t="str">
        <f>IF(M692&lt;=0.2,"Low",IF(M692&lt;=0.4,"Mid","High"))</f>
        <v>Low</v>
      </c>
      <c r="O692" s="1">
        <v>0.2576</v>
      </c>
      <c r="P692" t="str">
        <f>IF(O692&lt;=0.15,"Very Cold",IF(O692&lt;=0.3,"Cold",IF(O692&lt;=0.45,"Pleasant","Hot")))</f>
        <v>Cold</v>
      </c>
      <c r="Q692">
        <v>0.69</v>
      </c>
      <c r="R692" t="str">
        <f>IF(Q692&lt;=0.25,"Low ",IF(Q692&lt;=0.5,"Moderate ",IF(Q692&lt;=0.75,"High ","Very High ")))</f>
        <v xml:space="preserve">High </v>
      </c>
      <c r="S692">
        <v>0</v>
      </c>
      <c r="T692" t="str">
        <f>IF(S692&lt;=0.15,"Calm",IF(S692&lt;=0.3,"Light Wind",IF(S692&lt;=0.45,"Moderate Wind","Strong Wind")))</f>
        <v>Calm</v>
      </c>
      <c r="U692">
        <v>0</v>
      </c>
      <c r="V692">
        <v>2</v>
      </c>
      <c r="W692">
        <v>2</v>
      </c>
      <c r="X692" t="str">
        <f>IF(W692&lt;=75,"Low Demand",IF(W692&lt;=150,"Medium Demand",IF(W692&lt;=225,"High Demand","Very High Demand")))</f>
        <v>Low Demand</v>
      </c>
    </row>
    <row r="693" spans="1:24" x14ac:dyDescent="0.25">
      <c r="A693">
        <v>692</v>
      </c>
      <c r="B693" s="2">
        <v>40575</v>
      </c>
      <c r="C693">
        <v>1</v>
      </c>
      <c r="D693">
        <v>0</v>
      </c>
      <c r="E693">
        <v>2</v>
      </c>
      <c r="F693">
        <v>3</v>
      </c>
      <c r="G693" t="str">
        <f>IF(F693&lt;6,"Night",IF(F693&lt;12,"Morning",IF(F693&lt;18,"Afternoon","Evening")))</f>
        <v>Night</v>
      </c>
      <c r="H693">
        <v>0</v>
      </c>
      <c r="I693">
        <v>2</v>
      </c>
      <c r="J693" t="str">
        <f>CHOOSE(I693+1,"Monday","Tuesday","Wednesday","Thursday","Friday","Saturday","Sunday")</f>
        <v>Wednesday</v>
      </c>
      <c r="K693">
        <v>2</v>
      </c>
      <c r="L693" t="str">
        <f>CHOOSE(K693+1,"error","Clear","Misty","Rainy","Severe heater")</f>
        <v>Misty</v>
      </c>
      <c r="M693" s="1">
        <v>0.2</v>
      </c>
      <c r="N693" t="str">
        <f>IF(M693&lt;=0.2,"Low",IF(M693&lt;=0.4,"Mid","High"))</f>
        <v>Low</v>
      </c>
      <c r="O693" s="1">
        <v>0.2576</v>
      </c>
      <c r="P693" t="str">
        <f>IF(O693&lt;=0.15,"Very Cold",IF(O693&lt;=0.3,"Cold",IF(O693&lt;=0.45,"Pleasant","Hot")))</f>
        <v>Cold</v>
      </c>
      <c r="Q693">
        <v>0.69</v>
      </c>
      <c r="R693" t="str">
        <f>IF(Q693&lt;=0.25,"Low ",IF(Q693&lt;=0.5,"Moderate ",IF(Q693&lt;=0.75,"High ","Very High ")))</f>
        <v xml:space="preserve">High </v>
      </c>
      <c r="S693">
        <v>0</v>
      </c>
      <c r="T693" t="str">
        <f>IF(S693&lt;=0.15,"Calm",IF(S693&lt;=0.3,"Light Wind",IF(S693&lt;=0.45,"Moderate Wind","Strong Wind")))</f>
        <v>Calm</v>
      </c>
      <c r="U693">
        <v>0</v>
      </c>
      <c r="V693">
        <v>2</v>
      </c>
      <c r="W693">
        <v>2</v>
      </c>
      <c r="X693" t="str">
        <f>IF(W693&lt;=75,"Low Demand",IF(W693&lt;=150,"Medium Demand",IF(W693&lt;=225,"High Demand","Very High Demand")))</f>
        <v>Low Demand</v>
      </c>
    </row>
    <row r="694" spans="1:24" x14ac:dyDescent="0.25">
      <c r="A694">
        <v>693</v>
      </c>
      <c r="B694" s="2">
        <v>40575</v>
      </c>
      <c r="C694">
        <v>1</v>
      </c>
      <c r="D694">
        <v>0</v>
      </c>
      <c r="E694">
        <v>2</v>
      </c>
      <c r="F694">
        <v>5</v>
      </c>
      <c r="G694" t="str">
        <f>IF(F694&lt;6,"Night",IF(F694&lt;12,"Morning",IF(F694&lt;18,"Afternoon","Evening")))</f>
        <v>Night</v>
      </c>
      <c r="H694">
        <v>0</v>
      </c>
      <c r="I694">
        <v>2</v>
      </c>
      <c r="J694" t="str">
        <f>CHOOSE(I694+1,"Monday","Tuesday","Wednesday","Thursday","Friday","Saturday","Sunday")</f>
        <v>Wednesday</v>
      </c>
      <c r="K694">
        <v>3</v>
      </c>
      <c r="L694" t="str">
        <f>CHOOSE(K694+1,"error","Clear","Misty","Rainy","Severe heater")</f>
        <v>Rainy</v>
      </c>
      <c r="M694" s="1">
        <v>0.22</v>
      </c>
      <c r="N694" t="str">
        <f>IF(M694&lt;=0.2,"Low",IF(M694&lt;=0.4,"Mid","High"))</f>
        <v>Mid</v>
      </c>
      <c r="O694" s="1">
        <v>0.2576</v>
      </c>
      <c r="P694" t="str">
        <f>IF(O694&lt;=0.15,"Very Cold",IF(O694&lt;=0.3,"Cold",IF(O694&lt;=0.45,"Pleasant","Hot")))</f>
        <v>Cold</v>
      </c>
      <c r="Q694">
        <v>0.93</v>
      </c>
      <c r="R694" t="str">
        <f>IF(Q694&lt;=0.25,"Low ",IF(Q694&lt;=0.5,"Moderate ",IF(Q694&lt;=0.75,"High ","Very High ")))</f>
        <v xml:space="preserve">Very High </v>
      </c>
      <c r="S694">
        <v>0</v>
      </c>
      <c r="T694" t="str">
        <f>IF(S694&lt;=0.15,"Calm",IF(S694&lt;=0.3,"Light Wind",IF(S694&lt;=0.45,"Moderate Wind","Strong Wind")))</f>
        <v>Calm</v>
      </c>
      <c r="U694">
        <v>0</v>
      </c>
      <c r="V694">
        <v>3</v>
      </c>
      <c r="W694">
        <v>3</v>
      </c>
      <c r="X694" t="str">
        <f>IF(W694&lt;=75,"Low Demand",IF(W694&lt;=150,"Medium Demand",IF(W694&lt;=225,"High Demand","Very High Demand")))</f>
        <v>Low Demand</v>
      </c>
    </row>
    <row r="695" spans="1:24" x14ac:dyDescent="0.25">
      <c r="A695">
        <v>694</v>
      </c>
      <c r="B695" s="2">
        <v>40575</v>
      </c>
      <c r="C695">
        <v>1</v>
      </c>
      <c r="D695">
        <v>0</v>
      </c>
      <c r="E695">
        <v>2</v>
      </c>
      <c r="F695">
        <v>6</v>
      </c>
      <c r="G695" t="str">
        <f>IF(F695&lt;6,"Night",IF(F695&lt;12,"Morning",IF(F695&lt;18,"Afternoon","Evening")))</f>
        <v>Morning</v>
      </c>
      <c r="H695">
        <v>0</v>
      </c>
      <c r="I695">
        <v>2</v>
      </c>
      <c r="J695" t="str">
        <f>CHOOSE(I695+1,"Monday","Tuesday","Wednesday","Thursday","Friday","Saturday","Sunday")</f>
        <v>Wednesday</v>
      </c>
      <c r="K695">
        <v>3</v>
      </c>
      <c r="L695" t="str">
        <f>CHOOSE(K695+1,"error","Clear","Misty","Rainy","Severe heater")</f>
        <v>Rainy</v>
      </c>
      <c r="M695" s="1">
        <v>0.24</v>
      </c>
      <c r="N695" t="str">
        <f>IF(M695&lt;=0.2,"Low",IF(M695&lt;=0.4,"Mid","High"))</f>
        <v>Mid</v>
      </c>
      <c r="O695" s="1">
        <v>0.28789999999999999</v>
      </c>
      <c r="P695" t="str">
        <f>IF(O695&lt;=0.15,"Very Cold",IF(O695&lt;=0.3,"Cold",IF(O695&lt;=0.45,"Pleasant","Hot")))</f>
        <v>Cold</v>
      </c>
      <c r="Q695">
        <v>0.93</v>
      </c>
      <c r="R695" t="str">
        <f>IF(Q695&lt;=0.25,"Low ",IF(Q695&lt;=0.5,"Moderate ",IF(Q695&lt;=0.75,"High ","Very High ")))</f>
        <v xml:space="preserve">Very High </v>
      </c>
      <c r="S695">
        <v>0</v>
      </c>
      <c r="T695" t="str">
        <f>IF(S695&lt;=0.15,"Calm",IF(S695&lt;=0.3,"Light Wind",IF(S695&lt;=0.45,"Moderate Wind","Strong Wind")))</f>
        <v>Calm</v>
      </c>
      <c r="U695">
        <v>0</v>
      </c>
      <c r="V695">
        <v>22</v>
      </c>
      <c r="W695">
        <v>22</v>
      </c>
      <c r="X695" t="str">
        <f>IF(W695&lt;=75,"Low Demand",IF(W695&lt;=150,"Medium Demand",IF(W695&lt;=225,"High Demand","Very High Demand")))</f>
        <v>Low Demand</v>
      </c>
    </row>
    <row r="696" spans="1:24" x14ac:dyDescent="0.25">
      <c r="A696">
        <v>695</v>
      </c>
      <c r="B696" s="2">
        <v>40575</v>
      </c>
      <c r="C696">
        <v>1</v>
      </c>
      <c r="D696">
        <v>0</v>
      </c>
      <c r="E696">
        <v>2</v>
      </c>
      <c r="F696">
        <v>7</v>
      </c>
      <c r="G696" t="str">
        <f>IF(F696&lt;6,"Night",IF(F696&lt;12,"Morning",IF(F696&lt;18,"Afternoon","Evening")))</f>
        <v>Morning</v>
      </c>
      <c r="H696">
        <v>0</v>
      </c>
      <c r="I696">
        <v>2</v>
      </c>
      <c r="J696" t="str">
        <f>CHOOSE(I696+1,"Monday","Tuesday","Wednesday","Thursday","Friday","Saturday","Sunday")</f>
        <v>Wednesday</v>
      </c>
      <c r="K696">
        <v>3</v>
      </c>
      <c r="L696" t="str">
        <f>CHOOSE(K696+1,"error","Clear","Misty","Rainy","Severe heater")</f>
        <v>Rainy</v>
      </c>
      <c r="M696" s="1">
        <v>0.24</v>
      </c>
      <c r="N696" t="str">
        <f>IF(M696&lt;=0.2,"Low",IF(M696&lt;=0.4,"Mid","High"))</f>
        <v>Mid</v>
      </c>
      <c r="O696" s="1">
        <v>0.2424</v>
      </c>
      <c r="P696" t="str">
        <f>IF(O696&lt;=0.15,"Very Cold",IF(O696&lt;=0.3,"Cold",IF(O696&lt;=0.45,"Pleasant","Hot")))</f>
        <v>Cold</v>
      </c>
      <c r="Q696">
        <v>0.93</v>
      </c>
      <c r="R696" t="str">
        <f>IF(Q696&lt;=0.25,"Low ",IF(Q696&lt;=0.5,"Moderate ",IF(Q696&lt;=0.75,"High ","Very High ")))</f>
        <v xml:space="preserve">Very High </v>
      </c>
      <c r="S696">
        <v>0</v>
      </c>
      <c r="T696" t="str">
        <f>IF(S696&lt;=0.15,"Calm",IF(S696&lt;=0.3,"Light Wind",IF(S696&lt;=0.45,"Moderate Wind","Strong Wind")))</f>
        <v>Calm</v>
      </c>
      <c r="U696">
        <v>0</v>
      </c>
      <c r="V696">
        <v>52</v>
      </c>
      <c r="W696">
        <v>52</v>
      </c>
      <c r="X696" t="str">
        <f>IF(W696&lt;=75,"Low Demand",IF(W696&lt;=150,"Medium Demand",IF(W696&lt;=225,"High Demand","Very High Demand")))</f>
        <v>Low Demand</v>
      </c>
    </row>
    <row r="697" spans="1:24" x14ac:dyDescent="0.25">
      <c r="A697">
        <v>696</v>
      </c>
      <c r="B697" s="2">
        <v>40575</v>
      </c>
      <c r="C697">
        <v>1</v>
      </c>
      <c r="D697">
        <v>0</v>
      </c>
      <c r="E697">
        <v>2</v>
      </c>
      <c r="F697">
        <v>8</v>
      </c>
      <c r="G697" t="str">
        <f>IF(F697&lt;6,"Night",IF(F697&lt;12,"Morning",IF(F697&lt;18,"Afternoon","Evening")))</f>
        <v>Morning</v>
      </c>
      <c r="H697">
        <v>0</v>
      </c>
      <c r="I697">
        <v>2</v>
      </c>
      <c r="J697" t="str">
        <f>CHOOSE(I697+1,"Monday","Tuesday","Wednesday","Thursday","Friday","Saturday","Sunday")</f>
        <v>Wednesday</v>
      </c>
      <c r="K697">
        <v>3</v>
      </c>
      <c r="L697" t="str">
        <f>CHOOSE(K697+1,"error","Clear","Misty","Rainy","Severe heater")</f>
        <v>Rainy</v>
      </c>
      <c r="M697" s="1">
        <v>0.24</v>
      </c>
      <c r="N697" t="str">
        <f>IF(M697&lt;=0.2,"Low",IF(M697&lt;=0.4,"Mid","High"))</f>
        <v>Mid</v>
      </c>
      <c r="O697" s="1">
        <v>0.28789999999999999</v>
      </c>
      <c r="P697" t="str">
        <f>IF(O697&lt;=0.15,"Very Cold",IF(O697&lt;=0.3,"Cold",IF(O697&lt;=0.45,"Pleasant","Hot")))</f>
        <v>Cold</v>
      </c>
      <c r="Q697">
        <v>0.93</v>
      </c>
      <c r="R697" t="str">
        <f>IF(Q697&lt;=0.25,"Low ",IF(Q697&lt;=0.5,"Moderate ",IF(Q697&lt;=0.75,"High ","Very High ")))</f>
        <v xml:space="preserve">Very High </v>
      </c>
      <c r="S697">
        <v>0</v>
      </c>
      <c r="T697" t="str">
        <f>IF(S697&lt;=0.15,"Calm",IF(S697&lt;=0.3,"Light Wind",IF(S697&lt;=0.45,"Moderate Wind","Strong Wind")))</f>
        <v>Calm</v>
      </c>
      <c r="U697">
        <v>3</v>
      </c>
      <c r="V697">
        <v>132</v>
      </c>
      <c r="W697">
        <v>135</v>
      </c>
      <c r="X697" t="str">
        <f>IF(W697&lt;=75,"Low Demand",IF(W697&lt;=150,"Medium Demand",IF(W697&lt;=225,"High Demand","Very High Demand")))</f>
        <v>Medium Demand</v>
      </c>
    </row>
    <row r="698" spans="1:24" x14ac:dyDescent="0.25">
      <c r="A698">
        <v>697</v>
      </c>
      <c r="B698" s="2">
        <v>40575</v>
      </c>
      <c r="C698">
        <v>1</v>
      </c>
      <c r="D698">
        <v>0</v>
      </c>
      <c r="E698">
        <v>2</v>
      </c>
      <c r="F698">
        <v>9</v>
      </c>
      <c r="G698" t="str">
        <f>IF(F698&lt;6,"Night",IF(F698&lt;12,"Morning",IF(F698&lt;18,"Afternoon","Evening")))</f>
        <v>Morning</v>
      </c>
      <c r="H698">
        <v>0</v>
      </c>
      <c r="I698">
        <v>2</v>
      </c>
      <c r="J698" t="str">
        <f>CHOOSE(I698+1,"Monday","Tuesday","Wednesday","Thursday","Friday","Saturday","Sunday")</f>
        <v>Wednesday</v>
      </c>
      <c r="K698">
        <v>2</v>
      </c>
      <c r="L698" t="str">
        <f>CHOOSE(K698+1,"error","Clear","Misty","Rainy","Severe heater")</f>
        <v>Misty</v>
      </c>
      <c r="M698" s="1">
        <v>0.24</v>
      </c>
      <c r="N698" t="str">
        <f>IF(M698&lt;=0.2,"Low",IF(M698&lt;=0.4,"Mid","High"))</f>
        <v>Mid</v>
      </c>
      <c r="O698" s="1">
        <v>0.2576</v>
      </c>
      <c r="P698" t="str">
        <f>IF(O698&lt;=0.15,"Very Cold",IF(O698&lt;=0.3,"Cold",IF(O698&lt;=0.45,"Pleasant","Hot")))</f>
        <v>Cold</v>
      </c>
      <c r="Q698">
        <v>0.93</v>
      </c>
      <c r="R698" t="str">
        <f>IF(Q698&lt;=0.25,"Low ",IF(Q698&lt;=0.5,"Moderate ",IF(Q698&lt;=0.75,"High ","Very High ")))</f>
        <v xml:space="preserve">Very High </v>
      </c>
      <c r="S698">
        <v>0</v>
      </c>
      <c r="T698" t="str">
        <f>IF(S698&lt;=0.15,"Calm",IF(S698&lt;=0.3,"Light Wind",IF(S698&lt;=0.45,"Moderate Wind","Strong Wind")))</f>
        <v>Calm</v>
      </c>
      <c r="U698">
        <v>2</v>
      </c>
      <c r="V698">
        <v>114</v>
      </c>
      <c r="W698">
        <v>116</v>
      </c>
      <c r="X698" t="str">
        <f>IF(W698&lt;=75,"Low Demand",IF(W698&lt;=150,"Medium Demand",IF(W698&lt;=225,"High Demand","Very High Demand")))</f>
        <v>Medium Demand</v>
      </c>
    </row>
    <row r="699" spans="1:24" x14ac:dyDescent="0.25">
      <c r="A699">
        <v>698</v>
      </c>
      <c r="B699" s="2">
        <v>40575</v>
      </c>
      <c r="C699">
        <v>1</v>
      </c>
      <c r="D699">
        <v>0</v>
      </c>
      <c r="E699">
        <v>2</v>
      </c>
      <c r="F699">
        <v>10</v>
      </c>
      <c r="G699" t="str">
        <f>IF(F699&lt;6,"Night",IF(F699&lt;12,"Morning",IF(F699&lt;18,"Afternoon","Evening")))</f>
        <v>Morning</v>
      </c>
      <c r="H699">
        <v>0</v>
      </c>
      <c r="I699">
        <v>2</v>
      </c>
      <c r="J699" t="str">
        <f>CHOOSE(I699+1,"Monday","Tuesday","Wednesday","Thursday","Friday","Saturday","Sunday")</f>
        <v>Wednesday</v>
      </c>
      <c r="K699">
        <v>2</v>
      </c>
      <c r="L699" t="str">
        <f>CHOOSE(K699+1,"error","Clear","Misty","Rainy","Severe heater")</f>
        <v>Misty</v>
      </c>
      <c r="M699" s="1">
        <v>0.24</v>
      </c>
      <c r="N699" t="str">
        <f>IF(M699&lt;=0.2,"Low",IF(M699&lt;=0.4,"Mid","High"))</f>
        <v>Mid</v>
      </c>
      <c r="O699" s="1">
        <v>0.2424</v>
      </c>
      <c r="P699" t="str">
        <f>IF(O699&lt;=0.15,"Very Cold",IF(O699&lt;=0.3,"Cold",IF(O699&lt;=0.45,"Pleasant","Hot")))</f>
        <v>Cold</v>
      </c>
      <c r="Q699">
        <v>0.93</v>
      </c>
      <c r="R699" t="str">
        <f>IF(Q699&lt;=0.25,"Low ",IF(Q699&lt;=0.5,"Moderate ",IF(Q699&lt;=0.75,"High ","Very High ")))</f>
        <v xml:space="preserve">Very High </v>
      </c>
      <c r="S699">
        <v>0</v>
      </c>
      <c r="T699" t="str">
        <f>IF(S699&lt;=0.15,"Calm",IF(S699&lt;=0.3,"Light Wind",IF(S699&lt;=0.45,"Moderate Wind","Strong Wind")))</f>
        <v>Calm</v>
      </c>
      <c r="U699">
        <v>0</v>
      </c>
      <c r="V699">
        <v>47</v>
      </c>
      <c r="W699">
        <v>47</v>
      </c>
      <c r="X699" t="str">
        <f>IF(W699&lt;=75,"Low Demand",IF(W699&lt;=150,"Medium Demand",IF(W699&lt;=225,"High Demand","Very High Demand")))</f>
        <v>Low Demand</v>
      </c>
    </row>
    <row r="700" spans="1:24" x14ac:dyDescent="0.25">
      <c r="A700">
        <v>699</v>
      </c>
      <c r="B700" s="2">
        <v>40575</v>
      </c>
      <c r="C700">
        <v>1</v>
      </c>
      <c r="D700">
        <v>0</v>
      </c>
      <c r="E700">
        <v>2</v>
      </c>
      <c r="F700">
        <v>11</v>
      </c>
      <c r="G700" t="str">
        <f>IF(F700&lt;6,"Night",IF(F700&lt;12,"Morning",IF(F700&lt;18,"Afternoon","Evening")))</f>
        <v>Morning</v>
      </c>
      <c r="H700">
        <v>0</v>
      </c>
      <c r="I700">
        <v>2</v>
      </c>
      <c r="J700" t="str">
        <f>CHOOSE(I700+1,"Monday","Tuesday","Wednesday","Thursday","Friday","Saturday","Sunday")</f>
        <v>Wednesday</v>
      </c>
      <c r="K700">
        <v>2</v>
      </c>
      <c r="L700" t="str">
        <f>CHOOSE(K700+1,"error","Clear","Misty","Rainy","Severe heater")</f>
        <v>Misty</v>
      </c>
      <c r="M700" s="1">
        <v>0.22</v>
      </c>
      <c r="N700" t="str">
        <f>IF(M700&lt;=0.2,"Low",IF(M700&lt;=0.4,"Mid","High"))</f>
        <v>Mid</v>
      </c>
      <c r="O700" s="1">
        <v>0.2273</v>
      </c>
      <c r="P700" t="str">
        <f>IF(O700&lt;=0.15,"Very Cold",IF(O700&lt;=0.3,"Cold",IF(O700&lt;=0.45,"Pleasant","Hot")))</f>
        <v>Cold</v>
      </c>
      <c r="Q700">
        <v>0.86</v>
      </c>
      <c r="R700" t="str">
        <f>IF(Q700&lt;=0.25,"Low ",IF(Q700&lt;=0.5,"Moderate ",IF(Q700&lt;=0.75,"High ","Very High ")))</f>
        <v xml:space="preserve">Very High </v>
      </c>
      <c r="S700">
        <v>0</v>
      </c>
      <c r="T700" t="str">
        <f>IF(S700&lt;=0.15,"Calm",IF(S700&lt;=0.3,"Light Wind",IF(S700&lt;=0.45,"Moderate Wind","Strong Wind")))</f>
        <v>Calm</v>
      </c>
      <c r="U700">
        <v>2</v>
      </c>
      <c r="V700">
        <v>49</v>
      </c>
      <c r="W700">
        <v>51</v>
      </c>
      <c r="X700" t="str">
        <f>IF(W700&lt;=75,"Low Demand",IF(W700&lt;=150,"Medium Demand",IF(W700&lt;=225,"High Demand","Very High Demand")))</f>
        <v>Low Demand</v>
      </c>
    </row>
    <row r="701" spans="1:24" x14ac:dyDescent="0.25">
      <c r="A701">
        <v>700</v>
      </c>
      <c r="B701" s="2">
        <v>40575</v>
      </c>
      <c r="C701">
        <v>1</v>
      </c>
      <c r="D701">
        <v>0</v>
      </c>
      <c r="E701">
        <v>2</v>
      </c>
      <c r="F701">
        <v>12</v>
      </c>
      <c r="G701" t="str">
        <f>IF(F701&lt;6,"Night",IF(F701&lt;12,"Morning",IF(F701&lt;18,"Afternoon","Evening")))</f>
        <v>Afternoon</v>
      </c>
      <c r="H701">
        <v>0</v>
      </c>
      <c r="I701">
        <v>2</v>
      </c>
      <c r="J701" t="str">
        <f>CHOOSE(I701+1,"Monday","Tuesday","Wednesday","Thursday","Friday","Saturday","Sunday")</f>
        <v>Wednesday</v>
      </c>
      <c r="K701">
        <v>2</v>
      </c>
      <c r="L701" t="str">
        <f>CHOOSE(K701+1,"error","Clear","Misty","Rainy","Severe heater")</f>
        <v>Misty</v>
      </c>
      <c r="M701" s="1">
        <v>0.22</v>
      </c>
      <c r="N701" t="str">
        <f>IF(M701&lt;=0.2,"Low",IF(M701&lt;=0.4,"Mid","High"))</f>
        <v>Mid</v>
      </c>
      <c r="O701" s="1">
        <v>0.2273</v>
      </c>
      <c r="P701" t="str">
        <f>IF(O701&lt;=0.15,"Very Cold",IF(O701&lt;=0.3,"Cold",IF(O701&lt;=0.45,"Pleasant","Hot")))</f>
        <v>Cold</v>
      </c>
      <c r="Q701">
        <v>0.86</v>
      </c>
      <c r="R701" t="str">
        <f>IF(Q701&lt;=0.25,"Low ",IF(Q701&lt;=0.5,"Moderate ",IF(Q701&lt;=0.75,"High ","Very High ")))</f>
        <v xml:space="preserve">Very High </v>
      </c>
      <c r="S701">
        <v>0</v>
      </c>
      <c r="T701" t="str">
        <f>IF(S701&lt;=0.15,"Calm",IF(S701&lt;=0.3,"Light Wind",IF(S701&lt;=0.45,"Moderate Wind","Strong Wind")))</f>
        <v>Calm</v>
      </c>
      <c r="U701">
        <v>2</v>
      </c>
      <c r="V701">
        <v>53</v>
      </c>
      <c r="W701">
        <v>55</v>
      </c>
      <c r="X701" t="str">
        <f>IF(W701&lt;=75,"Low Demand",IF(W701&lt;=150,"Medium Demand",IF(W701&lt;=225,"High Demand","Very High Demand")))</f>
        <v>Low Demand</v>
      </c>
    </row>
    <row r="702" spans="1:24" x14ac:dyDescent="0.25">
      <c r="A702">
        <v>701</v>
      </c>
      <c r="B702" s="2">
        <v>40575</v>
      </c>
      <c r="C702">
        <v>1</v>
      </c>
      <c r="D702">
        <v>0</v>
      </c>
      <c r="E702">
        <v>2</v>
      </c>
      <c r="F702">
        <v>13</v>
      </c>
      <c r="G702" t="str">
        <f>IF(F702&lt;6,"Night",IF(F702&lt;12,"Morning",IF(F702&lt;18,"Afternoon","Evening")))</f>
        <v>Afternoon</v>
      </c>
      <c r="H702">
        <v>0</v>
      </c>
      <c r="I702">
        <v>2</v>
      </c>
      <c r="J702" t="str">
        <f>CHOOSE(I702+1,"Monday","Tuesday","Wednesday","Thursday","Friday","Saturday","Sunday")</f>
        <v>Wednesday</v>
      </c>
      <c r="K702">
        <v>2</v>
      </c>
      <c r="L702" t="str">
        <f>CHOOSE(K702+1,"error","Clear","Misty","Rainy","Severe heater")</f>
        <v>Misty</v>
      </c>
      <c r="M702" s="1">
        <v>0.22</v>
      </c>
      <c r="N702" t="str">
        <f>IF(M702&lt;=0.2,"Low",IF(M702&lt;=0.4,"Mid","High"))</f>
        <v>Mid</v>
      </c>
      <c r="O702" s="1">
        <v>0.2576</v>
      </c>
      <c r="P702" t="str">
        <f>IF(O702&lt;=0.15,"Very Cold",IF(O702&lt;=0.3,"Cold",IF(O702&lt;=0.45,"Pleasant","Hot")))</f>
        <v>Cold</v>
      </c>
      <c r="Q702">
        <v>0.86</v>
      </c>
      <c r="R702" t="str">
        <f>IF(Q702&lt;=0.25,"Low ",IF(Q702&lt;=0.5,"Moderate ",IF(Q702&lt;=0.75,"High ","Very High ")))</f>
        <v xml:space="preserve">Very High </v>
      </c>
      <c r="S702">
        <v>0</v>
      </c>
      <c r="T702" t="str">
        <f>IF(S702&lt;=0.15,"Calm",IF(S702&lt;=0.3,"Light Wind",IF(S702&lt;=0.45,"Moderate Wind","Strong Wind")))</f>
        <v>Calm</v>
      </c>
      <c r="U702">
        <v>3</v>
      </c>
      <c r="V702">
        <v>49</v>
      </c>
      <c r="W702">
        <v>52</v>
      </c>
      <c r="X702" t="str">
        <f>IF(W702&lt;=75,"Low Demand",IF(W702&lt;=150,"Medium Demand",IF(W702&lt;=225,"High Demand","Very High Demand")))</f>
        <v>Low Demand</v>
      </c>
    </row>
    <row r="703" spans="1:24" x14ac:dyDescent="0.25">
      <c r="A703">
        <v>702</v>
      </c>
      <c r="B703" s="2">
        <v>40575</v>
      </c>
      <c r="C703">
        <v>1</v>
      </c>
      <c r="D703">
        <v>0</v>
      </c>
      <c r="E703">
        <v>2</v>
      </c>
      <c r="F703">
        <v>14</v>
      </c>
      <c r="G703" t="str">
        <f>IF(F703&lt;6,"Night",IF(F703&lt;12,"Morning",IF(F703&lt;18,"Afternoon","Evening")))</f>
        <v>Afternoon</v>
      </c>
      <c r="H703">
        <v>0</v>
      </c>
      <c r="I703">
        <v>2</v>
      </c>
      <c r="J703" t="str">
        <f>CHOOSE(I703+1,"Monday","Tuesday","Wednesday","Thursday","Friday","Saturday","Sunday")</f>
        <v>Wednesday</v>
      </c>
      <c r="K703">
        <v>2</v>
      </c>
      <c r="L703" t="str">
        <f>CHOOSE(K703+1,"error","Clear","Misty","Rainy","Severe heater")</f>
        <v>Misty</v>
      </c>
      <c r="M703" s="1">
        <v>0.2</v>
      </c>
      <c r="N703" t="str">
        <f>IF(M703&lt;=0.2,"Low",IF(M703&lt;=0.4,"Mid","High"))</f>
        <v>Low</v>
      </c>
      <c r="O703" s="1">
        <v>0.19700000000000001</v>
      </c>
      <c r="P703" t="str">
        <f>IF(O703&lt;=0.15,"Very Cold",IF(O703&lt;=0.3,"Cold",IF(O703&lt;=0.45,"Pleasant","Hot")))</f>
        <v>Cold</v>
      </c>
      <c r="Q703">
        <v>0.8</v>
      </c>
      <c r="R703" t="str">
        <f>IF(Q703&lt;=0.25,"Low ",IF(Q703&lt;=0.5,"Moderate ",IF(Q703&lt;=0.75,"High ","Very High ")))</f>
        <v xml:space="preserve">Very High </v>
      </c>
      <c r="S703">
        <v>8.9599999999999999E-2</v>
      </c>
      <c r="T703" t="str">
        <f>IF(S703&lt;=0.15,"Calm",IF(S703&lt;=0.3,"Light Wind",IF(S703&lt;=0.45,"Moderate Wind","Strong Wind")))</f>
        <v>Calm</v>
      </c>
      <c r="U703">
        <v>5</v>
      </c>
      <c r="V703">
        <v>49</v>
      </c>
      <c r="W703">
        <v>54</v>
      </c>
      <c r="X703" t="str">
        <f>IF(W703&lt;=75,"Low Demand",IF(W703&lt;=150,"Medium Demand",IF(W703&lt;=225,"High Demand","Very High Demand")))</f>
        <v>Low Demand</v>
      </c>
    </row>
    <row r="704" spans="1:24" x14ac:dyDescent="0.25">
      <c r="A704">
        <v>703</v>
      </c>
      <c r="B704" s="2">
        <v>40575</v>
      </c>
      <c r="C704">
        <v>1</v>
      </c>
      <c r="D704">
        <v>0</v>
      </c>
      <c r="E704">
        <v>2</v>
      </c>
      <c r="F704">
        <v>15</v>
      </c>
      <c r="G704" t="str">
        <f>IF(F704&lt;6,"Night",IF(F704&lt;12,"Morning",IF(F704&lt;18,"Afternoon","Evening")))</f>
        <v>Afternoon</v>
      </c>
      <c r="H704">
        <v>0</v>
      </c>
      <c r="I704">
        <v>2</v>
      </c>
      <c r="J704" t="str">
        <f>CHOOSE(I704+1,"Monday","Tuesday","Wednesday","Thursday","Friday","Saturday","Sunday")</f>
        <v>Wednesday</v>
      </c>
      <c r="K704">
        <v>2</v>
      </c>
      <c r="L704" t="str">
        <f>CHOOSE(K704+1,"error","Clear","Misty","Rainy","Severe heater")</f>
        <v>Misty</v>
      </c>
      <c r="M704" s="1">
        <v>0.22</v>
      </c>
      <c r="N704" t="str">
        <f>IF(M704&lt;=0.2,"Low",IF(M704&lt;=0.4,"Mid","High"))</f>
        <v>Mid</v>
      </c>
      <c r="O704" s="1">
        <v>0.2424</v>
      </c>
      <c r="P704" t="str">
        <f>IF(O704&lt;=0.15,"Very Cold",IF(O704&lt;=0.3,"Cold",IF(O704&lt;=0.45,"Pleasant","Hot")))</f>
        <v>Cold</v>
      </c>
      <c r="Q704">
        <v>0.75</v>
      </c>
      <c r="R704" t="str">
        <f>IF(Q704&lt;=0.25,"Low ",IF(Q704&lt;=0.5,"Moderate ",IF(Q704&lt;=0.75,"High ","Very High ")))</f>
        <v xml:space="preserve">High </v>
      </c>
      <c r="S704">
        <v>0</v>
      </c>
      <c r="T704" t="str">
        <f>IF(S704&lt;=0.15,"Calm",IF(S704&lt;=0.3,"Light Wind",IF(S704&lt;=0.45,"Moderate Wind","Strong Wind")))</f>
        <v>Calm</v>
      </c>
      <c r="U704">
        <v>7</v>
      </c>
      <c r="V704">
        <v>45</v>
      </c>
      <c r="W704">
        <v>52</v>
      </c>
      <c r="X704" t="str">
        <f>IF(W704&lt;=75,"Low Demand",IF(W704&lt;=150,"Medium Demand",IF(W704&lt;=225,"High Demand","Very High Demand")))</f>
        <v>Low Demand</v>
      </c>
    </row>
    <row r="705" spans="1:24" x14ac:dyDescent="0.25">
      <c r="A705">
        <v>704</v>
      </c>
      <c r="B705" s="2">
        <v>40575</v>
      </c>
      <c r="C705">
        <v>1</v>
      </c>
      <c r="D705">
        <v>0</v>
      </c>
      <c r="E705">
        <v>2</v>
      </c>
      <c r="F705">
        <v>16</v>
      </c>
      <c r="G705" t="str">
        <f>IF(F705&lt;6,"Night",IF(F705&lt;12,"Morning",IF(F705&lt;18,"Afternoon","Evening")))</f>
        <v>Afternoon</v>
      </c>
      <c r="H705">
        <v>0</v>
      </c>
      <c r="I705">
        <v>2</v>
      </c>
      <c r="J705" t="str">
        <f>CHOOSE(I705+1,"Monday","Tuesday","Wednesday","Thursday","Friday","Saturday","Sunday")</f>
        <v>Wednesday</v>
      </c>
      <c r="K705">
        <v>2</v>
      </c>
      <c r="L705" t="str">
        <f>CHOOSE(K705+1,"error","Clear","Misty","Rainy","Severe heater")</f>
        <v>Misty</v>
      </c>
      <c r="M705" s="1">
        <v>0.22</v>
      </c>
      <c r="N705" t="str">
        <f>IF(M705&lt;=0.2,"Low",IF(M705&lt;=0.4,"Mid","High"))</f>
        <v>Mid</v>
      </c>
      <c r="O705" s="1">
        <v>0.2273</v>
      </c>
      <c r="P705" t="str">
        <f>IF(O705&lt;=0.15,"Very Cold",IF(O705&lt;=0.3,"Cold",IF(O705&lt;=0.45,"Pleasant","Hot")))</f>
        <v>Cold</v>
      </c>
      <c r="Q705">
        <v>0.75</v>
      </c>
      <c r="R705" t="str">
        <f>IF(Q705&lt;=0.25,"Low ",IF(Q705&lt;=0.5,"Moderate ",IF(Q705&lt;=0.75,"High ","Very High ")))</f>
        <v xml:space="preserve">High </v>
      </c>
      <c r="S705">
        <v>0.1343</v>
      </c>
      <c r="T705" t="str">
        <f>IF(S705&lt;=0.15,"Calm",IF(S705&lt;=0.3,"Light Wind",IF(S705&lt;=0.45,"Moderate Wind","Strong Wind")))</f>
        <v>Calm</v>
      </c>
      <c r="U705">
        <v>3</v>
      </c>
      <c r="V705">
        <v>61</v>
      </c>
      <c r="W705">
        <v>64</v>
      </c>
      <c r="X705" t="str">
        <f>IF(W705&lt;=75,"Low Demand",IF(W705&lt;=150,"Medium Demand",IF(W705&lt;=225,"High Demand","Very High Demand")))</f>
        <v>Low Demand</v>
      </c>
    </row>
    <row r="706" spans="1:24" x14ac:dyDescent="0.25">
      <c r="A706">
        <v>705</v>
      </c>
      <c r="B706" s="2">
        <v>40575</v>
      </c>
      <c r="C706">
        <v>1</v>
      </c>
      <c r="D706">
        <v>0</v>
      </c>
      <c r="E706">
        <v>2</v>
      </c>
      <c r="F706">
        <v>17</v>
      </c>
      <c r="G706" t="str">
        <f>IF(F706&lt;6,"Night",IF(F706&lt;12,"Morning",IF(F706&lt;18,"Afternoon","Evening")))</f>
        <v>Afternoon</v>
      </c>
      <c r="H706">
        <v>0</v>
      </c>
      <c r="I706">
        <v>2</v>
      </c>
      <c r="J706" t="str">
        <f>CHOOSE(I706+1,"Monday","Tuesday","Wednesday","Thursday","Friday","Saturday","Sunday")</f>
        <v>Wednesday</v>
      </c>
      <c r="K706">
        <v>2</v>
      </c>
      <c r="L706" t="str">
        <f>CHOOSE(K706+1,"error","Clear","Misty","Rainy","Severe heater")</f>
        <v>Misty</v>
      </c>
      <c r="M706" s="1">
        <v>0.22</v>
      </c>
      <c r="N706" t="str">
        <f>IF(M706&lt;=0.2,"Low",IF(M706&lt;=0.4,"Mid","High"))</f>
        <v>Mid</v>
      </c>
      <c r="O706" s="1">
        <v>0.2273</v>
      </c>
      <c r="P706" t="str">
        <f>IF(O706&lt;=0.15,"Very Cold",IF(O706&lt;=0.3,"Cold",IF(O706&lt;=0.45,"Pleasant","Hot")))</f>
        <v>Cold</v>
      </c>
      <c r="Q706">
        <v>0.75</v>
      </c>
      <c r="R706" t="str">
        <f>IF(Q706&lt;=0.25,"Low ",IF(Q706&lt;=0.5,"Moderate ",IF(Q706&lt;=0.75,"High ","Very High ")))</f>
        <v xml:space="preserve">High </v>
      </c>
      <c r="S706">
        <v>0</v>
      </c>
      <c r="T706" t="str">
        <f>IF(S706&lt;=0.15,"Calm",IF(S706&lt;=0.3,"Light Wind",IF(S706&lt;=0.45,"Moderate Wind","Strong Wind")))</f>
        <v>Calm</v>
      </c>
      <c r="U706">
        <v>4</v>
      </c>
      <c r="V706">
        <v>172</v>
      </c>
      <c r="W706">
        <v>176</v>
      </c>
      <c r="X706" t="str">
        <f>IF(W706&lt;=75,"Low Demand",IF(W706&lt;=150,"Medium Demand",IF(W706&lt;=225,"High Demand","Very High Demand")))</f>
        <v>High Demand</v>
      </c>
    </row>
    <row r="707" spans="1:24" x14ac:dyDescent="0.25">
      <c r="A707">
        <v>706</v>
      </c>
      <c r="B707" s="2">
        <v>40575</v>
      </c>
      <c r="C707">
        <v>1</v>
      </c>
      <c r="D707">
        <v>0</v>
      </c>
      <c r="E707">
        <v>2</v>
      </c>
      <c r="F707">
        <v>18</v>
      </c>
      <c r="G707" t="str">
        <f>IF(F707&lt;6,"Night",IF(F707&lt;12,"Morning",IF(F707&lt;18,"Afternoon","Evening")))</f>
        <v>Evening</v>
      </c>
      <c r="H707">
        <v>0</v>
      </c>
      <c r="I707">
        <v>2</v>
      </c>
      <c r="J707" t="str">
        <f>CHOOSE(I707+1,"Monday","Tuesday","Wednesday","Thursday","Friday","Saturday","Sunday")</f>
        <v>Wednesday</v>
      </c>
      <c r="K707">
        <v>2</v>
      </c>
      <c r="L707" t="str">
        <f>CHOOSE(K707+1,"error","Clear","Misty","Rainy","Severe heater")</f>
        <v>Misty</v>
      </c>
      <c r="M707" s="1">
        <v>0.22</v>
      </c>
      <c r="N707" t="str">
        <f>IF(M707&lt;=0.2,"Low",IF(M707&lt;=0.4,"Mid","High"))</f>
        <v>Mid</v>
      </c>
      <c r="O707" s="1">
        <v>0.2273</v>
      </c>
      <c r="P707" t="str">
        <f>IF(O707&lt;=0.15,"Very Cold",IF(O707&lt;=0.3,"Cold",IF(O707&lt;=0.45,"Pleasant","Hot")))</f>
        <v>Cold</v>
      </c>
      <c r="Q707">
        <v>0.81</v>
      </c>
      <c r="R707" t="str">
        <f>IF(Q707&lt;=0.25,"Low ",IF(Q707&lt;=0.5,"Moderate ",IF(Q707&lt;=0.75,"High ","Very High ")))</f>
        <v xml:space="preserve">Very High </v>
      </c>
      <c r="S707">
        <v>0.1045</v>
      </c>
      <c r="T707" t="str">
        <f>IF(S707&lt;=0.15,"Calm",IF(S707&lt;=0.3,"Light Wind",IF(S707&lt;=0.45,"Moderate Wind","Strong Wind")))</f>
        <v>Calm</v>
      </c>
      <c r="U707">
        <v>3</v>
      </c>
      <c r="V707">
        <v>165</v>
      </c>
      <c r="W707">
        <v>168</v>
      </c>
      <c r="X707" t="str">
        <f>IF(W707&lt;=75,"Low Demand",IF(W707&lt;=150,"Medium Demand",IF(W707&lt;=225,"High Demand","Very High Demand")))</f>
        <v>High Demand</v>
      </c>
    </row>
    <row r="708" spans="1:24" x14ac:dyDescent="0.25">
      <c r="A708">
        <v>707</v>
      </c>
      <c r="B708" s="2">
        <v>40575</v>
      </c>
      <c r="C708">
        <v>1</v>
      </c>
      <c r="D708">
        <v>0</v>
      </c>
      <c r="E708">
        <v>2</v>
      </c>
      <c r="F708">
        <v>19</v>
      </c>
      <c r="G708" t="str">
        <f>IF(F708&lt;6,"Night",IF(F708&lt;12,"Morning",IF(F708&lt;18,"Afternoon","Evening")))</f>
        <v>Evening</v>
      </c>
      <c r="H708">
        <v>0</v>
      </c>
      <c r="I708">
        <v>2</v>
      </c>
      <c r="J708" t="str">
        <f>CHOOSE(I708+1,"Monday","Tuesday","Wednesday","Thursday","Friday","Saturday","Sunday")</f>
        <v>Wednesday</v>
      </c>
      <c r="K708">
        <v>2</v>
      </c>
      <c r="L708" t="str">
        <f>CHOOSE(K708+1,"error","Clear","Misty","Rainy","Severe heater")</f>
        <v>Misty</v>
      </c>
      <c r="M708" s="1">
        <v>0.22</v>
      </c>
      <c r="N708" t="str">
        <f>IF(M708&lt;=0.2,"Low",IF(M708&lt;=0.4,"Mid","High"))</f>
        <v>Mid</v>
      </c>
      <c r="O708" s="1">
        <v>0.21210000000000001</v>
      </c>
      <c r="P708" t="str">
        <f>IF(O708&lt;=0.15,"Very Cold",IF(O708&lt;=0.3,"Cold",IF(O708&lt;=0.45,"Pleasant","Hot")))</f>
        <v>Cold</v>
      </c>
      <c r="Q708">
        <v>0.81</v>
      </c>
      <c r="R708" t="str">
        <f>IF(Q708&lt;=0.25,"Low ",IF(Q708&lt;=0.5,"Moderate ",IF(Q708&lt;=0.75,"High ","Very High ")))</f>
        <v xml:space="preserve">Very High </v>
      </c>
      <c r="S708">
        <v>0.1343</v>
      </c>
      <c r="T708" t="str">
        <f>IF(S708&lt;=0.15,"Calm",IF(S708&lt;=0.3,"Light Wind",IF(S708&lt;=0.45,"Moderate Wind","Strong Wind")))</f>
        <v>Calm</v>
      </c>
      <c r="U708">
        <v>3</v>
      </c>
      <c r="V708">
        <v>105</v>
      </c>
      <c r="W708">
        <v>108</v>
      </c>
      <c r="X708" t="str">
        <f>IF(W708&lt;=75,"Low Demand",IF(W708&lt;=150,"Medium Demand",IF(W708&lt;=225,"High Demand","Very High Demand")))</f>
        <v>Medium Demand</v>
      </c>
    </row>
    <row r="709" spans="1:24" x14ac:dyDescent="0.25">
      <c r="A709">
        <v>708</v>
      </c>
      <c r="B709" s="2">
        <v>40575</v>
      </c>
      <c r="C709">
        <v>1</v>
      </c>
      <c r="D709">
        <v>0</v>
      </c>
      <c r="E709">
        <v>2</v>
      </c>
      <c r="F709">
        <v>20</v>
      </c>
      <c r="G709" t="str">
        <f>IF(F709&lt;6,"Night",IF(F709&lt;12,"Morning",IF(F709&lt;18,"Afternoon","Evening")))</f>
        <v>Evening</v>
      </c>
      <c r="H709">
        <v>0</v>
      </c>
      <c r="I709">
        <v>2</v>
      </c>
      <c r="J709" t="str">
        <f>CHOOSE(I709+1,"Monday","Tuesday","Wednesday","Thursday","Friday","Saturday","Sunday")</f>
        <v>Wednesday</v>
      </c>
      <c r="K709">
        <v>2</v>
      </c>
      <c r="L709" t="str">
        <f>CHOOSE(K709+1,"error","Clear","Misty","Rainy","Severe heater")</f>
        <v>Misty</v>
      </c>
      <c r="M709" s="1">
        <v>0.22</v>
      </c>
      <c r="N709" t="str">
        <f>IF(M709&lt;=0.2,"Low",IF(M709&lt;=0.4,"Mid","High"))</f>
        <v>Mid</v>
      </c>
      <c r="O709" s="1">
        <v>0.2424</v>
      </c>
      <c r="P709" t="str">
        <f>IF(O709&lt;=0.15,"Very Cold",IF(O709&lt;=0.3,"Cold",IF(O709&lt;=0.45,"Pleasant","Hot")))</f>
        <v>Cold</v>
      </c>
      <c r="Q709">
        <v>0.87</v>
      </c>
      <c r="R709" t="str">
        <f>IF(Q709&lt;=0.25,"Low ",IF(Q709&lt;=0.5,"Moderate ",IF(Q709&lt;=0.75,"High ","Very High ")))</f>
        <v xml:space="preserve">Very High </v>
      </c>
      <c r="S709">
        <v>0.1343</v>
      </c>
      <c r="T709" t="str">
        <f>IF(S709&lt;=0.15,"Calm",IF(S709&lt;=0.3,"Light Wind",IF(S709&lt;=0.45,"Moderate Wind","Strong Wind")))</f>
        <v>Calm</v>
      </c>
      <c r="U709">
        <v>5</v>
      </c>
      <c r="V709">
        <v>69</v>
      </c>
      <c r="W709">
        <v>74</v>
      </c>
      <c r="X709" t="str">
        <f>IF(W709&lt;=75,"Low Demand",IF(W709&lt;=150,"Medium Demand",IF(W709&lt;=225,"High Demand","Very High Demand")))</f>
        <v>Low Demand</v>
      </c>
    </row>
    <row r="710" spans="1:24" x14ac:dyDescent="0.25">
      <c r="A710">
        <v>709</v>
      </c>
      <c r="B710" s="2">
        <v>40575</v>
      </c>
      <c r="C710">
        <v>1</v>
      </c>
      <c r="D710">
        <v>0</v>
      </c>
      <c r="E710">
        <v>2</v>
      </c>
      <c r="F710">
        <v>21</v>
      </c>
      <c r="G710" t="str">
        <f>IF(F710&lt;6,"Night",IF(F710&lt;12,"Morning",IF(F710&lt;18,"Afternoon","Evening")))</f>
        <v>Evening</v>
      </c>
      <c r="H710">
        <v>0</v>
      </c>
      <c r="I710">
        <v>2</v>
      </c>
      <c r="J710" t="str">
        <f>CHOOSE(I710+1,"Monday","Tuesday","Wednesday","Thursday","Friday","Saturday","Sunday")</f>
        <v>Wednesday</v>
      </c>
      <c r="K710">
        <v>2</v>
      </c>
      <c r="L710" t="str">
        <f>CHOOSE(K710+1,"error","Clear","Misty","Rainy","Severe heater")</f>
        <v>Misty</v>
      </c>
      <c r="M710" s="1">
        <v>0.22</v>
      </c>
      <c r="N710" t="str">
        <f>IF(M710&lt;=0.2,"Low",IF(M710&lt;=0.4,"Mid","High"))</f>
        <v>Mid</v>
      </c>
      <c r="O710" s="1">
        <v>0.2424</v>
      </c>
      <c r="P710" t="str">
        <f>IF(O710&lt;=0.15,"Very Cold",IF(O710&lt;=0.3,"Cold",IF(O710&lt;=0.45,"Pleasant","Hot")))</f>
        <v>Cold</v>
      </c>
      <c r="Q710">
        <v>0.87</v>
      </c>
      <c r="R710" t="str">
        <f>IF(Q710&lt;=0.25,"Low ",IF(Q710&lt;=0.5,"Moderate ",IF(Q710&lt;=0.75,"High ","Very High ")))</f>
        <v xml:space="preserve">Very High </v>
      </c>
      <c r="S710">
        <v>0.1343</v>
      </c>
      <c r="T710" t="str">
        <f>IF(S710&lt;=0.15,"Calm",IF(S710&lt;=0.3,"Light Wind",IF(S710&lt;=0.45,"Moderate Wind","Strong Wind")))</f>
        <v>Calm</v>
      </c>
      <c r="U710">
        <v>0</v>
      </c>
      <c r="V710">
        <v>64</v>
      </c>
      <c r="W710">
        <v>64</v>
      </c>
      <c r="X710" t="str">
        <f>IF(W710&lt;=75,"Low Demand",IF(W710&lt;=150,"Medium Demand",IF(W710&lt;=225,"High Demand","Very High Demand")))</f>
        <v>Low Demand</v>
      </c>
    </row>
    <row r="711" spans="1:24" x14ac:dyDescent="0.25">
      <c r="A711">
        <v>710</v>
      </c>
      <c r="B711" s="2">
        <v>40575</v>
      </c>
      <c r="C711">
        <v>1</v>
      </c>
      <c r="D711">
        <v>0</v>
      </c>
      <c r="E711">
        <v>2</v>
      </c>
      <c r="F711">
        <v>22</v>
      </c>
      <c r="G711" t="str">
        <f>IF(F711&lt;6,"Night",IF(F711&lt;12,"Morning",IF(F711&lt;18,"Afternoon","Evening")))</f>
        <v>Evening</v>
      </c>
      <c r="H711">
        <v>0</v>
      </c>
      <c r="I711">
        <v>2</v>
      </c>
      <c r="J711" t="str">
        <f>CHOOSE(I711+1,"Monday","Tuesday","Wednesday","Thursday","Friday","Saturday","Sunday")</f>
        <v>Wednesday</v>
      </c>
      <c r="K711">
        <v>2</v>
      </c>
      <c r="L711" t="str">
        <f>CHOOSE(K711+1,"error","Clear","Misty","Rainy","Severe heater")</f>
        <v>Misty</v>
      </c>
      <c r="M711" s="1">
        <v>0.22</v>
      </c>
      <c r="N711" t="str">
        <f>IF(M711&lt;=0.2,"Low",IF(M711&lt;=0.4,"Mid","High"))</f>
        <v>Mid</v>
      </c>
      <c r="O711" s="1">
        <v>0.21210000000000001</v>
      </c>
      <c r="P711" t="str">
        <f>IF(O711&lt;=0.15,"Very Cold",IF(O711&lt;=0.3,"Cold",IF(O711&lt;=0.45,"Pleasant","Hot")))</f>
        <v>Cold</v>
      </c>
      <c r="Q711">
        <v>0.87</v>
      </c>
      <c r="R711" t="str">
        <f>IF(Q711&lt;=0.25,"Low ",IF(Q711&lt;=0.5,"Moderate ",IF(Q711&lt;=0.75,"High ","Very High ")))</f>
        <v xml:space="preserve">Very High </v>
      </c>
      <c r="S711">
        <v>8.9599999999999999E-2</v>
      </c>
      <c r="T711" t="str">
        <f>IF(S711&lt;=0.15,"Calm",IF(S711&lt;=0.3,"Light Wind",IF(S711&lt;=0.45,"Moderate Wind","Strong Wind")))</f>
        <v>Calm</v>
      </c>
      <c r="U711">
        <v>2</v>
      </c>
      <c r="V711">
        <v>34</v>
      </c>
      <c r="W711">
        <v>36</v>
      </c>
      <c r="X711" t="str">
        <f>IF(W711&lt;=75,"Low Demand",IF(W711&lt;=150,"Medium Demand",IF(W711&lt;=225,"High Demand","Very High Demand")))</f>
        <v>Low Demand</v>
      </c>
    </row>
    <row r="712" spans="1:24" x14ac:dyDescent="0.25">
      <c r="A712">
        <v>711</v>
      </c>
      <c r="B712" s="2">
        <v>40575</v>
      </c>
      <c r="C712">
        <v>1</v>
      </c>
      <c r="D712">
        <v>0</v>
      </c>
      <c r="E712">
        <v>2</v>
      </c>
      <c r="F712">
        <v>23</v>
      </c>
      <c r="G712" t="str">
        <f>IF(F712&lt;6,"Night",IF(F712&lt;12,"Morning",IF(F712&lt;18,"Afternoon","Evening")))</f>
        <v>Evening</v>
      </c>
      <c r="H712">
        <v>0</v>
      </c>
      <c r="I712">
        <v>2</v>
      </c>
      <c r="J712" t="str">
        <f>CHOOSE(I712+1,"Monday","Tuesday","Wednesday","Thursday","Friday","Saturday","Sunday")</f>
        <v>Wednesday</v>
      </c>
      <c r="K712">
        <v>3</v>
      </c>
      <c r="L712" t="str">
        <f>CHOOSE(K712+1,"error","Clear","Misty","Rainy","Severe heater")</f>
        <v>Rainy</v>
      </c>
      <c r="M712" s="1">
        <v>0.22</v>
      </c>
      <c r="N712" t="str">
        <f>IF(M712&lt;=0.2,"Low",IF(M712&lt;=0.4,"Mid","High"))</f>
        <v>Mid</v>
      </c>
      <c r="O712" s="1">
        <v>0.21210000000000001</v>
      </c>
      <c r="P712" t="str">
        <f>IF(O712&lt;=0.15,"Very Cold",IF(O712&lt;=0.3,"Cold",IF(O712&lt;=0.45,"Pleasant","Hot")))</f>
        <v>Cold</v>
      </c>
      <c r="Q712">
        <v>0.93</v>
      </c>
      <c r="R712" t="str">
        <f>IF(Q712&lt;=0.25,"Low ",IF(Q712&lt;=0.5,"Moderate ",IF(Q712&lt;=0.75,"High ","Very High ")))</f>
        <v xml:space="preserve">Very High </v>
      </c>
      <c r="S712">
        <v>0.19400000000000001</v>
      </c>
      <c r="T712" t="str">
        <f>IF(S712&lt;=0.15,"Calm",IF(S712&lt;=0.3,"Light Wind",IF(S712&lt;=0.45,"Moderate Wind","Strong Wind")))</f>
        <v>Light Wind</v>
      </c>
      <c r="U712">
        <v>1</v>
      </c>
      <c r="V712">
        <v>15</v>
      </c>
      <c r="W712">
        <v>16</v>
      </c>
      <c r="X712" t="str">
        <f>IF(W712&lt;=75,"Low Demand",IF(W712&lt;=150,"Medium Demand",IF(W712&lt;=225,"High Demand","Very High Demand")))</f>
        <v>Low Demand</v>
      </c>
    </row>
    <row r="713" spans="1:24" x14ac:dyDescent="0.25">
      <c r="A713">
        <v>712</v>
      </c>
      <c r="B713" s="2">
        <v>40576</v>
      </c>
      <c r="C713">
        <v>1</v>
      </c>
      <c r="D713">
        <v>0</v>
      </c>
      <c r="E713">
        <v>2</v>
      </c>
      <c r="F713">
        <v>0</v>
      </c>
      <c r="G713" t="str">
        <f>IF(F713&lt;6,"Night",IF(F713&lt;12,"Morning",IF(F713&lt;18,"Afternoon","Evening")))</f>
        <v>Night</v>
      </c>
      <c r="H713">
        <v>0</v>
      </c>
      <c r="I713">
        <v>3</v>
      </c>
      <c r="J713" t="str">
        <f>CHOOSE(I713+1,"Monday","Tuesday","Wednesday","Thursday","Friday","Saturday","Sunday")</f>
        <v>Thursday</v>
      </c>
      <c r="K713">
        <v>3</v>
      </c>
      <c r="L713" t="str">
        <f>CHOOSE(K713+1,"error","Clear","Misty","Rainy","Severe heater")</f>
        <v>Rainy</v>
      </c>
      <c r="M713" s="1">
        <v>0.24</v>
      </c>
      <c r="N713" t="str">
        <f>IF(M713&lt;=0.2,"Low",IF(M713&lt;=0.4,"Mid","High"))</f>
        <v>Mid</v>
      </c>
      <c r="O713" s="1">
        <v>0.2576</v>
      </c>
      <c r="P713" t="str">
        <f>IF(O713&lt;=0.15,"Very Cold",IF(O713&lt;=0.3,"Cold",IF(O713&lt;=0.45,"Pleasant","Hot")))</f>
        <v>Cold</v>
      </c>
      <c r="Q713">
        <v>0.93</v>
      </c>
      <c r="R713" t="str">
        <f>IF(Q713&lt;=0.25,"Low ",IF(Q713&lt;=0.5,"Moderate ",IF(Q713&lt;=0.75,"High ","Very High ")))</f>
        <v xml:space="preserve">Very High </v>
      </c>
      <c r="S713">
        <v>0.1045</v>
      </c>
      <c r="T713" t="str">
        <f>IF(S713&lt;=0.15,"Calm",IF(S713&lt;=0.3,"Light Wind",IF(S713&lt;=0.45,"Moderate Wind","Strong Wind")))</f>
        <v>Calm</v>
      </c>
      <c r="U713">
        <v>0</v>
      </c>
      <c r="V713">
        <v>2</v>
      </c>
      <c r="W713">
        <v>2</v>
      </c>
      <c r="X713" t="str">
        <f>IF(W713&lt;=75,"Low Demand",IF(W713&lt;=150,"Medium Demand",IF(W713&lt;=225,"High Demand","Very High Demand")))</f>
        <v>Low Demand</v>
      </c>
    </row>
    <row r="714" spans="1:24" x14ac:dyDescent="0.25">
      <c r="A714">
        <v>713</v>
      </c>
      <c r="B714" s="2">
        <v>40576</v>
      </c>
      <c r="C714">
        <v>1</v>
      </c>
      <c r="D714">
        <v>0</v>
      </c>
      <c r="E714">
        <v>2</v>
      </c>
      <c r="F714">
        <v>1</v>
      </c>
      <c r="G714" t="str">
        <f>IF(F714&lt;6,"Night",IF(F714&lt;12,"Morning",IF(F714&lt;18,"Afternoon","Evening")))</f>
        <v>Night</v>
      </c>
      <c r="H714">
        <v>0</v>
      </c>
      <c r="I714">
        <v>3</v>
      </c>
      <c r="J714" t="str">
        <f>CHOOSE(I714+1,"Monday","Tuesday","Wednesday","Thursday","Friday","Saturday","Sunday")</f>
        <v>Thursday</v>
      </c>
      <c r="K714">
        <v>3</v>
      </c>
      <c r="L714" t="str">
        <f>CHOOSE(K714+1,"error","Clear","Misty","Rainy","Severe heater")</f>
        <v>Rainy</v>
      </c>
      <c r="M714" s="1">
        <v>0.22</v>
      </c>
      <c r="N714" t="str">
        <f>IF(M714&lt;=0.2,"Low",IF(M714&lt;=0.4,"Mid","High"))</f>
        <v>Mid</v>
      </c>
      <c r="O714" s="1">
        <v>0.2727</v>
      </c>
      <c r="P714" t="str">
        <f>IF(O714&lt;=0.15,"Very Cold",IF(O714&lt;=0.3,"Cold",IF(O714&lt;=0.45,"Pleasant","Hot")))</f>
        <v>Cold</v>
      </c>
      <c r="Q714">
        <v>0.93</v>
      </c>
      <c r="R714" t="str">
        <f>IF(Q714&lt;=0.25,"Low ",IF(Q714&lt;=0.5,"Moderate ",IF(Q714&lt;=0.75,"High ","Very High ")))</f>
        <v xml:space="preserve">Very High </v>
      </c>
      <c r="S714">
        <v>0.19400000000000001</v>
      </c>
      <c r="T714" t="str">
        <f>IF(S714&lt;=0.15,"Calm",IF(S714&lt;=0.3,"Light Wind",IF(S714&lt;=0.45,"Moderate Wind","Strong Wind")))</f>
        <v>Light Wind</v>
      </c>
      <c r="U714">
        <v>0</v>
      </c>
      <c r="V714">
        <v>3</v>
      </c>
      <c r="W714">
        <v>3</v>
      </c>
      <c r="X714" t="str">
        <f>IF(W714&lt;=75,"Low Demand",IF(W714&lt;=150,"Medium Demand",IF(W714&lt;=225,"High Demand","Very High Demand")))</f>
        <v>Low Demand</v>
      </c>
    </row>
    <row r="715" spans="1:24" x14ac:dyDescent="0.25">
      <c r="A715">
        <v>714</v>
      </c>
      <c r="B715" s="2">
        <v>40576</v>
      </c>
      <c r="C715">
        <v>1</v>
      </c>
      <c r="D715">
        <v>0</v>
      </c>
      <c r="E715">
        <v>2</v>
      </c>
      <c r="F715">
        <v>2</v>
      </c>
      <c r="G715" t="str">
        <f>IF(F715&lt;6,"Night",IF(F715&lt;12,"Morning",IF(F715&lt;18,"Afternoon","Evening")))</f>
        <v>Night</v>
      </c>
      <c r="H715">
        <v>0</v>
      </c>
      <c r="I715">
        <v>3</v>
      </c>
      <c r="J715" t="str">
        <f>CHOOSE(I715+1,"Monday","Tuesday","Wednesday","Thursday","Friday","Saturday","Sunday")</f>
        <v>Thursday</v>
      </c>
      <c r="K715">
        <v>3</v>
      </c>
      <c r="L715" t="str">
        <f>CHOOSE(K715+1,"error","Clear","Misty","Rainy","Severe heater")</f>
        <v>Rainy</v>
      </c>
      <c r="M715" s="1">
        <v>0.24</v>
      </c>
      <c r="N715" t="str">
        <f>IF(M715&lt;=0.2,"Low",IF(M715&lt;=0.4,"Mid","High"))</f>
        <v>Mid</v>
      </c>
      <c r="O715" s="1">
        <v>0.2273</v>
      </c>
      <c r="P715" t="str">
        <f>IF(O715&lt;=0.15,"Very Cold",IF(O715&lt;=0.3,"Cold",IF(O715&lt;=0.45,"Pleasant","Hot")))</f>
        <v>Cold</v>
      </c>
      <c r="Q715">
        <v>0.93</v>
      </c>
      <c r="R715" t="str">
        <f>IF(Q715&lt;=0.25,"Low ",IF(Q715&lt;=0.5,"Moderate ",IF(Q715&lt;=0.75,"High ","Very High ")))</f>
        <v xml:space="preserve">Very High </v>
      </c>
      <c r="S715">
        <v>0.1343</v>
      </c>
      <c r="T715" t="str">
        <f>IF(S715&lt;=0.15,"Calm",IF(S715&lt;=0.3,"Light Wind",IF(S715&lt;=0.45,"Moderate Wind","Strong Wind")))</f>
        <v>Calm</v>
      </c>
      <c r="U715">
        <v>4</v>
      </c>
      <c r="V715">
        <v>0</v>
      </c>
      <c r="W715">
        <v>4</v>
      </c>
      <c r="X715" t="str">
        <f>IF(W715&lt;=75,"Low Demand",IF(W715&lt;=150,"Medium Demand",IF(W715&lt;=225,"High Demand","Very High Demand")))</f>
        <v>Low Demand</v>
      </c>
    </row>
    <row r="716" spans="1:24" x14ac:dyDescent="0.25">
      <c r="A716">
        <v>715</v>
      </c>
      <c r="B716" s="2">
        <v>40576</v>
      </c>
      <c r="C716">
        <v>1</v>
      </c>
      <c r="D716">
        <v>0</v>
      </c>
      <c r="E716">
        <v>2</v>
      </c>
      <c r="F716">
        <v>3</v>
      </c>
      <c r="G716" t="str">
        <f>IF(F716&lt;6,"Night",IF(F716&lt;12,"Morning",IF(F716&lt;18,"Afternoon","Evening")))</f>
        <v>Night</v>
      </c>
      <c r="H716">
        <v>0</v>
      </c>
      <c r="I716">
        <v>3</v>
      </c>
      <c r="J716" t="str">
        <f>CHOOSE(I716+1,"Monday","Tuesday","Wednesday","Thursday","Friday","Saturday","Sunday")</f>
        <v>Thursday</v>
      </c>
      <c r="K716">
        <v>3</v>
      </c>
      <c r="L716" t="str">
        <f>CHOOSE(K716+1,"error","Clear","Misty","Rainy","Severe heater")</f>
        <v>Rainy</v>
      </c>
      <c r="M716" s="1">
        <v>0.24</v>
      </c>
      <c r="N716" t="str">
        <f>IF(M716&lt;=0.2,"Low",IF(M716&lt;=0.4,"Mid","High"))</f>
        <v>Mid</v>
      </c>
      <c r="O716" s="1">
        <v>0.2273</v>
      </c>
      <c r="P716" t="str">
        <f>IF(O716&lt;=0.15,"Very Cold",IF(O716&lt;=0.3,"Cold",IF(O716&lt;=0.45,"Pleasant","Hot")))</f>
        <v>Cold</v>
      </c>
      <c r="Q716">
        <v>0.93</v>
      </c>
      <c r="R716" t="str">
        <f>IF(Q716&lt;=0.25,"Low ",IF(Q716&lt;=0.5,"Moderate ",IF(Q716&lt;=0.75,"High ","Very High ")))</f>
        <v xml:space="preserve">Very High </v>
      </c>
      <c r="S716">
        <v>0.1343</v>
      </c>
      <c r="T716" t="str">
        <f>IF(S716&lt;=0.15,"Calm",IF(S716&lt;=0.3,"Light Wind",IF(S716&lt;=0.45,"Moderate Wind","Strong Wind")))</f>
        <v>Calm</v>
      </c>
      <c r="U716">
        <v>0</v>
      </c>
      <c r="V716">
        <v>1</v>
      </c>
      <c r="W716">
        <v>1</v>
      </c>
      <c r="X716" t="str">
        <f>IF(W716&lt;=75,"Low Demand",IF(W716&lt;=150,"Medium Demand",IF(W716&lt;=225,"High Demand","Very High Demand")))</f>
        <v>Low Demand</v>
      </c>
    </row>
    <row r="717" spans="1:24" x14ac:dyDescent="0.25">
      <c r="A717">
        <v>716</v>
      </c>
      <c r="B717" s="2">
        <v>40576</v>
      </c>
      <c r="C717">
        <v>1</v>
      </c>
      <c r="D717">
        <v>0</v>
      </c>
      <c r="E717">
        <v>2</v>
      </c>
      <c r="F717">
        <v>4</v>
      </c>
      <c r="G717" t="str">
        <f>IF(F717&lt;6,"Night",IF(F717&lt;12,"Morning",IF(F717&lt;18,"Afternoon","Evening")))</f>
        <v>Night</v>
      </c>
      <c r="H717">
        <v>0</v>
      </c>
      <c r="I717">
        <v>3</v>
      </c>
      <c r="J717" t="str">
        <f>CHOOSE(I717+1,"Monday","Tuesday","Wednesday","Thursday","Friday","Saturday","Sunday")</f>
        <v>Thursday</v>
      </c>
      <c r="K717">
        <v>3</v>
      </c>
      <c r="L717" t="str">
        <f>CHOOSE(K717+1,"error","Clear","Misty","Rainy","Severe heater")</f>
        <v>Rainy</v>
      </c>
      <c r="M717" s="1">
        <v>0.34</v>
      </c>
      <c r="N717" t="str">
        <f>IF(M717&lt;=0.2,"Low",IF(M717&lt;=0.4,"Mid","High"))</f>
        <v>Mid</v>
      </c>
      <c r="O717" s="1">
        <v>0.33329999999999999</v>
      </c>
      <c r="P717" t="str">
        <f>IF(O717&lt;=0.15,"Very Cold",IF(O717&lt;=0.3,"Cold",IF(O717&lt;=0.45,"Pleasant","Hot")))</f>
        <v>Pleasant</v>
      </c>
      <c r="Q717">
        <v>0.93</v>
      </c>
      <c r="R717" t="str">
        <f>IF(Q717&lt;=0.25,"Low ",IF(Q717&lt;=0.5,"Moderate ",IF(Q717&lt;=0.75,"High ","Very High ")))</f>
        <v xml:space="preserve">Very High </v>
      </c>
      <c r="S717">
        <v>0.28360000000000002</v>
      </c>
      <c r="T717" t="str">
        <f>IF(S717&lt;=0.15,"Calm",IF(S717&lt;=0.3,"Light Wind",IF(S717&lt;=0.45,"Moderate Wind","Strong Wind")))</f>
        <v>Light Wind</v>
      </c>
      <c r="U717">
        <v>0</v>
      </c>
      <c r="V717">
        <v>1</v>
      </c>
      <c r="W717">
        <v>1</v>
      </c>
      <c r="X717" t="str">
        <f>IF(W717&lt;=75,"Low Demand",IF(W717&lt;=150,"Medium Demand",IF(W717&lt;=225,"High Demand","Very High Demand")))</f>
        <v>Low Demand</v>
      </c>
    </row>
    <row r="718" spans="1:24" x14ac:dyDescent="0.25">
      <c r="A718">
        <v>717</v>
      </c>
      <c r="B718" s="2">
        <v>40576</v>
      </c>
      <c r="C718">
        <v>1</v>
      </c>
      <c r="D718">
        <v>0</v>
      </c>
      <c r="E718">
        <v>2</v>
      </c>
      <c r="F718">
        <v>5</v>
      </c>
      <c r="G718" t="str">
        <f>IF(F718&lt;6,"Night",IF(F718&lt;12,"Morning",IF(F718&lt;18,"Afternoon","Evening")))</f>
        <v>Night</v>
      </c>
      <c r="H718">
        <v>0</v>
      </c>
      <c r="I718">
        <v>3</v>
      </c>
      <c r="J718" t="str">
        <f>CHOOSE(I718+1,"Monday","Tuesday","Wednesday","Thursday","Friday","Saturday","Sunday")</f>
        <v>Thursday</v>
      </c>
      <c r="K718">
        <v>3</v>
      </c>
      <c r="L718" t="str">
        <f>CHOOSE(K718+1,"error","Clear","Misty","Rainy","Severe heater")</f>
        <v>Rainy</v>
      </c>
      <c r="M718" s="1">
        <v>0.38</v>
      </c>
      <c r="N718" t="str">
        <f>IF(M718&lt;=0.2,"Low",IF(M718&lt;=0.4,"Mid","High"))</f>
        <v>Mid</v>
      </c>
      <c r="O718" s="1">
        <v>0.39389999999999997</v>
      </c>
      <c r="P718" t="str">
        <f>IF(O718&lt;=0.15,"Very Cold",IF(O718&lt;=0.3,"Cold",IF(O718&lt;=0.45,"Pleasant","Hot")))</f>
        <v>Pleasant</v>
      </c>
      <c r="Q718">
        <v>0.93</v>
      </c>
      <c r="R718" t="str">
        <f>IF(Q718&lt;=0.25,"Low ",IF(Q718&lt;=0.5,"Moderate ",IF(Q718&lt;=0.75,"High ","Very High ")))</f>
        <v xml:space="preserve">Very High </v>
      </c>
      <c r="S718">
        <v>0.1045</v>
      </c>
      <c r="T718" t="str">
        <f>IF(S718&lt;=0.15,"Calm",IF(S718&lt;=0.3,"Light Wind",IF(S718&lt;=0.45,"Moderate Wind","Strong Wind")))</f>
        <v>Calm</v>
      </c>
      <c r="U718">
        <v>0</v>
      </c>
      <c r="V718">
        <v>3</v>
      </c>
      <c r="W718">
        <v>3</v>
      </c>
      <c r="X718" t="str">
        <f>IF(W718&lt;=75,"Low Demand",IF(W718&lt;=150,"Medium Demand",IF(W718&lt;=225,"High Demand","Very High Demand")))</f>
        <v>Low Demand</v>
      </c>
    </row>
    <row r="719" spans="1:24" x14ac:dyDescent="0.25">
      <c r="A719">
        <v>718</v>
      </c>
      <c r="B719" s="2">
        <v>40576</v>
      </c>
      <c r="C719">
        <v>1</v>
      </c>
      <c r="D719">
        <v>0</v>
      </c>
      <c r="E719">
        <v>2</v>
      </c>
      <c r="F719">
        <v>6</v>
      </c>
      <c r="G719" t="str">
        <f>IF(F719&lt;6,"Night",IF(F719&lt;12,"Morning",IF(F719&lt;18,"Afternoon","Evening")))</f>
        <v>Morning</v>
      </c>
      <c r="H719">
        <v>0</v>
      </c>
      <c r="I719">
        <v>3</v>
      </c>
      <c r="J719" t="str">
        <f>CHOOSE(I719+1,"Monday","Tuesday","Wednesday","Thursday","Friday","Saturday","Sunday")</f>
        <v>Thursday</v>
      </c>
      <c r="K719">
        <v>3</v>
      </c>
      <c r="L719" t="str">
        <f>CHOOSE(K719+1,"error","Clear","Misty","Rainy","Severe heater")</f>
        <v>Rainy</v>
      </c>
      <c r="M719" s="1">
        <v>0.38</v>
      </c>
      <c r="N719" t="str">
        <f>IF(M719&lt;=0.2,"Low",IF(M719&lt;=0.4,"Mid","High"))</f>
        <v>Mid</v>
      </c>
      <c r="O719" s="1">
        <v>0.39389999999999997</v>
      </c>
      <c r="P719" t="str">
        <f>IF(O719&lt;=0.15,"Very Cold",IF(O719&lt;=0.3,"Cold",IF(O719&lt;=0.45,"Pleasant","Hot")))</f>
        <v>Pleasant</v>
      </c>
      <c r="Q719">
        <v>0.93</v>
      </c>
      <c r="R719" t="str">
        <f>IF(Q719&lt;=0.25,"Low ",IF(Q719&lt;=0.5,"Moderate ",IF(Q719&lt;=0.75,"High ","Very High ")))</f>
        <v xml:space="preserve">Very High </v>
      </c>
      <c r="S719">
        <v>0.1045</v>
      </c>
      <c r="T719" t="str">
        <f>IF(S719&lt;=0.15,"Calm",IF(S719&lt;=0.3,"Light Wind",IF(S719&lt;=0.45,"Moderate Wind","Strong Wind")))</f>
        <v>Calm</v>
      </c>
      <c r="U719">
        <v>1</v>
      </c>
      <c r="V719">
        <v>17</v>
      </c>
      <c r="W719">
        <v>18</v>
      </c>
      <c r="X719" t="str">
        <f>IF(W719&lt;=75,"Low Demand",IF(W719&lt;=150,"Medium Demand",IF(W719&lt;=225,"High Demand","Very High Demand")))</f>
        <v>Low Demand</v>
      </c>
    </row>
    <row r="720" spans="1:24" x14ac:dyDescent="0.25">
      <c r="A720">
        <v>719</v>
      </c>
      <c r="B720" s="2">
        <v>40576</v>
      </c>
      <c r="C720">
        <v>1</v>
      </c>
      <c r="D720">
        <v>0</v>
      </c>
      <c r="E720">
        <v>2</v>
      </c>
      <c r="F720">
        <v>7</v>
      </c>
      <c r="G720" t="str">
        <f>IF(F720&lt;6,"Night",IF(F720&lt;12,"Morning",IF(F720&lt;18,"Afternoon","Evening")))</f>
        <v>Morning</v>
      </c>
      <c r="H720">
        <v>0</v>
      </c>
      <c r="I720">
        <v>3</v>
      </c>
      <c r="J720" t="str">
        <f>CHOOSE(I720+1,"Monday","Tuesday","Wednesday","Thursday","Friday","Saturday","Sunday")</f>
        <v>Thursday</v>
      </c>
      <c r="K720">
        <v>3</v>
      </c>
      <c r="L720" t="str">
        <f>CHOOSE(K720+1,"error","Clear","Misty","Rainy","Severe heater")</f>
        <v>Rainy</v>
      </c>
      <c r="M720" s="1">
        <v>0.36</v>
      </c>
      <c r="N720" t="str">
        <f>IF(M720&lt;=0.2,"Low",IF(M720&lt;=0.4,"Mid","High"))</f>
        <v>Mid</v>
      </c>
      <c r="O720" s="1">
        <v>0.33329999999999999</v>
      </c>
      <c r="P720" t="str">
        <f>IF(O720&lt;=0.15,"Very Cold",IF(O720&lt;=0.3,"Cold",IF(O720&lt;=0.45,"Pleasant","Hot")))</f>
        <v>Pleasant</v>
      </c>
      <c r="Q720">
        <v>0.93</v>
      </c>
      <c r="R720" t="str">
        <f>IF(Q720&lt;=0.25,"Low ",IF(Q720&lt;=0.5,"Moderate ",IF(Q720&lt;=0.75,"High ","Very High ")))</f>
        <v xml:space="preserve">Very High </v>
      </c>
      <c r="S720">
        <v>0.22389999999999999</v>
      </c>
      <c r="T720" t="str">
        <f>IF(S720&lt;=0.15,"Calm",IF(S720&lt;=0.3,"Light Wind",IF(S720&lt;=0.45,"Moderate Wind","Strong Wind")))</f>
        <v>Light Wind</v>
      </c>
      <c r="U720">
        <v>1</v>
      </c>
      <c r="V720">
        <v>48</v>
      </c>
      <c r="W720">
        <v>49</v>
      </c>
      <c r="X720" t="str">
        <f>IF(W720&lt;=75,"Low Demand",IF(W720&lt;=150,"Medium Demand",IF(W720&lt;=225,"High Demand","Very High Demand")))</f>
        <v>Low Demand</v>
      </c>
    </row>
    <row r="721" spans="1:24" x14ac:dyDescent="0.25">
      <c r="A721">
        <v>720</v>
      </c>
      <c r="B721" s="2">
        <v>40576</v>
      </c>
      <c r="C721">
        <v>1</v>
      </c>
      <c r="D721">
        <v>0</v>
      </c>
      <c r="E721">
        <v>2</v>
      </c>
      <c r="F721">
        <v>8</v>
      </c>
      <c r="G721" t="str">
        <f>IF(F721&lt;6,"Night",IF(F721&lt;12,"Morning",IF(F721&lt;18,"Afternoon","Evening")))</f>
        <v>Morning</v>
      </c>
      <c r="H721">
        <v>0</v>
      </c>
      <c r="I721">
        <v>3</v>
      </c>
      <c r="J721" t="str">
        <f>CHOOSE(I721+1,"Monday","Tuesday","Wednesday","Thursday","Friday","Saturday","Sunday")</f>
        <v>Thursday</v>
      </c>
      <c r="K721">
        <v>3</v>
      </c>
      <c r="L721" t="str">
        <f>CHOOSE(K721+1,"error","Clear","Misty","Rainy","Severe heater")</f>
        <v>Rainy</v>
      </c>
      <c r="M721" s="1">
        <v>0.36</v>
      </c>
      <c r="N721" t="str">
        <f>IF(M721&lt;=0.2,"Low",IF(M721&lt;=0.4,"Mid","High"))</f>
        <v>Mid</v>
      </c>
      <c r="O721" s="1">
        <v>0.31819999999999998</v>
      </c>
      <c r="P721" t="str">
        <f>IF(O721&lt;=0.15,"Very Cold",IF(O721&lt;=0.3,"Cold",IF(O721&lt;=0.45,"Pleasant","Hot")))</f>
        <v>Pleasant</v>
      </c>
      <c r="Q721">
        <v>0.93</v>
      </c>
      <c r="R721" t="str">
        <f>IF(Q721&lt;=0.25,"Low ",IF(Q721&lt;=0.5,"Moderate ",IF(Q721&lt;=0.75,"High ","Very High ")))</f>
        <v xml:space="preserve">Very High </v>
      </c>
      <c r="S721">
        <v>0.22389999999999999</v>
      </c>
      <c r="T721" t="str">
        <f>IF(S721&lt;=0.15,"Calm",IF(S721&lt;=0.3,"Light Wind",IF(S721&lt;=0.45,"Moderate Wind","Strong Wind")))</f>
        <v>Light Wind</v>
      </c>
      <c r="U721">
        <v>1</v>
      </c>
      <c r="V721">
        <v>154</v>
      </c>
      <c r="W721">
        <v>155</v>
      </c>
      <c r="X721" t="str">
        <f>IF(W721&lt;=75,"Low Demand",IF(W721&lt;=150,"Medium Demand",IF(W721&lt;=225,"High Demand","Very High Demand")))</f>
        <v>High Demand</v>
      </c>
    </row>
    <row r="722" spans="1:24" x14ac:dyDescent="0.25">
      <c r="A722">
        <v>721</v>
      </c>
      <c r="B722" s="2">
        <v>40576</v>
      </c>
      <c r="C722">
        <v>1</v>
      </c>
      <c r="D722">
        <v>0</v>
      </c>
      <c r="E722">
        <v>2</v>
      </c>
      <c r="F722">
        <v>9</v>
      </c>
      <c r="G722" t="str">
        <f>IF(F722&lt;6,"Night",IF(F722&lt;12,"Morning",IF(F722&lt;18,"Afternoon","Evening")))</f>
        <v>Morning</v>
      </c>
      <c r="H722">
        <v>0</v>
      </c>
      <c r="I722">
        <v>3</v>
      </c>
      <c r="J722" t="str">
        <f>CHOOSE(I722+1,"Monday","Tuesday","Wednesday","Thursday","Friday","Saturday","Sunday")</f>
        <v>Thursday</v>
      </c>
      <c r="K722">
        <v>2</v>
      </c>
      <c r="L722" t="str">
        <f>CHOOSE(K722+1,"error","Clear","Misty","Rainy","Severe heater")</f>
        <v>Misty</v>
      </c>
      <c r="M722" s="1">
        <v>0.34</v>
      </c>
      <c r="N722" t="str">
        <f>IF(M722&lt;=0.2,"Low",IF(M722&lt;=0.4,"Mid","High"))</f>
        <v>Mid</v>
      </c>
      <c r="O722" s="1">
        <v>0.28789999999999999</v>
      </c>
      <c r="P722" t="str">
        <f>IF(O722&lt;=0.15,"Very Cold",IF(O722&lt;=0.3,"Cold",IF(O722&lt;=0.45,"Pleasant","Hot")))</f>
        <v>Cold</v>
      </c>
      <c r="Q722">
        <v>0.93</v>
      </c>
      <c r="R722" t="str">
        <f>IF(Q722&lt;=0.25,"Low ",IF(Q722&lt;=0.5,"Moderate ",IF(Q722&lt;=0.75,"High ","Very High ")))</f>
        <v xml:space="preserve">Very High </v>
      </c>
      <c r="S722">
        <v>8.9599999999999999E-2</v>
      </c>
      <c r="T722" t="str">
        <f>IF(S722&lt;=0.15,"Calm",IF(S722&lt;=0.3,"Light Wind",IF(S722&lt;=0.45,"Moderate Wind","Strong Wind")))</f>
        <v>Calm</v>
      </c>
      <c r="U722">
        <v>4</v>
      </c>
      <c r="V722">
        <v>119</v>
      </c>
      <c r="W722">
        <v>123</v>
      </c>
      <c r="X722" t="str">
        <f>IF(W722&lt;=75,"Low Demand",IF(W722&lt;=150,"Medium Demand",IF(W722&lt;=225,"High Demand","Very High Demand")))</f>
        <v>Medium Demand</v>
      </c>
    </row>
    <row r="723" spans="1:24" x14ac:dyDescent="0.25">
      <c r="A723">
        <v>722</v>
      </c>
      <c r="B723" s="2">
        <v>40576</v>
      </c>
      <c r="C723">
        <v>1</v>
      </c>
      <c r="D723">
        <v>0</v>
      </c>
      <c r="E723">
        <v>2</v>
      </c>
      <c r="F723">
        <v>10</v>
      </c>
      <c r="G723" t="str">
        <f>IF(F723&lt;6,"Night",IF(F723&lt;12,"Morning",IF(F723&lt;18,"Afternoon","Evening")))</f>
        <v>Morning</v>
      </c>
      <c r="H723">
        <v>0</v>
      </c>
      <c r="I723">
        <v>3</v>
      </c>
      <c r="J723" t="str">
        <f>CHOOSE(I723+1,"Monday","Tuesday","Wednesday","Thursday","Friday","Saturday","Sunday")</f>
        <v>Thursday</v>
      </c>
      <c r="K723">
        <v>2</v>
      </c>
      <c r="L723" t="str">
        <f>CHOOSE(K723+1,"error","Clear","Misty","Rainy","Severe heater")</f>
        <v>Misty</v>
      </c>
      <c r="M723" s="1">
        <v>0.28000000000000003</v>
      </c>
      <c r="N723" t="str">
        <f>IF(M723&lt;=0.2,"Low",IF(M723&lt;=0.4,"Mid","High"))</f>
        <v>Mid</v>
      </c>
      <c r="O723" s="1">
        <v>0.2424</v>
      </c>
      <c r="P723" t="str">
        <f>IF(O723&lt;=0.15,"Very Cold",IF(O723&lt;=0.3,"Cold",IF(O723&lt;=0.45,"Pleasant","Hot")))</f>
        <v>Cold</v>
      </c>
      <c r="Q723">
        <v>1</v>
      </c>
      <c r="R723" t="str">
        <f>IF(Q723&lt;=0.25,"Low ",IF(Q723&lt;=0.5,"Moderate ",IF(Q723&lt;=0.75,"High ","Very High ")))</f>
        <v xml:space="preserve">Very High </v>
      </c>
      <c r="S723">
        <v>0</v>
      </c>
      <c r="T723" t="str">
        <f>IF(S723&lt;=0.15,"Calm",IF(S723&lt;=0.3,"Light Wind",IF(S723&lt;=0.45,"Moderate Wind","Strong Wind")))</f>
        <v>Calm</v>
      </c>
      <c r="U723">
        <v>2</v>
      </c>
      <c r="V723">
        <v>59</v>
      </c>
      <c r="W723">
        <v>61</v>
      </c>
      <c r="X723" t="str">
        <f>IF(W723&lt;=75,"Low Demand",IF(W723&lt;=150,"Medium Demand",IF(W723&lt;=225,"High Demand","Very High Demand")))</f>
        <v>Low Demand</v>
      </c>
    </row>
    <row r="724" spans="1:24" x14ac:dyDescent="0.25">
      <c r="A724">
        <v>723</v>
      </c>
      <c r="B724" s="2">
        <v>40576</v>
      </c>
      <c r="C724">
        <v>1</v>
      </c>
      <c r="D724">
        <v>0</v>
      </c>
      <c r="E724">
        <v>2</v>
      </c>
      <c r="F724">
        <v>11</v>
      </c>
      <c r="G724" t="str">
        <f>IF(F724&lt;6,"Night",IF(F724&lt;12,"Morning",IF(F724&lt;18,"Afternoon","Evening")))</f>
        <v>Morning</v>
      </c>
      <c r="H724">
        <v>0</v>
      </c>
      <c r="I724">
        <v>3</v>
      </c>
      <c r="J724" t="str">
        <f>CHOOSE(I724+1,"Monday","Tuesday","Wednesday","Thursday","Friday","Saturday","Sunday")</f>
        <v>Thursday</v>
      </c>
      <c r="K724">
        <v>2</v>
      </c>
      <c r="L724" t="str">
        <f>CHOOSE(K724+1,"error","Clear","Misty","Rainy","Severe heater")</f>
        <v>Misty</v>
      </c>
      <c r="M724" s="1">
        <v>0.24</v>
      </c>
      <c r="N724" t="str">
        <f>IF(M724&lt;=0.2,"Low",IF(M724&lt;=0.4,"Mid","High"))</f>
        <v>Mid</v>
      </c>
      <c r="O724" s="1">
        <v>0.19700000000000001</v>
      </c>
      <c r="P724" t="str">
        <f>IF(O724&lt;=0.15,"Very Cold",IF(O724&lt;=0.3,"Cold",IF(O724&lt;=0.45,"Pleasant","Hot")))</f>
        <v>Cold</v>
      </c>
      <c r="Q724">
        <v>0.93</v>
      </c>
      <c r="R724" t="str">
        <f>IF(Q724&lt;=0.25,"Low ",IF(Q724&lt;=0.5,"Moderate ",IF(Q724&lt;=0.75,"High ","Very High ")))</f>
        <v xml:space="preserve">Very High </v>
      </c>
      <c r="S724">
        <v>0.19400000000000001</v>
      </c>
      <c r="T724" t="str">
        <f>IF(S724&lt;=0.15,"Calm",IF(S724&lt;=0.3,"Light Wind",IF(S724&lt;=0.45,"Moderate Wind","Strong Wind")))</f>
        <v>Light Wind</v>
      </c>
      <c r="U724">
        <v>5</v>
      </c>
      <c r="V724">
        <v>47</v>
      </c>
      <c r="W724">
        <v>52</v>
      </c>
      <c r="X724" t="str">
        <f>IF(W724&lt;=75,"Low Demand",IF(W724&lt;=150,"Medium Demand",IF(W724&lt;=225,"High Demand","Very High Demand")))</f>
        <v>Low Demand</v>
      </c>
    </row>
    <row r="725" spans="1:24" x14ac:dyDescent="0.25">
      <c r="A725">
        <v>724</v>
      </c>
      <c r="B725" s="2">
        <v>40576</v>
      </c>
      <c r="C725">
        <v>1</v>
      </c>
      <c r="D725">
        <v>0</v>
      </c>
      <c r="E725">
        <v>2</v>
      </c>
      <c r="F725">
        <v>12</v>
      </c>
      <c r="G725" t="str">
        <f>IF(F725&lt;6,"Night",IF(F725&lt;12,"Morning",IF(F725&lt;18,"Afternoon","Evening")))</f>
        <v>Afternoon</v>
      </c>
      <c r="H725">
        <v>0</v>
      </c>
      <c r="I725">
        <v>3</v>
      </c>
      <c r="J725" t="str">
        <f>CHOOSE(I725+1,"Monday","Tuesday","Wednesday","Thursday","Friday","Saturday","Sunday")</f>
        <v>Thursday</v>
      </c>
      <c r="K725">
        <v>2</v>
      </c>
      <c r="L725" t="str">
        <f>CHOOSE(K725+1,"error","Clear","Misty","Rainy","Severe heater")</f>
        <v>Misty</v>
      </c>
      <c r="M725" s="1">
        <v>0.22</v>
      </c>
      <c r="N725" t="str">
        <f>IF(M725&lt;=0.2,"Low",IF(M725&lt;=0.4,"Mid","High"))</f>
        <v>Mid</v>
      </c>
      <c r="O725" s="1">
        <v>0.19700000000000001</v>
      </c>
      <c r="P725" t="str">
        <f>IF(O725&lt;=0.15,"Very Cold",IF(O725&lt;=0.3,"Cold",IF(O725&lt;=0.45,"Pleasant","Hot")))</f>
        <v>Cold</v>
      </c>
      <c r="Q725">
        <v>0.93</v>
      </c>
      <c r="R725" t="str">
        <f>IF(Q725&lt;=0.25,"Low ",IF(Q725&lt;=0.5,"Moderate ",IF(Q725&lt;=0.75,"High ","Very High ")))</f>
        <v xml:space="preserve">Very High </v>
      </c>
      <c r="S725">
        <v>0.22389999999999999</v>
      </c>
      <c r="T725" t="str">
        <f>IF(S725&lt;=0.15,"Calm",IF(S725&lt;=0.3,"Light Wind",IF(S725&lt;=0.45,"Moderate Wind","Strong Wind")))</f>
        <v>Light Wind</v>
      </c>
      <c r="U725">
        <v>3</v>
      </c>
      <c r="V725">
        <v>61</v>
      </c>
      <c r="W725">
        <v>64</v>
      </c>
      <c r="X725" t="str">
        <f>IF(W725&lt;=75,"Low Demand",IF(W725&lt;=150,"Medium Demand",IF(W725&lt;=225,"High Demand","Very High Demand")))</f>
        <v>Low Demand</v>
      </c>
    </row>
    <row r="726" spans="1:24" x14ac:dyDescent="0.25">
      <c r="A726">
        <v>725</v>
      </c>
      <c r="B726" s="2">
        <v>40576</v>
      </c>
      <c r="C726">
        <v>1</v>
      </c>
      <c r="D726">
        <v>0</v>
      </c>
      <c r="E726">
        <v>2</v>
      </c>
      <c r="F726">
        <v>13</v>
      </c>
      <c r="G726" t="str">
        <f>IF(F726&lt;6,"Night",IF(F726&lt;12,"Morning",IF(F726&lt;18,"Afternoon","Evening")))</f>
        <v>Afternoon</v>
      </c>
      <c r="H726">
        <v>0</v>
      </c>
      <c r="I726">
        <v>3</v>
      </c>
      <c r="J726" t="str">
        <f>CHOOSE(I726+1,"Monday","Tuesday","Wednesday","Thursday","Friday","Saturday","Sunday")</f>
        <v>Thursday</v>
      </c>
      <c r="K726">
        <v>1</v>
      </c>
      <c r="L726" t="str">
        <f>CHOOSE(K726+1,"error","Clear","Misty","Rainy","Severe heater")</f>
        <v>Clear</v>
      </c>
      <c r="M726" s="1">
        <v>0.22</v>
      </c>
      <c r="N726" t="str">
        <f>IF(M726&lt;=0.2,"Low",IF(M726&lt;=0.4,"Mid","High"))</f>
        <v>Mid</v>
      </c>
      <c r="O726" s="1">
        <v>0.21210000000000001</v>
      </c>
      <c r="P726" t="str">
        <f>IF(O726&lt;=0.15,"Very Cold",IF(O726&lt;=0.3,"Cold",IF(O726&lt;=0.45,"Pleasant","Hot")))</f>
        <v>Cold</v>
      </c>
      <c r="Q726">
        <v>0.93</v>
      </c>
      <c r="R726" t="str">
        <f>IF(Q726&lt;=0.25,"Low ",IF(Q726&lt;=0.5,"Moderate ",IF(Q726&lt;=0.75,"High ","Very High ")))</f>
        <v xml:space="preserve">Very High </v>
      </c>
      <c r="S726">
        <v>0.16420000000000001</v>
      </c>
      <c r="T726" t="str">
        <f>IF(S726&lt;=0.15,"Calm",IF(S726&lt;=0.3,"Light Wind",IF(S726&lt;=0.45,"Moderate Wind","Strong Wind")))</f>
        <v>Light Wind</v>
      </c>
      <c r="U726">
        <v>1</v>
      </c>
      <c r="V726">
        <v>74</v>
      </c>
      <c r="W726">
        <v>75</v>
      </c>
      <c r="X726" t="str">
        <f>IF(W726&lt;=75,"Low Demand",IF(W726&lt;=150,"Medium Demand",IF(W726&lt;=225,"High Demand","Very High Demand")))</f>
        <v>Low Demand</v>
      </c>
    </row>
    <row r="727" spans="1:24" x14ac:dyDescent="0.25">
      <c r="A727">
        <v>726</v>
      </c>
      <c r="B727" s="2">
        <v>40576</v>
      </c>
      <c r="C727">
        <v>1</v>
      </c>
      <c r="D727">
        <v>0</v>
      </c>
      <c r="E727">
        <v>2</v>
      </c>
      <c r="F727">
        <v>14</v>
      </c>
      <c r="G727" t="str">
        <f>IF(F727&lt;6,"Night",IF(F727&lt;12,"Morning",IF(F727&lt;18,"Afternoon","Evening")))</f>
        <v>Afternoon</v>
      </c>
      <c r="H727">
        <v>0</v>
      </c>
      <c r="I727">
        <v>3</v>
      </c>
      <c r="J727" t="str">
        <f>CHOOSE(I727+1,"Monday","Tuesday","Wednesday","Thursday","Friday","Saturday","Sunday")</f>
        <v>Thursday</v>
      </c>
      <c r="K727">
        <v>1</v>
      </c>
      <c r="L727" t="str">
        <f>CHOOSE(K727+1,"error","Clear","Misty","Rainy","Severe heater")</f>
        <v>Clear</v>
      </c>
      <c r="M727" s="1">
        <v>0.2</v>
      </c>
      <c r="N727" t="str">
        <f>IF(M727&lt;=0.2,"Low",IF(M727&lt;=0.4,"Mid","High"))</f>
        <v>Low</v>
      </c>
      <c r="O727" s="1">
        <v>0.16669999999999999</v>
      </c>
      <c r="P727" t="str">
        <f>IF(O727&lt;=0.15,"Very Cold",IF(O727&lt;=0.3,"Cold",IF(O727&lt;=0.45,"Pleasant","Hot")))</f>
        <v>Cold</v>
      </c>
      <c r="Q727">
        <v>0.82</v>
      </c>
      <c r="R727" t="str">
        <f>IF(Q727&lt;=0.25,"Low ",IF(Q727&lt;=0.5,"Moderate ",IF(Q727&lt;=0.75,"High ","Very High ")))</f>
        <v xml:space="preserve">Very High </v>
      </c>
      <c r="S727">
        <v>0.3881</v>
      </c>
      <c r="T727" t="str">
        <f>IF(S727&lt;=0.15,"Calm",IF(S727&lt;=0.3,"Light Wind",IF(S727&lt;=0.45,"Moderate Wind","Strong Wind")))</f>
        <v>Moderate Wind</v>
      </c>
      <c r="U727">
        <v>2</v>
      </c>
      <c r="V727">
        <v>61</v>
      </c>
      <c r="W727">
        <v>63</v>
      </c>
      <c r="X727" t="str">
        <f>IF(W727&lt;=75,"Low Demand",IF(W727&lt;=150,"Medium Demand",IF(W727&lt;=225,"High Demand","Very High Demand")))</f>
        <v>Low Demand</v>
      </c>
    </row>
    <row r="728" spans="1:24" x14ac:dyDescent="0.25">
      <c r="A728">
        <v>727</v>
      </c>
      <c r="B728" s="2">
        <v>40576</v>
      </c>
      <c r="C728">
        <v>1</v>
      </c>
      <c r="D728">
        <v>0</v>
      </c>
      <c r="E728">
        <v>2</v>
      </c>
      <c r="F728">
        <v>15</v>
      </c>
      <c r="G728" t="str">
        <f>IF(F728&lt;6,"Night",IF(F728&lt;12,"Morning",IF(F728&lt;18,"Afternoon","Evening")))</f>
        <v>Afternoon</v>
      </c>
      <c r="H728">
        <v>0</v>
      </c>
      <c r="I728">
        <v>3</v>
      </c>
      <c r="J728" t="str">
        <f>CHOOSE(I728+1,"Monday","Tuesday","Wednesday","Thursday","Friday","Saturday","Sunday")</f>
        <v>Thursday</v>
      </c>
      <c r="K728">
        <v>1</v>
      </c>
      <c r="L728" t="str">
        <f>CHOOSE(K728+1,"error","Clear","Misty","Rainy","Severe heater")</f>
        <v>Clear</v>
      </c>
      <c r="M728" s="1">
        <v>0.2</v>
      </c>
      <c r="N728" t="str">
        <f>IF(M728&lt;=0.2,"Low",IF(M728&lt;=0.4,"Mid","High"))</f>
        <v>Low</v>
      </c>
      <c r="O728" s="1">
        <v>0.16669999999999999</v>
      </c>
      <c r="P728" t="str">
        <f>IF(O728&lt;=0.15,"Very Cold",IF(O728&lt;=0.3,"Cold",IF(O728&lt;=0.45,"Pleasant","Hot")))</f>
        <v>Cold</v>
      </c>
      <c r="Q728">
        <v>0.76</v>
      </c>
      <c r="R728" t="str">
        <f>IF(Q728&lt;=0.25,"Low ",IF(Q728&lt;=0.5,"Moderate ",IF(Q728&lt;=0.75,"High ","Very High ")))</f>
        <v xml:space="preserve">Very High </v>
      </c>
      <c r="S728">
        <v>0.32840000000000003</v>
      </c>
      <c r="T728" t="str">
        <f>IF(S728&lt;=0.15,"Calm",IF(S728&lt;=0.3,"Light Wind",IF(S728&lt;=0.45,"Moderate Wind","Strong Wind")))</f>
        <v>Moderate Wind</v>
      </c>
      <c r="U728">
        <v>10</v>
      </c>
      <c r="V728">
        <v>66</v>
      </c>
      <c r="W728">
        <v>76</v>
      </c>
      <c r="X728" t="str">
        <f>IF(W728&lt;=75,"Low Demand",IF(W728&lt;=150,"Medium Demand",IF(W728&lt;=225,"High Demand","Very High Demand")))</f>
        <v>Medium Demand</v>
      </c>
    </row>
    <row r="729" spans="1:24" x14ac:dyDescent="0.25">
      <c r="A729">
        <v>728</v>
      </c>
      <c r="B729" s="2">
        <v>40576</v>
      </c>
      <c r="C729">
        <v>1</v>
      </c>
      <c r="D729">
        <v>0</v>
      </c>
      <c r="E729">
        <v>2</v>
      </c>
      <c r="F729">
        <v>16</v>
      </c>
      <c r="G729" t="str">
        <f>IF(F729&lt;6,"Night",IF(F729&lt;12,"Morning",IF(F729&lt;18,"Afternoon","Evening")))</f>
        <v>Afternoon</v>
      </c>
      <c r="H729">
        <v>0</v>
      </c>
      <c r="I729">
        <v>3</v>
      </c>
      <c r="J729" t="str">
        <f>CHOOSE(I729+1,"Monday","Tuesday","Wednesday","Thursday","Friday","Saturday","Sunday")</f>
        <v>Thursday</v>
      </c>
      <c r="K729">
        <v>1</v>
      </c>
      <c r="L729" t="str">
        <f>CHOOSE(K729+1,"error","Clear","Misty","Rainy","Severe heater")</f>
        <v>Clear</v>
      </c>
      <c r="M729" s="1">
        <v>0.2</v>
      </c>
      <c r="N729" t="str">
        <f>IF(M729&lt;=0.2,"Low",IF(M729&lt;=0.4,"Mid","High"))</f>
        <v>Low</v>
      </c>
      <c r="O729" s="1">
        <v>0.1515</v>
      </c>
      <c r="P729" t="str">
        <f>IF(O729&lt;=0.15,"Very Cold",IF(O729&lt;=0.3,"Cold",IF(O729&lt;=0.45,"Pleasant","Hot")))</f>
        <v>Cold</v>
      </c>
      <c r="Q729">
        <v>0.71</v>
      </c>
      <c r="R729" t="str">
        <f>IF(Q729&lt;=0.25,"Low ",IF(Q729&lt;=0.5,"Moderate ",IF(Q729&lt;=0.75,"High ","Very High ")))</f>
        <v xml:space="preserve">High </v>
      </c>
      <c r="S729">
        <v>0.29849999999999999</v>
      </c>
      <c r="T729" t="str">
        <f>IF(S729&lt;=0.15,"Calm",IF(S729&lt;=0.3,"Light Wind",IF(S729&lt;=0.45,"Moderate Wind","Strong Wind")))</f>
        <v>Light Wind</v>
      </c>
      <c r="U729">
        <v>8</v>
      </c>
      <c r="V729">
        <v>95</v>
      </c>
      <c r="W729">
        <v>103</v>
      </c>
      <c r="X729" t="str">
        <f>IF(W729&lt;=75,"Low Demand",IF(W729&lt;=150,"Medium Demand",IF(W729&lt;=225,"High Demand","Very High Demand")))</f>
        <v>Medium Demand</v>
      </c>
    </row>
    <row r="730" spans="1:24" x14ac:dyDescent="0.25">
      <c r="A730">
        <v>729</v>
      </c>
      <c r="B730" s="2">
        <v>40576</v>
      </c>
      <c r="C730">
        <v>1</v>
      </c>
      <c r="D730">
        <v>0</v>
      </c>
      <c r="E730">
        <v>2</v>
      </c>
      <c r="F730">
        <v>17</v>
      </c>
      <c r="G730" t="str">
        <f>IF(F730&lt;6,"Night",IF(F730&lt;12,"Morning",IF(F730&lt;18,"Afternoon","Evening")))</f>
        <v>Afternoon</v>
      </c>
      <c r="H730">
        <v>0</v>
      </c>
      <c r="I730">
        <v>3</v>
      </c>
      <c r="J730" t="str">
        <f>CHOOSE(I730+1,"Monday","Tuesday","Wednesday","Thursday","Friday","Saturday","Sunday")</f>
        <v>Thursday</v>
      </c>
      <c r="K730">
        <v>1</v>
      </c>
      <c r="L730" t="str">
        <f>CHOOSE(K730+1,"error","Clear","Misty","Rainy","Severe heater")</f>
        <v>Clear</v>
      </c>
      <c r="M730" s="1">
        <v>0.18</v>
      </c>
      <c r="N730" t="str">
        <f>IF(M730&lt;=0.2,"Low",IF(M730&lt;=0.4,"Mid","High"))</f>
        <v>Low</v>
      </c>
      <c r="O730" s="1">
        <v>0.16669999999999999</v>
      </c>
      <c r="P730" t="str">
        <f>IF(O730&lt;=0.15,"Very Cold",IF(O730&lt;=0.3,"Cold",IF(O730&lt;=0.45,"Pleasant","Hot")))</f>
        <v>Cold</v>
      </c>
      <c r="Q730">
        <v>0.53</v>
      </c>
      <c r="R730" t="str">
        <f>IF(Q730&lt;=0.25,"Low ",IF(Q730&lt;=0.5,"Moderate ",IF(Q730&lt;=0.75,"High ","Very High ")))</f>
        <v xml:space="preserve">High </v>
      </c>
      <c r="S730">
        <v>0.52239999999999998</v>
      </c>
      <c r="T730" t="str">
        <f>IF(S730&lt;=0.15,"Calm",IF(S730&lt;=0.3,"Light Wind",IF(S730&lt;=0.45,"Moderate Wind","Strong Wind")))</f>
        <v>Strong Wind</v>
      </c>
      <c r="U730">
        <v>7</v>
      </c>
      <c r="V730">
        <v>183</v>
      </c>
      <c r="W730">
        <v>190</v>
      </c>
      <c r="X730" t="str">
        <f>IF(W730&lt;=75,"Low Demand",IF(W730&lt;=150,"Medium Demand",IF(W730&lt;=225,"High Demand","Very High Demand")))</f>
        <v>High Demand</v>
      </c>
    </row>
    <row r="731" spans="1:24" x14ac:dyDescent="0.25">
      <c r="A731">
        <v>730</v>
      </c>
      <c r="B731" s="2">
        <v>40576</v>
      </c>
      <c r="C731">
        <v>1</v>
      </c>
      <c r="D731">
        <v>0</v>
      </c>
      <c r="E731">
        <v>2</v>
      </c>
      <c r="F731">
        <v>18</v>
      </c>
      <c r="G731" t="str">
        <f>IF(F731&lt;6,"Night",IF(F731&lt;12,"Morning",IF(F731&lt;18,"Afternoon","Evening")))</f>
        <v>Evening</v>
      </c>
      <c r="H731">
        <v>0</v>
      </c>
      <c r="I731">
        <v>3</v>
      </c>
      <c r="J731" t="str">
        <f>CHOOSE(I731+1,"Monday","Tuesday","Wednesday","Thursday","Friday","Saturday","Sunday")</f>
        <v>Thursday</v>
      </c>
      <c r="K731">
        <v>1</v>
      </c>
      <c r="L731" t="str">
        <f>CHOOSE(K731+1,"error","Clear","Misty","Rainy","Severe heater")</f>
        <v>Clear</v>
      </c>
      <c r="M731" s="1">
        <v>0.18</v>
      </c>
      <c r="N731" t="str">
        <f>IF(M731&lt;=0.2,"Low",IF(M731&lt;=0.4,"Mid","High"))</f>
        <v>Low</v>
      </c>
      <c r="O731" s="1">
        <v>0.16669999999999999</v>
      </c>
      <c r="P731" t="str">
        <f>IF(O731&lt;=0.15,"Very Cold",IF(O731&lt;=0.3,"Cold",IF(O731&lt;=0.45,"Pleasant","Hot")))</f>
        <v>Cold</v>
      </c>
      <c r="Q731">
        <v>0.42</v>
      </c>
      <c r="R731" t="str">
        <f>IF(Q731&lt;=0.25,"Low ",IF(Q731&lt;=0.5,"Moderate ",IF(Q731&lt;=0.75,"High ","Very High ")))</f>
        <v xml:space="preserve">Moderate </v>
      </c>
      <c r="S731">
        <v>0.55220000000000002</v>
      </c>
      <c r="T731" t="str">
        <f>IF(S731&lt;=0.15,"Calm",IF(S731&lt;=0.3,"Light Wind",IF(S731&lt;=0.45,"Moderate Wind","Strong Wind")))</f>
        <v>Strong Wind</v>
      </c>
      <c r="U731">
        <v>7</v>
      </c>
      <c r="V731">
        <v>175</v>
      </c>
      <c r="W731">
        <v>182</v>
      </c>
      <c r="X731" t="str">
        <f>IF(W731&lt;=75,"Low Demand",IF(W731&lt;=150,"Medium Demand",IF(W731&lt;=225,"High Demand","Very High Demand")))</f>
        <v>High Demand</v>
      </c>
    </row>
    <row r="732" spans="1:24" x14ac:dyDescent="0.25">
      <c r="A732">
        <v>731</v>
      </c>
      <c r="B732" s="2">
        <v>40576</v>
      </c>
      <c r="C732">
        <v>1</v>
      </c>
      <c r="D732">
        <v>0</v>
      </c>
      <c r="E732">
        <v>2</v>
      </c>
      <c r="F732">
        <v>19</v>
      </c>
      <c r="G732" t="str">
        <f>IF(F732&lt;6,"Night",IF(F732&lt;12,"Morning",IF(F732&lt;18,"Afternoon","Evening")))</f>
        <v>Evening</v>
      </c>
      <c r="H732">
        <v>0</v>
      </c>
      <c r="I732">
        <v>3</v>
      </c>
      <c r="J732" t="str">
        <f>CHOOSE(I732+1,"Monday","Tuesday","Wednesday","Thursday","Friday","Saturday","Sunday")</f>
        <v>Thursday</v>
      </c>
      <c r="K732">
        <v>1</v>
      </c>
      <c r="L732" t="str">
        <f>CHOOSE(K732+1,"error","Clear","Misty","Rainy","Severe heater")</f>
        <v>Clear</v>
      </c>
      <c r="M732" s="1">
        <v>0.16</v>
      </c>
      <c r="N732" t="str">
        <f>IF(M732&lt;=0.2,"Low",IF(M732&lt;=0.4,"Mid","High"))</f>
        <v>Low</v>
      </c>
      <c r="O732" s="1">
        <v>0.13639999999999999</v>
      </c>
      <c r="P732" t="str">
        <f>IF(O732&lt;=0.15,"Very Cold",IF(O732&lt;=0.3,"Cold",IF(O732&lt;=0.45,"Pleasant","Hot")))</f>
        <v>Very Cold</v>
      </c>
      <c r="Q732">
        <v>0.45</v>
      </c>
      <c r="R732" t="str">
        <f>IF(Q732&lt;=0.25,"Low ",IF(Q732&lt;=0.5,"Moderate ",IF(Q732&lt;=0.75,"High ","Very High ")))</f>
        <v xml:space="preserve">Moderate </v>
      </c>
      <c r="S732">
        <v>0.49249999999999999</v>
      </c>
      <c r="T732" t="str">
        <f>IF(S732&lt;=0.15,"Calm",IF(S732&lt;=0.3,"Light Wind",IF(S732&lt;=0.45,"Moderate Wind","Strong Wind")))</f>
        <v>Strong Wind</v>
      </c>
      <c r="U732">
        <v>3</v>
      </c>
      <c r="V732">
        <v>88</v>
      </c>
      <c r="W732">
        <v>91</v>
      </c>
      <c r="X732" t="str">
        <f>IF(W732&lt;=75,"Low Demand",IF(W732&lt;=150,"Medium Demand",IF(W732&lt;=225,"High Demand","Very High Demand")))</f>
        <v>Medium Demand</v>
      </c>
    </row>
    <row r="733" spans="1:24" x14ac:dyDescent="0.25">
      <c r="A733">
        <v>732</v>
      </c>
      <c r="B733" s="2">
        <v>40576</v>
      </c>
      <c r="C733">
        <v>1</v>
      </c>
      <c r="D733">
        <v>0</v>
      </c>
      <c r="E733">
        <v>2</v>
      </c>
      <c r="F733">
        <v>20</v>
      </c>
      <c r="G733" t="str">
        <f>IF(F733&lt;6,"Night",IF(F733&lt;12,"Morning",IF(F733&lt;18,"Afternoon","Evening")))</f>
        <v>Evening</v>
      </c>
      <c r="H733">
        <v>0</v>
      </c>
      <c r="I733">
        <v>3</v>
      </c>
      <c r="J733" t="str">
        <f>CHOOSE(I733+1,"Monday","Tuesday","Wednesday","Thursday","Friday","Saturday","Sunday")</f>
        <v>Thursday</v>
      </c>
      <c r="K733">
        <v>1</v>
      </c>
      <c r="L733" t="str">
        <f>CHOOSE(K733+1,"error","Clear","Misty","Rainy","Severe heater")</f>
        <v>Clear</v>
      </c>
      <c r="M733" s="1">
        <v>0.16</v>
      </c>
      <c r="N733" t="str">
        <f>IF(M733&lt;=0.2,"Low",IF(M733&lt;=0.4,"Mid","High"))</f>
        <v>Low</v>
      </c>
      <c r="O733" s="1">
        <v>0.13639999999999999</v>
      </c>
      <c r="P733" t="str">
        <f>IF(O733&lt;=0.15,"Very Cold",IF(O733&lt;=0.3,"Cold",IF(O733&lt;=0.45,"Pleasant","Hot")))</f>
        <v>Very Cold</v>
      </c>
      <c r="Q733">
        <v>0.48</v>
      </c>
      <c r="R733" t="str">
        <f>IF(Q733&lt;=0.25,"Low ",IF(Q733&lt;=0.5,"Moderate ",IF(Q733&lt;=0.75,"High ","Very High ")))</f>
        <v xml:space="preserve">Moderate </v>
      </c>
      <c r="S733">
        <v>0.55220000000000002</v>
      </c>
      <c r="T733" t="str">
        <f>IF(S733&lt;=0.15,"Calm",IF(S733&lt;=0.3,"Light Wind",IF(S733&lt;=0.45,"Moderate Wind","Strong Wind")))</f>
        <v>Strong Wind</v>
      </c>
      <c r="U733">
        <v>4</v>
      </c>
      <c r="V733">
        <v>71</v>
      </c>
      <c r="W733">
        <v>75</v>
      </c>
      <c r="X733" t="str">
        <f>IF(W733&lt;=75,"Low Demand",IF(W733&lt;=150,"Medium Demand",IF(W733&lt;=225,"High Demand","Very High Demand")))</f>
        <v>Low Demand</v>
      </c>
    </row>
    <row r="734" spans="1:24" x14ac:dyDescent="0.25">
      <c r="A734">
        <v>733</v>
      </c>
      <c r="B734" s="2">
        <v>40576</v>
      </c>
      <c r="C734">
        <v>1</v>
      </c>
      <c r="D734">
        <v>0</v>
      </c>
      <c r="E734">
        <v>2</v>
      </c>
      <c r="F734">
        <v>21</v>
      </c>
      <c r="G734" t="str">
        <f>IF(F734&lt;6,"Night",IF(F734&lt;12,"Morning",IF(F734&lt;18,"Afternoon","Evening")))</f>
        <v>Evening</v>
      </c>
      <c r="H734">
        <v>0</v>
      </c>
      <c r="I734">
        <v>3</v>
      </c>
      <c r="J734" t="str">
        <f>CHOOSE(I734+1,"Monday","Tuesday","Wednesday","Thursday","Friday","Saturday","Sunday")</f>
        <v>Thursday</v>
      </c>
      <c r="K734">
        <v>1</v>
      </c>
      <c r="L734" t="str">
        <f>CHOOSE(K734+1,"error","Clear","Misty","Rainy","Severe heater")</f>
        <v>Clear</v>
      </c>
      <c r="M734" s="1">
        <v>0.14000000000000001</v>
      </c>
      <c r="N734" t="str">
        <f>IF(M734&lt;=0.2,"Low",IF(M734&lt;=0.4,"Mid","High"))</f>
        <v>Low</v>
      </c>
      <c r="O734" s="1">
        <v>0.1212</v>
      </c>
      <c r="P734" t="str">
        <f>IF(O734&lt;=0.15,"Very Cold",IF(O734&lt;=0.3,"Cold",IF(O734&lt;=0.45,"Pleasant","Hot")))</f>
        <v>Very Cold</v>
      </c>
      <c r="Q734">
        <v>0.47</v>
      </c>
      <c r="R734" t="str">
        <f>IF(Q734&lt;=0.25,"Low ",IF(Q734&lt;=0.5,"Moderate ",IF(Q734&lt;=0.75,"High ","Very High ")))</f>
        <v xml:space="preserve">Moderate </v>
      </c>
      <c r="S734">
        <v>0.32840000000000003</v>
      </c>
      <c r="T734" t="str">
        <f>IF(S734&lt;=0.15,"Calm",IF(S734&lt;=0.3,"Light Wind",IF(S734&lt;=0.45,"Moderate Wind","Strong Wind")))</f>
        <v>Moderate Wind</v>
      </c>
      <c r="U734">
        <v>1</v>
      </c>
      <c r="V734">
        <v>62</v>
      </c>
      <c r="W734">
        <v>63</v>
      </c>
      <c r="X734" t="str">
        <f>IF(W734&lt;=75,"Low Demand",IF(W734&lt;=150,"Medium Demand",IF(W734&lt;=225,"High Demand","Very High Demand")))</f>
        <v>Low Demand</v>
      </c>
    </row>
    <row r="735" spans="1:24" x14ac:dyDescent="0.25">
      <c r="A735">
        <v>734</v>
      </c>
      <c r="B735" s="2">
        <v>40576</v>
      </c>
      <c r="C735">
        <v>1</v>
      </c>
      <c r="D735">
        <v>0</v>
      </c>
      <c r="E735">
        <v>2</v>
      </c>
      <c r="F735">
        <v>22</v>
      </c>
      <c r="G735" t="str">
        <f>IF(F735&lt;6,"Night",IF(F735&lt;12,"Morning",IF(F735&lt;18,"Afternoon","Evening")))</f>
        <v>Evening</v>
      </c>
      <c r="H735">
        <v>0</v>
      </c>
      <c r="I735">
        <v>3</v>
      </c>
      <c r="J735" t="str">
        <f>CHOOSE(I735+1,"Monday","Tuesday","Wednesday","Thursday","Friday","Saturday","Sunday")</f>
        <v>Thursday</v>
      </c>
      <c r="K735">
        <v>1</v>
      </c>
      <c r="L735" t="str">
        <f>CHOOSE(K735+1,"error","Clear","Misty","Rainy","Severe heater")</f>
        <v>Clear</v>
      </c>
      <c r="M735" s="1">
        <v>0.14000000000000001</v>
      </c>
      <c r="N735" t="str">
        <f>IF(M735&lt;=0.2,"Low",IF(M735&lt;=0.4,"Mid","High"))</f>
        <v>Low</v>
      </c>
      <c r="O735" s="1">
        <v>0.1212</v>
      </c>
      <c r="P735" t="str">
        <f>IF(O735&lt;=0.15,"Very Cold",IF(O735&lt;=0.3,"Cold",IF(O735&lt;=0.45,"Pleasant","Hot")))</f>
        <v>Very Cold</v>
      </c>
      <c r="Q735">
        <v>0.44</v>
      </c>
      <c r="R735" t="str">
        <f>IF(Q735&lt;=0.25,"Low ",IF(Q735&lt;=0.5,"Moderate ",IF(Q735&lt;=0.75,"High ","Very High ")))</f>
        <v xml:space="preserve">Moderate </v>
      </c>
      <c r="S735">
        <v>0.25369999999999998</v>
      </c>
      <c r="T735" t="str">
        <f>IF(S735&lt;=0.15,"Calm",IF(S735&lt;=0.3,"Light Wind",IF(S735&lt;=0.45,"Moderate Wind","Strong Wind")))</f>
        <v>Light Wind</v>
      </c>
      <c r="U735">
        <v>5</v>
      </c>
      <c r="V735">
        <v>35</v>
      </c>
      <c r="W735">
        <v>40</v>
      </c>
      <c r="X735" t="str">
        <f>IF(W735&lt;=75,"Low Demand",IF(W735&lt;=150,"Medium Demand",IF(W735&lt;=225,"High Demand","Very High Demand")))</f>
        <v>Low Demand</v>
      </c>
    </row>
    <row r="736" spans="1:24" x14ac:dyDescent="0.25">
      <c r="A736">
        <v>735</v>
      </c>
      <c r="B736" s="2">
        <v>40576</v>
      </c>
      <c r="C736">
        <v>1</v>
      </c>
      <c r="D736">
        <v>0</v>
      </c>
      <c r="E736">
        <v>2</v>
      </c>
      <c r="F736">
        <v>23</v>
      </c>
      <c r="G736" t="str">
        <f>IF(F736&lt;6,"Night",IF(F736&lt;12,"Morning",IF(F736&lt;18,"Afternoon","Evening")))</f>
        <v>Evening</v>
      </c>
      <c r="H736">
        <v>0</v>
      </c>
      <c r="I736">
        <v>3</v>
      </c>
      <c r="J736" t="str">
        <f>CHOOSE(I736+1,"Monday","Tuesday","Wednesday","Thursday","Friday","Saturday","Sunday")</f>
        <v>Thursday</v>
      </c>
      <c r="K736">
        <v>1</v>
      </c>
      <c r="L736" t="str">
        <f>CHOOSE(K736+1,"error","Clear","Misty","Rainy","Severe heater")</f>
        <v>Clear</v>
      </c>
      <c r="M736" s="1">
        <v>0.16</v>
      </c>
      <c r="N736" t="str">
        <f>IF(M736&lt;=0.2,"Low",IF(M736&lt;=0.4,"Mid","High"))</f>
        <v>Low</v>
      </c>
      <c r="O736" s="1">
        <v>0.13639999999999999</v>
      </c>
      <c r="P736" t="str">
        <f>IF(O736&lt;=0.15,"Very Cold",IF(O736&lt;=0.3,"Cold",IF(O736&lt;=0.45,"Pleasant","Hot")))</f>
        <v>Very Cold</v>
      </c>
      <c r="Q736">
        <v>0.44</v>
      </c>
      <c r="R736" t="str">
        <f>IF(Q736&lt;=0.25,"Low ",IF(Q736&lt;=0.5,"Moderate ",IF(Q736&lt;=0.75,"High ","Very High ")))</f>
        <v xml:space="preserve">Moderate </v>
      </c>
      <c r="S736">
        <v>0.44779999999999998</v>
      </c>
      <c r="T736" t="str">
        <f>IF(S736&lt;=0.15,"Calm",IF(S736&lt;=0.3,"Light Wind",IF(S736&lt;=0.45,"Moderate Wind","Strong Wind")))</f>
        <v>Moderate Wind</v>
      </c>
      <c r="U736">
        <v>3</v>
      </c>
      <c r="V736">
        <v>29</v>
      </c>
      <c r="W736">
        <v>32</v>
      </c>
      <c r="X736" t="str">
        <f>IF(W736&lt;=75,"Low Demand",IF(W736&lt;=150,"Medium Demand",IF(W736&lt;=225,"High Demand","Very High Demand")))</f>
        <v>Low Demand</v>
      </c>
    </row>
    <row r="737" spans="1:24" x14ac:dyDescent="0.25">
      <c r="A737">
        <v>736</v>
      </c>
      <c r="B737" s="2">
        <v>40577</v>
      </c>
      <c r="C737">
        <v>1</v>
      </c>
      <c r="D737">
        <v>0</v>
      </c>
      <c r="E737">
        <v>2</v>
      </c>
      <c r="F737">
        <v>0</v>
      </c>
      <c r="G737" t="str">
        <f>IF(F737&lt;6,"Night",IF(F737&lt;12,"Morning",IF(F737&lt;18,"Afternoon","Evening")))</f>
        <v>Night</v>
      </c>
      <c r="H737">
        <v>0</v>
      </c>
      <c r="I737">
        <v>4</v>
      </c>
      <c r="J737" t="str">
        <f>CHOOSE(I737+1,"Monday","Tuesday","Wednesday","Thursday","Friday","Saturday","Sunday")</f>
        <v>Friday</v>
      </c>
      <c r="K737">
        <v>1</v>
      </c>
      <c r="L737" t="str">
        <f>CHOOSE(K737+1,"error","Clear","Misty","Rainy","Severe heater")</f>
        <v>Clear</v>
      </c>
      <c r="M737" s="1">
        <v>0.18</v>
      </c>
      <c r="N737" t="str">
        <f>IF(M737&lt;=0.2,"Low",IF(M737&lt;=0.4,"Mid","High"))</f>
        <v>Low</v>
      </c>
      <c r="O737" s="1">
        <v>0.1515</v>
      </c>
      <c r="P737" t="str">
        <f>IF(O737&lt;=0.15,"Very Cold",IF(O737&lt;=0.3,"Cold",IF(O737&lt;=0.45,"Pleasant","Hot")))</f>
        <v>Cold</v>
      </c>
      <c r="Q737">
        <v>0.4</v>
      </c>
      <c r="R737" t="str">
        <f>IF(Q737&lt;=0.25,"Low ",IF(Q737&lt;=0.5,"Moderate ",IF(Q737&lt;=0.75,"High ","Very High ")))</f>
        <v xml:space="preserve">Moderate </v>
      </c>
      <c r="S737">
        <v>0.44779999999999998</v>
      </c>
      <c r="T737" t="str">
        <f>IF(S737&lt;=0.15,"Calm",IF(S737&lt;=0.3,"Light Wind",IF(S737&lt;=0.45,"Moderate Wind","Strong Wind")))</f>
        <v>Moderate Wind</v>
      </c>
      <c r="U737">
        <v>1</v>
      </c>
      <c r="V737">
        <v>11</v>
      </c>
      <c r="W737">
        <v>12</v>
      </c>
      <c r="X737" t="str">
        <f>IF(W737&lt;=75,"Low Demand",IF(W737&lt;=150,"Medium Demand",IF(W737&lt;=225,"High Demand","Very High Demand")))</f>
        <v>Low Demand</v>
      </c>
    </row>
    <row r="738" spans="1:24" x14ac:dyDescent="0.25">
      <c r="A738">
        <v>737</v>
      </c>
      <c r="B738" s="2">
        <v>40577</v>
      </c>
      <c r="C738">
        <v>1</v>
      </c>
      <c r="D738">
        <v>0</v>
      </c>
      <c r="E738">
        <v>2</v>
      </c>
      <c r="F738">
        <v>1</v>
      </c>
      <c r="G738" t="str">
        <f>IF(F738&lt;6,"Night",IF(F738&lt;12,"Morning",IF(F738&lt;18,"Afternoon","Evening")))</f>
        <v>Night</v>
      </c>
      <c r="H738">
        <v>0</v>
      </c>
      <c r="I738">
        <v>4</v>
      </c>
      <c r="J738" t="str">
        <f>CHOOSE(I738+1,"Monday","Tuesday","Wednesday","Thursday","Friday","Saturday","Sunday")</f>
        <v>Friday</v>
      </c>
      <c r="K738">
        <v>1</v>
      </c>
      <c r="L738" t="str">
        <f>CHOOSE(K738+1,"error","Clear","Misty","Rainy","Severe heater")</f>
        <v>Clear</v>
      </c>
      <c r="M738" s="1">
        <v>0.18</v>
      </c>
      <c r="N738" t="str">
        <f>IF(M738&lt;=0.2,"Low",IF(M738&lt;=0.4,"Mid","High"))</f>
        <v>Low</v>
      </c>
      <c r="O738" s="1">
        <v>0.13639999999999999</v>
      </c>
      <c r="P738" t="str">
        <f>IF(O738&lt;=0.15,"Very Cold",IF(O738&lt;=0.3,"Cold",IF(O738&lt;=0.45,"Pleasant","Hot")))</f>
        <v>Very Cold</v>
      </c>
      <c r="Q738">
        <v>0.44</v>
      </c>
      <c r="R738" t="str">
        <f>IF(Q738&lt;=0.25,"Low ",IF(Q738&lt;=0.5,"Moderate ",IF(Q738&lt;=0.75,"High ","Very High ")))</f>
        <v xml:space="preserve">Moderate </v>
      </c>
      <c r="S738">
        <v>0.52239999999999998</v>
      </c>
      <c r="T738" t="str">
        <f>IF(S738&lt;=0.15,"Calm",IF(S738&lt;=0.3,"Light Wind",IF(S738&lt;=0.45,"Moderate Wind","Strong Wind")))</f>
        <v>Strong Wind</v>
      </c>
      <c r="U738">
        <v>0</v>
      </c>
      <c r="V738">
        <v>5</v>
      </c>
      <c r="W738">
        <v>5</v>
      </c>
      <c r="X738" t="str">
        <f>IF(W738&lt;=75,"Low Demand",IF(W738&lt;=150,"Medium Demand",IF(W738&lt;=225,"High Demand","Very High Demand")))</f>
        <v>Low Demand</v>
      </c>
    </row>
    <row r="739" spans="1:24" x14ac:dyDescent="0.25">
      <c r="A739">
        <v>738</v>
      </c>
      <c r="B739" s="2">
        <v>40577</v>
      </c>
      <c r="C739">
        <v>1</v>
      </c>
      <c r="D739">
        <v>0</v>
      </c>
      <c r="E739">
        <v>2</v>
      </c>
      <c r="F739">
        <v>2</v>
      </c>
      <c r="G739" t="str">
        <f>IF(F739&lt;6,"Night",IF(F739&lt;12,"Morning",IF(F739&lt;18,"Afternoon","Evening")))</f>
        <v>Night</v>
      </c>
      <c r="H739">
        <v>0</v>
      </c>
      <c r="I739">
        <v>4</v>
      </c>
      <c r="J739" t="str">
        <f>CHOOSE(I739+1,"Monday","Tuesday","Wednesday","Thursday","Friday","Saturday","Sunday")</f>
        <v>Friday</v>
      </c>
      <c r="K739">
        <v>1</v>
      </c>
      <c r="L739" t="str">
        <f>CHOOSE(K739+1,"error","Clear","Misty","Rainy","Severe heater")</f>
        <v>Clear</v>
      </c>
      <c r="M739" s="1">
        <v>0.2</v>
      </c>
      <c r="N739" t="str">
        <f>IF(M739&lt;=0.2,"Low",IF(M739&lt;=0.4,"Mid","High"))</f>
        <v>Low</v>
      </c>
      <c r="O739" s="1">
        <v>0.18179999999999999</v>
      </c>
      <c r="P739" t="str">
        <f>IF(O739&lt;=0.15,"Very Cold",IF(O739&lt;=0.3,"Cold",IF(O739&lt;=0.45,"Pleasant","Hot")))</f>
        <v>Cold</v>
      </c>
      <c r="Q739">
        <v>0.43</v>
      </c>
      <c r="R739" t="str">
        <f>IF(Q739&lt;=0.25,"Low ",IF(Q739&lt;=0.5,"Moderate ",IF(Q739&lt;=0.75,"High ","Very High ")))</f>
        <v xml:space="preserve">Moderate </v>
      </c>
      <c r="S739">
        <v>0.25369999999999998</v>
      </c>
      <c r="T739" t="str">
        <f>IF(S739&lt;=0.15,"Calm",IF(S739&lt;=0.3,"Light Wind",IF(S739&lt;=0.45,"Moderate Wind","Strong Wind")))</f>
        <v>Light Wind</v>
      </c>
      <c r="U739">
        <v>0</v>
      </c>
      <c r="V739">
        <v>2</v>
      </c>
      <c r="W739">
        <v>2</v>
      </c>
      <c r="X739" t="str">
        <f>IF(W739&lt;=75,"Low Demand",IF(W739&lt;=150,"Medium Demand",IF(W739&lt;=225,"High Demand","Very High Demand")))</f>
        <v>Low Demand</v>
      </c>
    </row>
    <row r="740" spans="1:24" x14ac:dyDescent="0.25">
      <c r="A740">
        <v>739</v>
      </c>
      <c r="B740" s="2">
        <v>40577</v>
      </c>
      <c r="C740">
        <v>1</v>
      </c>
      <c r="D740">
        <v>0</v>
      </c>
      <c r="E740">
        <v>2</v>
      </c>
      <c r="F740">
        <v>3</v>
      </c>
      <c r="G740" t="str">
        <f>IF(F740&lt;6,"Night",IF(F740&lt;12,"Morning",IF(F740&lt;18,"Afternoon","Evening")))</f>
        <v>Night</v>
      </c>
      <c r="H740">
        <v>0</v>
      </c>
      <c r="I740">
        <v>4</v>
      </c>
      <c r="J740" t="str">
        <f>CHOOSE(I740+1,"Monday","Tuesday","Wednesday","Thursday","Friday","Saturday","Sunday")</f>
        <v>Friday</v>
      </c>
      <c r="K740">
        <v>1</v>
      </c>
      <c r="L740" t="str">
        <f>CHOOSE(K740+1,"error","Clear","Misty","Rainy","Severe heater")</f>
        <v>Clear</v>
      </c>
      <c r="M740" s="1">
        <v>0.2</v>
      </c>
      <c r="N740" t="str">
        <f>IF(M740&lt;=0.2,"Low",IF(M740&lt;=0.4,"Mid","High"))</f>
        <v>Low</v>
      </c>
      <c r="O740" s="1">
        <v>0.16669999999999999</v>
      </c>
      <c r="P740" t="str">
        <f>IF(O740&lt;=0.15,"Very Cold",IF(O740&lt;=0.3,"Cold",IF(O740&lt;=0.45,"Pleasant","Hot")))</f>
        <v>Cold</v>
      </c>
      <c r="Q740">
        <v>0.43</v>
      </c>
      <c r="R740" t="str">
        <f>IF(Q740&lt;=0.25,"Low ",IF(Q740&lt;=0.5,"Moderate ",IF(Q740&lt;=0.75,"High ","Very High ")))</f>
        <v xml:space="preserve">Moderate </v>
      </c>
      <c r="S740">
        <v>0.25369999999999998</v>
      </c>
      <c r="T740" t="str">
        <f>IF(S740&lt;=0.15,"Calm",IF(S740&lt;=0.3,"Light Wind",IF(S740&lt;=0.45,"Moderate Wind","Strong Wind")))</f>
        <v>Light Wind</v>
      </c>
      <c r="U740">
        <v>0</v>
      </c>
      <c r="V740">
        <v>1</v>
      </c>
      <c r="W740">
        <v>1</v>
      </c>
      <c r="X740" t="str">
        <f>IF(W740&lt;=75,"Low Demand",IF(W740&lt;=150,"Medium Demand",IF(W740&lt;=225,"High Demand","Very High Demand")))</f>
        <v>Low Demand</v>
      </c>
    </row>
    <row r="741" spans="1:24" x14ac:dyDescent="0.25">
      <c r="A741">
        <v>740</v>
      </c>
      <c r="B741" s="2">
        <v>40577</v>
      </c>
      <c r="C741">
        <v>1</v>
      </c>
      <c r="D741">
        <v>0</v>
      </c>
      <c r="E741">
        <v>2</v>
      </c>
      <c r="F741">
        <v>5</v>
      </c>
      <c r="G741" t="str">
        <f>IF(F741&lt;6,"Night",IF(F741&lt;12,"Morning",IF(F741&lt;18,"Afternoon","Evening")))</f>
        <v>Night</v>
      </c>
      <c r="H741">
        <v>0</v>
      </c>
      <c r="I741">
        <v>4</v>
      </c>
      <c r="J741" t="str">
        <f>CHOOSE(I741+1,"Monday","Tuesday","Wednesday","Thursday","Friday","Saturday","Sunday")</f>
        <v>Friday</v>
      </c>
      <c r="K741">
        <v>1</v>
      </c>
      <c r="L741" t="str">
        <f>CHOOSE(K741+1,"error","Clear","Misty","Rainy","Severe heater")</f>
        <v>Clear</v>
      </c>
      <c r="M741" s="1">
        <v>0.22</v>
      </c>
      <c r="N741" t="str">
        <f>IF(M741&lt;=0.2,"Low",IF(M741&lt;=0.4,"Mid","High"))</f>
        <v>Mid</v>
      </c>
      <c r="O741" s="1">
        <v>0.19700000000000001</v>
      </c>
      <c r="P741" t="str">
        <f>IF(O741&lt;=0.15,"Very Cold",IF(O741&lt;=0.3,"Cold",IF(O741&lt;=0.45,"Pleasant","Hot")))</f>
        <v>Cold</v>
      </c>
      <c r="Q741">
        <v>0.5</v>
      </c>
      <c r="R741" t="str">
        <f>IF(Q741&lt;=0.25,"Low ",IF(Q741&lt;=0.5,"Moderate ",IF(Q741&lt;=0.75,"High ","Very High ")))</f>
        <v xml:space="preserve">Moderate </v>
      </c>
      <c r="S741">
        <v>0.29849999999999999</v>
      </c>
      <c r="T741" t="str">
        <f>IF(S741&lt;=0.15,"Calm",IF(S741&lt;=0.3,"Light Wind",IF(S741&lt;=0.45,"Moderate Wind","Strong Wind")))</f>
        <v>Light Wind</v>
      </c>
      <c r="U741">
        <v>0</v>
      </c>
      <c r="V741">
        <v>2</v>
      </c>
      <c r="W741">
        <v>2</v>
      </c>
      <c r="X741" t="str">
        <f>IF(W741&lt;=75,"Low Demand",IF(W741&lt;=150,"Medium Demand",IF(W741&lt;=225,"High Demand","Very High Demand")))</f>
        <v>Low Demand</v>
      </c>
    </row>
    <row r="742" spans="1:24" x14ac:dyDescent="0.25">
      <c r="A742">
        <v>741</v>
      </c>
      <c r="B742" s="2">
        <v>40577</v>
      </c>
      <c r="C742">
        <v>1</v>
      </c>
      <c r="D742">
        <v>0</v>
      </c>
      <c r="E742">
        <v>2</v>
      </c>
      <c r="F742">
        <v>6</v>
      </c>
      <c r="G742" t="str">
        <f>IF(F742&lt;6,"Night",IF(F742&lt;12,"Morning",IF(F742&lt;18,"Afternoon","Evening")))</f>
        <v>Morning</v>
      </c>
      <c r="H742">
        <v>0</v>
      </c>
      <c r="I742">
        <v>4</v>
      </c>
      <c r="J742" t="str">
        <f>CHOOSE(I742+1,"Monday","Tuesday","Wednesday","Thursday","Friday","Saturday","Sunday")</f>
        <v>Friday</v>
      </c>
      <c r="K742">
        <v>1</v>
      </c>
      <c r="L742" t="str">
        <f>CHOOSE(K742+1,"error","Clear","Misty","Rainy","Severe heater")</f>
        <v>Clear</v>
      </c>
      <c r="M742" s="1">
        <v>0.22</v>
      </c>
      <c r="N742" t="str">
        <f>IF(M742&lt;=0.2,"Low",IF(M742&lt;=0.4,"Mid","High"))</f>
        <v>Mid</v>
      </c>
      <c r="O742" s="1">
        <v>0.19700000000000001</v>
      </c>
      <c r="P742" t="str">
        <f>IF(O742&lt;=0.15,"Very Cold",IF(O742&lt;=0.3,"Cold",IF(O742&lt;=0.45,"Pleasant","Hot")))</f>
        <v>Cold</v>
      </c>
      <c r="Q742">
        <v>0.43</v>
      </c>
      <c r="R742" t="str">
        <f>IF(Q742&lt;=0.25,"Low ",IF(Q742&lt;=0.5,"Moderate ",IF(Q742&lt;=0.75,"High ","Very High ")))</f>
        <v xml:space="preserve">Moderate </v>
      </c>
      <c r="S742">
        <v>0.35820000000000002</v>
      </c>
      <c r="T742" t="str">
        <f>IF(S742&lt;=0.15,"Calm",IF(S742&lt;=0.3,"Light Wind",IF(S742&lt;=0.45,"Moderate Wind","Strong Wind")))</f>
        <v>Moderate Wind</v>
      </c>
      <c r="U742">
        <v>0</v>
      </c>
      <c r="V742">
        <v>39</v>
      </c>
      <c r="W742">
        <v>39</v>
      </c>
      <c r="X742" t="str">
        <f>IF(W742&lt;=75,"Low Demand",IF(W742&lt;=150,"Medium Demand",IF(W742&lt;=225,"High Demand","Very High Demand")))</f>
        <v>Low Demand</v>
      </c>
    </row>
    <row r="743" spans="1:24" x14ac:dyDescent="0.25">
      <c r="A743">
        <v>742</v>
      </c>
      <c r="B743" s="2">
        <v>40577</v>
      </c>
      <c r="C743">
        <v>1</v>
      </c>
      <c r="D743">
        <v>0</v>
      </c>
      <c r="E743">
        <v>2</v>
      </c>
      <c r="F743">
        <v>7</v>
      </c>
      <c r="G743" t="str">
        <f>IF(F743&lt;6,"Night",IF(F743&lt;12,"Morning",IF(F743&lt;18,"Afternoon","Evening")))</f>
        <v>Morning</v>
      </c>
      <c r="H743">
        <v>0</v>
      </c>
      <c r="I743">
        <v>4</v>
      </c>
      <c r="J743" t="str">
        <f>CHOOSE(I743+1,"Monday","Tuesday","Wednesday","Thursday","Friday","Saturday","Sunday")</f>
        <v>Friday</v>
      </c>
      <c r="K743">
        <v>1</v>
      </c>
      <c r="L743" t="str">
        <f>CHOOSE(K743+1,"error","Clear","Misty","Rainy","Severe heater")</f>
        <v>Clear</v>
      </c>
      <c r="M743" s="1">
        <v>0.22</v>
      </c>
      <c r="N743" t="str">
        <f>IF(M743&lt;=0.2,"Low",IF(M743&lt;=0.4,"Mid","High"))</f>
        <v>Mid</v>
      </c>
      <c r="O743" s="1">
        <v>0.21210000000000001</v>
      </c>
      <c r="P743" t="str">
        <f>IF(O743&lt;=0.15,"Very Cold",IF(O743&lt;=0.3,"Cold",IF(O743&lt;=0.45,"Pleasant","Hot")))</f>
        <v>Cold</v>
      </c>
      <c r="Q743">
        <v>0.5</v>
      </c>
      <c r="R743" t="str">
        <f>IF(Q743&lt;=0.25,"Low ",IF(Q743&lt;=0.5,"Moderate ",IF(Q743&lt;=0.75,"High ","Very High ")))</f>
        <v xml:space="preserve">Moderate </v>
      </c>
      <c r="S743">
        <v>0.32840000000000003</v>
      </c>
      <c r="T743" t="str">
        <f>IF(S743&lt;=0.15,"Calm",IF(S743&lt;=0.3,"Light Wind",IF(S743&lt;=0.45,"Moderate Wind","Strong Wind")))</f>
        <v>Moderate Wind</v>
      </c>
      <c r="U743">
        <v>1</v>
      </c>
      <c r="V743">
        <v>86</v>
      </c>
      <c r="W743">
        <v>87</v>
      </c>
      <c r="X743" t="str">
        <f>IF(W743&lt;=75,"Low Demand",IF(W743&lt;=150,"Medium Demand",IF(W743&lt;=225,"High Demand","Very High Demand")))</f>
        <v>Medium Demand</v>
      </c>
    </row>
    <row r="744" spans="1:24" x14ac:dyDescent="0.25">
      <c r="A744">
        <v>743</v>
      </c>
      <c r="B744" s="2">
        <v>40577</v>
      </c>
      <c r="C744">
        <v>1</v>
      </c>
      <c r="D744">
        <v>0</v>
      </c>
      <c r="E744">
        <v>2</v>
      </c>
      <c r="F744">
        <v>8</v>
      </c>
      <c r="G744" t="str">
        <f>IF(F744&lt;6,"Night",IF(F744&lt;12,"Morning",IF(F744&lt;18,"Afternoon","Evening")))</f>
        <v>Morning</v>
      </c>
      <c r="H744">
        <v>0</v>
      </c>
      <c r="I744">
        <v>4</v>
      </c>
      <c r="J744" t="str">
        <f>CHOOSE(I744+1,"Monday","Tuesday","Wednesday","Thursday","Friday","Saturday","Sunday")</f>
        <v>Friday</v>
      </c>
      <c r="K744">
        <v>1</v>
      </c>
      <c r="L744" t="str">
        <f>CHOOSE(K744+1,"error","Clear","Misty","Rainy","Severe heater")</f>
        <v>Clear</v>
      </c>
      <c r="M744" s="1">
        <v>0.2</v>
      </c>
      <c r="N744" t="str">
        <f>IF(M744&lt;=0.2,"Low",IF(M744&lt;=0.4,"Mid","High"))</f>
        <v>Low</v>
      </c>
      <c r="O744" s="1">
        <v>0.19700000000000001</v>
      </c>
      <c r="P744" t="str">
        <f>IF(O744&lt;=0.15,"Very Cold",IF(O744&lt;=0.3,"Cold",IF(O744&lt;=0.45,"Pleasant","Hot")))</f>
        <v>Cold</v>
      </c>
      <c r="Q744">
        <v>0.5</v>
      </c>
      <c r="R744" t="str">
        <f>IF(Q744&lt;=0.25,"Low ",IF(Q744&lt;=0.5,"Moderate ",IF(Q744&lt;=0.75,"High ","Very High ")))</f>
        <v xml:space="preserve">Moderate </v>
      </c>
      <c r="S744">
        <v>0.35820000000000002</v>
      </c>
      <c r="T744" t="str">
        <f>IF(S744&lt;=0.15,"Calm",IF(S744&lt;=0.3,"Light Wind",IF(S744&lt;=0.45,"Moderate Wind","Strong Wind")))</f>
        <v>Moderate Wind</v>
      </c>
      <c r="U744">
        <v>4</v>
      </c>
      <c r="V744">
        <v>184</v>
      </c>
      <c r="W744">
        <v>188</v>
      </c>
      <c r="X744" t="str">
        <f>IF(W744&lt;=75,"Low Demand",IF(W744&lt;=150,"Medium Demand",IF(W744&lt;=225,"High Demand","Very High Demand")))</f>
        <v>High Demand</v>
      </c>
    </row>
    <row r="745" spans="1:24" x14ac:dyDescent="0.25">
      <c r="A745">
        <v>744</v>
      </c>
      <c r="B745" s="2">
        <v>40577</v>
      </c>
      <c r="C745">
        <v>1</v>
      </c>
      <c r="D745">
        <v>0</v>
      </c>
      <c r="E745">
        <v>2</v>
      </c>
      <c r="F745">
        <v>9</v>
      </c>
      <c r="G745" t="str">
        <f>IF(F745&lt;6,"Night",IF(F745&lt;12,"Morning",IF(F745&lt;18,"Afternoon","Evening")))</f>
        <v>Morning</v>
      </c>
      <c r="H745">
        <v>0</v>
      </c>
      <c r="I745">
        <v>4</v>
      </c>
      <c r="J745" t="str">
        <f>CHOOSE(I745+1,"Monday","Tuesday","Wednesday","Thursday","Friday","Saturday","Sunday")</f>
        <v>Friday</v>
      </c>
      <c r="K745">
        <v>1</v>
      </c>
      <c r="L745" t="str">
        <f>CHOOSE(K745+1,"error","Clear","Misty","Rainy","Severe heater")</f>
        <v>Clear</v>
      </c>
      <c r="M745" s="1">
        <v>0.2</v>
      </c>
      <c r="N745" t="str">
        <f>IF(M745&lt;=0.2,"Low",IF(M745&lt;=0.4,"Mid","High"))</f>
        <v>Low</v>
      </c>
      <c r="O745" s="1">
        <v>0.21210000000000001</v>
      </c>
      <c r="P745" t="str">
        <f>IF(O745&lt;=0.15,"Very Cold",IF(O745&lt;=0.3,"Cold",IF(O745&lt;=0.45,"Pleasant","Hot")))</f>
        <v>Cold</v>
      </c>
      <c r="Q745">
        <v>0.47</v>
      </c>
      <c r="R745" t="str">
        <f>IF(Q745&lt;=0.25,"Low ",IF(Q745&lt;=0.5,"Moderate ",IF(Q745&lt;=0.75,"High ","Very High ")))</f>
        <v xml:space="preserve">Moderate </v>
      </c>
      <c r="S745">
        <v>0.29849999999999999</v>
      </c>
      <c r="T745" t="str">
        <f>IF(S745&lt;=0.15,"Calm",IF(S745&lt;=0.3,"Light Wind",IF(S745&lt;=0.45,"Moderate Wind","Strong Wind")))</f>
        <v>Light Wind</v>
      </c>
      <c r="U745">
        <v>6</v>
      </c>
      <c r="V745">
        <v>127</v>
      </c>
      <c r="W745">
        <v>133</v>
      </c>
      <c r="X745" t="str">
        <f>IF(W745&lt;=75,"Low Demand",IF(W745&lt;=150,"Medium Demand",IF(W745&lt;=225,"High Demand","Very High Demand")))</f>
        <v>Medium Demand</v>
      </c>
    </row>
    <row r="746" spans="1:24" x14ac:dyDescent="0.25">
      <c r="A746">
        <v>745</v>
      </c>
      <c r="B746" s="2">
        <v>40577</v>
      </c>
      <c r="C746">
        <v>1</v>
      </c>
      <c r="D746">
        <v>0</v>
      </c>
      <c r="E746">
        <v>2</v>
      </c>
      <c r="F746">
        <v>10</v>
      </c>
      <c r="G746" t="str">
        <f>IF(F746&lt;6,"Night",IF(F746&lt;12,"Morning",IF(F746&lt;18,"Afternoon","Evening")))</f>
        <v>Morning</v>
      </c>
      <c r="H746">
        <v>0</v>
      </c>
      <c r="I746">
        <v>4</v>
      </c>
      <c r="J746" t="str">
        <f>CHOOSE(I746+1,"Monday","Tuesday","Wednesday","Thursday","Friday","Saturday","Sunday")</f>
        <v>Friday</v>
      </c>
      <c r="K746">
        <v>1</v>
      </c>
      <c r="L746" t="str">
        <f>CHOOSE(K746+1,"error","Clear","Misty","Rainy","Severe heater")</f>
        <v>Clear</v>
      </c>
      <c r="M746" s="1">
        <v>0.2</v>
      </c>
      <c r="N746" t="str">
        <f>IF(M746&lt;=0.2,"Low",IF(M746&lt;=0.4,"Mid","High"))</f>
        <v>Low</v>
      </c>
      <c r="O746" s="1">
        <v>0.2576</v>
      </c>
      <c r="P746" t="str">
        <f>IF(O746&lt;=0.15,"Very Cold",IF(O746&lt;=0.3,"Cold",IF(O746&lt;=0.45,"Pleasant","Hot")))</f>
        <v>Cold</v>
      </c>
      <c r="Q746">
        <v>0.43</v>
      </c>
      <c r="R746" t="str">
        <f>IF(Q746&lt;=0.25,"Low ",IF(Q746&lt;=0.5,"Moderate ",IF(Q746&lt;=0.75,"High ","Very High ")))</f>
        <v xml:space="preserve">Moderate </v>
      </c>
      <c r="S746">
        <v>0.32840000000000003</v>
      </c>
      <c r="T746" t="str">
        <f>IF(S746&lt;=0.15,"Calm",IF(S746&lt;=0.3,"Light Wind",IF(S746&lt;=0.45,"Moderate Wind","Strong Wind")))</f>
        <v>Moderate Wind</v>
      </c>
      <c r="U746">
        <v>2</v>
      </c>
      <c r="V746">
        <v>50</v>
      </c>
      <c r="W746">
        <v>52</v>
      </c>
      <c r="X746" t="str">
        <f>IF(W746&lt;=75,"Low Demand",IF(W746&lt;=150,"Medium Demand",IF(W746&lt;=225,"High Demand","Very High Demand")))</f>
        <v>Low Demand</v>
      </c>
    </row>
    <row r="747" spans="1:24" x14ac:dyDescent="0.25">
      <c r="A747">
        <v>746</v>
      </c>
      <c r="B747" s="2">
        <v>40577</v>
      </c>
      <c r="C747">
        <v>1</v>
      </c>
      <c r="D747">
        <v>0</v>
      </c>
      <c r="E747">
        <v>2</v>
      </c>
      <c r="F747">
        <v>11</v>
      </c>
      <c r="G747" t="str">
        <f>IF(F747&lt;6,"Night",IF(F747&lt;12,"Morning",IF(F747&lt;18,"Afternoon","Evening")))</f>
        <v>Morning</v>
      </c>
      <c r="H747">
        <v>0</v>
      </c>
      <c r="I747">
        <v>4</v>
      </c>
      <c r="J747" t="str">
        <f>CHOOSE(I747+1,"Monday","Tuesday","Wednesday","Thursday","Friday","Saturday","Sunday")</f>
        <v>Friday</v>
      </c>
      <c r="K747">
        <v>1</v>
      </c>
      <c r="L747" t="str">
        <f>CHOOSE(K747+1,"error","Clear","Misty","Rainy","Severe heater")</f>
        <v>Clear</v>
      </c>
      <c r="M747" s="1">
        <v>0.2</v>
      </c>
      <c r="N747" t="str">
        <f>IF(M747&lt;=0.2,"Low",IF(M747&lt;=0.4,"Mid","High"))</f>
        <v>Low</v>
      </c>
      <c r="O747" s="1">
        <v>0.2273</v>
      </c>
      <c r="P747" t="str">
        <f>IF(O747&lt;=0.15,"Very Cold",IF(O747&lt;=0.3,"Cold",IF(O747&lt;=0.45,"Pleasant","Hot")))</f>
        <v>Cold</v>
      </c>
      <c r="Q747">
        <v>0.43</v>
      </c>
      <c r="R747" t="str">
        <f>IF(Q747&lt;=0.25,"Low ",IF(Q747&lt;=0.5,"Moderate ",IF(Q747&lt;=0.75,"High ","Very High ")))</f>
        <v xml:space="preserve">Moderate </v>
      </c>
      <c r="S747">
        <v>0.44779999999999998</v>
      </c>
      <c r="T747" t="str">
        <f>IF(S747&lt;=0.15,"Calm",IF(S747&lt;=0.3,"Light Wind",IF(S747&lt;=0.45,"Moderate Wind","Strong Wind")))</f>
        <v>Moderate Wind</v>
      </c>
      <c r="U747">
        <v>9</v>
      </c>
      <c r="V747">
        <v>55</v>
      </c>
      <c r="W747">
        <v>64</v>
      </c>
      <c r="X747" t="str">
        <f>IF(W747&lt;=75,"Low Demand",IF(W747&lt;=150,"Medium Demand",IF(W747&lt;=225,"High Demand","Very High Demand")))</f>
        <v>Low Demand</v>
      </c>
    </row>
    <row r="748" spans="1:24" x14ac:dyDescent="0.25">
      <c r="A748">
        <v>747</v>
      </c>
      <c r="B748" s="2">
        <v>40577</v>
      </c>
      <c r="C748">
        <v>1</v>
      </c>
      <c r="D748">
        <v>0</v>
      </c>
      <c r="E748">
        <v>2</v>
      </c>
      <c r="F748">
        <v>12</v>
      </c>
      <c r="G748" t="str">
        <f>IF(F748&lt;6,"Night",IF(F748&lt;12,"Morning",IF(F748&lt;18,"Afternoon","Evening")))</f>
        <v>Afternoon</v>
      </c>
      <c r="H748">
        <v>0</v>
      </c>
      <c r="I748">
        <v>4</v>
      </c>
      <c r="J748" t="str">
        <f>CHOOSE(I748+1,"Monday","Tuesday","Wednesday","Thursday","Friday","Saturday","Sunday")</f>
        <v>Friday</v>
      </c>
      <c r="K748">
        <v>1</v>
      </c>
      <c r="L748" t="str">
        <f>CHOOSE(K748+1,"error","Clear","Misty","Rainy","Severe heater")</f>
        <v>Clear</v>
      </c>
      <c r="M748" s="1">
        <v>0.18</v>
      </c>
      <c r="N748" t="str">
        <f>IF(M748&lt;=0.2,"Low",IF(M748&lt;=0.4,"Mid","High"))</f>
        <v>Low</v>
      </c>
      <c r="O748" s="1">
        <v>0.21210000000000001</v>
      </c>
      <c r="P748" t="str">
        <f>IF(O748&lt;=0.15,"Very Cold",IF(O748&lt;=0.3,"Cold",IF(O748&lt;=0.45,"Pleasant","Hot")))</f>
        <v>Cold</v>
      </c>
      <c r="Q748">
        <v>0.4</v>
      </c>
      <c r="R748" t="str">
        <f>IF(Q748&lt;=0.25,"Low ",IF(Q748&lt;=0.5,"Moderate ",IF(Q748&lt;=0.75,"High ","Very High ")))</f>
        <v xml:space="preserve">Moderate </v>
      </c>
      <c r="S748">
        <v>0.35820000000000002</v>
      </c>
      <c r="T748" t="str">
        <f>IF(S748&lt;=0.15,"Calm",IF(S748&lt;=0.3,"Light Wind",IF(S748&lt;=0.45,"Moderate Wind","Strong Wind")))</f>
        <v>Moderate Wind</v>
      </c>
      <c r="U748">
        <v>2</v>
      </c>
      <c r="V748">
        <v>67</v>
      </c>
      <c r="W748">
        <v>69</v>
      </c>
      <c r="X748" t="str">
        <f>IF(W748&lt;=75,"Low Demand",IF(W748&lt;=150,"Medium Demand",IF(W748&lt;=225,"High Demand","Very High Demand")))</f>
        <v>Low Demand</v>
      </c>
    </row>
    <row r="749" spans="1:24" x14ac:dyDescent="0.25">
      <c r="A749">
        <v>748</v>
      </c>
      <c r="B749" s="2">
        <v>40577</v>
      </c>
      <c r="C749">
        <v>1</v>
      </c>
      <c r="D749">
        <v>0</v>
      </c>
      <c r="E749">
        <v>2</v>
      </c>
      <c r="F749">
        <v>13</v>
      </c>
      <c r="G749" t="str">
        <f>IF(F749&lt;6,"Night",IF(F749&lt;12,"Morning",IF(F749&lt;18,"Afternoon","Evening")))</f>
        <v>Afternoon</v>
      </c>
      <c r="H749">
        <v>0</v>
      </c>
      <c r="I749">
        <v>4</v>
      </c>
      <c r="J749" t="str">
        <f>CHOOSE(I749+1,"Monday","Tuesday","Wednesday","Thursday","Friday","Saturday","Sunday")</f>
        <v>Friday</v>
      </c>
      <c r="K749">
        <v>1</v>
      </c>
      <c r="L749" t="str">
        <f>CHOOSE(K749+1,"error","Clear","Misty","Rainy","Severe heater")</f>
        <v>Clear</v>
      </c>
      <c r="M749" s="1">
        <v>0.18</v>
      </c>
      <c r="N749" t="str">
        <f>IF(M749&lt;=0.2,"Low",IF(M749&lt;=0.4,"Mid","High"))</f>
        <v>Low</v>
      </c>
      <c r="O749" s="1">
        <v>0.21210000000000001</v>
      </c>
      <c r="P749" t="str">
        <f>IF(O749&lt;=0.15,"Very Cold",IF(O749&lt;=0.3,"Cold",IF(O749&lt;=0.45,"Pleasant","Hot")))</f>
        <v>Cold</v>
      </c>
      <c r="Q749">
        <v>0.4</v>
      </c>
      <c r="R749" t="str">
        <f>IF(Q749&lt;=0.25,"Low ",IF(Q749&lt;=0.5,"Moderate ",IF(Q749&lt;=0.75,"High ","Very High ")))</f>
        <v xml:space="preserve">Moderate </v>
      </c>
      <c r="S749">
        <v>0.41789999999999999</v>
      </c>
      <c r="T749" t="str">
        <f>IF(S749&lt;=0.15,"Calm",IF(S749&lt;=0.3,"Light Wind",IF(S749&lt;=0.45,"Moderate Wind","Strong Wind")))</f>
        <v>Moderate Wind</v>
      </c>
      <c r="U749">
        <v>4</v>
      </c>
      <c r="V749">
        <v>47</v>
      </c>
      <c r="W749">
        <v>51</v>
      </c>
      <c r="X749" t="str">
        <f>IF(W749&lt;=75,"Low Demand",IF(W749&lt;=150,"Medium Demand",IF(W749&lt;=225,"High Demand","Very High Demand")))</f>
        <v>Low Demand</v>
      </c>
    </row>
    <row r="750" spans="1:24" x14ac:dyDescent="0.25">
      <c r="A750">
        <v>749</v>
      </c>
      <c r="B750" s="2">
        <v>40577</v>
      </c>
      <c r="C750">
        <v>1</v>
      </c>
      <c r="D750">
        <v>0</v>
      </c>
      <c r="E750">
        <v>2</v>
      </c>
      <c r="F750">
        <v>14</v>
      </c>
      <c r="G750" t="str">
        <f>IF(F750&lt;6,"Night",IF(F750&lt;12,"Morning",IF(F750&lt;18,"Afternoon","Evening")))</f>
        <v>Afternoon</v>
      </c>
      <c r="H750">
        <v>0</v>
      </c>
      <c r="I750">
        <v>4</v>
      </c>
      <c r="J750" t="str">
        <f>CHOOSE(I750+1,"Monday","Tuesday","Wednesday","Thursday","Friday","Saturday","Sunday")</f>
        <v>Friday</v>
      </c>
      <c r="K750">
        <v>1</v>
      </c>
      <c r="L750" t="str">
        <f>CHOOSE(K750+1,"error","Clear","Misty","Rainy","Severe heater")</f>
        <v>Clear</v>
      </c>
      <c r="M750" s="1">
        <v>0.2</v>
      </c>
      <c r="N750" t="str">
        <f>IF(M750&lt;=0.2,"Low",IF(M750&lt;=0.4,"Mid","High"))</f>
        <v>Low</v>
      </c>
      <c r="O750" s="1">
        <v>0.2273</v>
      </c>
      <c r="P750" t="str">
        <f>IF(O750&lt;=0.15,"Very Cold",IF(O750&lt;=0.3,"Cold",IF(O750&lt;=0.45,"Pleasant","Hot")))</f>
        <v>Cold</v>
      </c>
      <c r="Q750">
        <v>0.37</v>
      </c>
      <c r="R750" t="str">
        <f>IF(Q750&lt;=0.25,"Low ",IF(Q750&lt;=0.5,"Moderate ",IF(Q750&lt;=0.75,"High ","Very High ")))</f>
        <v xml:space="preserve">Moderate </v>
      </c>
      <c r="S750">
        <v>0.3881</v>
      </c>
      <c r="T750" t="str">
        <f>IF(S750&lt;=0.15,"Calm",IF(S750&lt;=0.3,"Light Wind",IF(S750&lt;=0.45,"Moderate Wind","Strong Wind")))</f>
        <v>Moderate Wind</v>
      </c>
      <c r="U750">
        <v>4</v>
      </c>
      <c r="V750">
        <v>43</v>
      </c>
      <c r="W750">
        <v>47</v>
      </c>
      <c r="X750" t="str">
        <f>IF(W750&lt;=75,"Low Demand",IF(W750&lt;=150,"Medium Demand",IF(W750&lt;=225,"High Demand","Very High Demand")))</f>
        <v>Low Demand</v>
      </c>
    </row>
    <row r="751" spans="1:24" x14ac:dyDescent="0.25">
      <c r="A751">
        <v>750</v>
      </c>
      <c r="B751" s="2">
        <v>40577</v>
      </c>
      <c r="C751">
        <v>1</v>
      </c>
      <c r="D751">
        <v>0</v>
      </c>
      <c r="E751">
        <v>2</v>
      </c>
      <c r="F751">
        <v>15</v>
      </c>
      <c r="G751" t="str">
        <f>IF(F751&lt;6,"Night",IF(F751&lt;12,"Morning",IF(F751&lt;18,"Afternoon","Evening")))</f>
        <v>Afternoon</v>
      </c>
      <c r="H751">
        <v>0</v>
      </c>
      <c r="I751">
        <v>4</v>
      </c>
      <c r="J751" t="str">
        <f>CHOOSE(I751+1,"Monday","Tuesday","Wednesday","Thursday","Friday","Saturday","Sunday")</f>
        <v>Friday</v>
      </c>
      <c r="K751">
        <v>1</v>
      </c>
      <c r="L751" t="str">
        <f>CHOOSE(K751+1,"error","Clear","Misty","Rainy","Severe heater")</f>
        <v>Clear</v>
      </c>
      <c r="M751" s="1">
        <v>0.2</v>
      </c>
      <c r="N751" t="str">
        <f>IF(M751&lt;=0.2,"Low",IF(M751&lt;=0.4,"Mid","High"))</f>
        <v>Low</v>
      </c>
      <c r="O751" s="1">
        <v>0.2576</v>
      </c>
      <c r="P751" t="str">
        <f>IF(O751&lt;=0.15,"Very Cold",IF(O751&lt;=0.3,"Cold",IF(O751&lt;=0.45,"Pleasant","Hot")))</f>
        <v>Cold</v>
      </c>
      <c r="Q751">
        <v>0.37</v>
      </c>
      <c r="R751" t="str">
        <f>IF(Q751&lt;=0.25,"Low ",IF(Q751&lt;=0.5,"Moderate ",IF(Q751&lt;=0.75,"High ","Very High ")))</f>
        <v xml:space="preserve">Moderate </v>
      </c>
      <c r="S751">
        <v>0.32840000000000003</v>
      </c>
      <c r="T751" t="str">
        <f>IF(S751&lt;=0.15,"Calm",IF(S751&lt;=0.3,"Light Wind",IF(S751&lt;=0.45,"Moderate Wind","Strong Wind")))</f>
        <v>Moderate Wind</v>
      </c>
      <c r="U751">
        <v>4</v>
      </c>
      <c r="V751">
        <v>56</v>
      </c>
      <c r="W751">
        <v>60</v>
      </c>
      <c r="X751" t="str">
        <f>IF(W751&lt;=75,"Low Demand",IF(W751&lt;=150,"Medium Demand",IF(W751&lt;=225,"High Demand","Very High Demand")))</f>
        <v>Low Demand</v>
      </c>
    </row>
    <row r="752" spans="1:24" x14ac:dyDescent="0.25">
      <c r="A752">
        <v>751</v>
      </c>
      <c r="B752" s="2">
        <v>40577</v>
      </c>
      <c r="C752">
        <v>1</v>
      </c>
      <c r="D752">
        <v>0</v>
      </c>
      <c r="E752">
        <v>2</v>
      </c>
      <c r="F752">
        <v>16</v>
      </c>
      <c r="G752" t="str">
        <f>IF(F752&lt;6,"Night",IF(F752&lt;12,"Morning",IF(F752&lt;18,"Afternoon","Evening")))</f>
        <v>Afternoon</v>
      </c>
      <c r="H752">
        <v>0</v>
      </c>
      <c r="I752">
        <v>4</v>
      </c>
      <c r="J752" t="str">
        <f>CHOOSE(I752+1,"Monday","Tuesday","Wednesday","Thursday","Friday","Saturday","Sunday")</f>
        <v>Friday</v>
      </c>
      <c r="K752">
        <v>1</v>
      </c>
      <c r="L752" t="str">
        <f>CHOOSE(K752+1,"error","Clear","Misty","Rainy","Severe heater")</f>
        <v>Clear</v>
      </c>
      <c r="M752" s="1">
        <v>0.16</v>
      </c>
      <c r="N752" t="str">
        <f>IF(M752&lt;=0.2,"Low",IF(M752&lt;=0.4,"Mid","High"))</f>
        <v>Low</v>
      </c>
      <c r="O752" s="1">
        <v>0.2273</v>
      </c>
      <c r="P752" t="str">
        <f>IF(O752&lt;=0.15,"Very Cold",IF(O752&lt;=0.3,"Cold",IF(O752&lt;=0.45,"Pleasant","Hot")))</f>
        <v>Cold</v>
      </c>
      <c r="Q752">
        <v>0.37</v>
      </c>
      <c r="R752" t="str">
        <f>IF(Q752&lt;=0.25,"Low ",IF(Q752&lt;=0.5,"Moderate ",IF(Q752&lt;=0.75,"High ","Very High ")))</f>
        <v xml:space="preserve">Moderate </v>
      </c>
      <c r="S752">
        <v>0.25369999999999998</v>
      </c>
      <c r="T752" t="str">
        <f>IF(S752&lt;=0.15,"Calm",IF(S752&lt;=0.3,"Light Wind",IF(S752&lt;=0.45,"Moderate Wind","Strong Wind")))</f>
        <v>Light Wind</v>
      </c>
      <c r="U752">
        <v>5</v>
      </c>
      <c r="V752">
        <v>73</v>
      </c>
      <c r="W752">
        <v>78</v>
      </c>
      <c r="X752" t="str">
        <f>IF(W752&lt;=75,"Low Demand",IF(W752&lt;=150,"Medium Demand",IF(W752&lt;=225,"High Demand","Very High Demand")))</f>
        <v>Medium Demand</v>
      </c>
    </row>
    <row r="753" spans="1:24" x14ac:dyDescent="0.25">
      <c r="A753">
        <v>752</v>
      </c>
      <c r="B753" s="2">
        <v>40577</v>
      </c>
      <c r="C753">
        <v>1</v>
      </c>
      <c r="D753">
        <v>0</v>
      </c>
      <c r="E753">
        <v>2</v>
      </c>
      <c r="F753">
        <v>17</v>
      </c>
      <c r="G753" t="str">
        <f>IF(F753&lt;6,"Night",IF(F753&lt;12,"Morning",IF(F753&lt;18,"Afternoon","Evening")))</f>
        <v>Afternoon</v>
      </c>
      <c r="H753">
        <v>0</v>
      </c>
      <c r="I753">
        <v>4</v>
      </c>
      <c r="J753" t="str">
        <f>CHOOSE(I753+1,"Monday","Tuesday","Wednesday","Thursday","Friday","Saturday","Sunday")</f>
        <v>Friday</v>
      </c>
      <c r="K753">
        <v>1</v>
      </c>
      <c r="L753" t="str">
        <f>CHOOSE(K753+1,"error","Clear","Misty","Rainy","Severe heater")</f>
        <v>Clear</v>
      </c>
      <c r="M753" s="1">
        <v>0.14000000000000001</v>
      </c>
      <c r="N753" t="str">
        <f>IF(M753&lt;=0.2,"Low",IF(M753&lt;=0.4,"Mid","High"))</f>
        <v>Low</v>
      </c>
      <c r="O753" s="1">
        <v>0.16669999999999999</v>
      </c>
      <c r="P753" t="str">
        <f>IF(O753&lt;=0.15,"Very Cold",IF(O753&lt;=0.3,"Cold",IF(O753&lt;=0.45,"Pleasant","Hot")))</f>
        <v>Cold</v>
      </c>
      <c r="Q753">
        <v>0.4</v>
      </c>
      <c r="R753" t="str">
        <f>IF(Q753&lt;=0.25,"Low ",IF(Q753&lt;=0.5,"Moderate ",IF(Q753&lt;=0.75,"High ","Very High ")))</f>
        <v xml:space="preserve">Moderate </v>
      </c>
      <c r="S753">
        <v>0.19400000000000001</v>
      </c>
      <c r="T753" t="str">
        <f>IF(S753&lt;=0.15,"Calm",IF(S753&lt;=0.3,"Light Wind",IF(S753&lt;=0.45,"Moderate Wind","Strong Wind")))</f>
        <v>Light Wind</v>
      </c>
      <c r="U753">
        <v>5</v>
      </c>
      <c r="V753">
        <v>170</v>
      </c>
      <c r="W753">
        <v>175</v>
      </c>
      <c r="X753" t="str">
        <f>IF(W753&lt;=75,"Low Demand",IF(W753&lt;=150,"Medium Demand",IF(W753&lt;=225,"High Demand","Very High Demand")))</f>
        <v>High Demand</v>
      </c>
    </row>
    <row r="754" spans="1:24" x14ac:dyDescent="0.25">
      <c r="A754">
        <v>753</v>
      </c>
      <c r="B754" s="2">
        <v>40577</v>
      </c>
      <c r="C754">
        <v>1</v>
      </c>
      <c r="D754">
        <v>0</v>
      </c>
      <c r="E754">
        <v>2</v>
      </c>
      <c r="F754">
        <v>18</v>
      </c>
      <c r="G754" t="str">
        <f>IF(F754&lt;6,"Night",IF(F754&lt;12,"Morning",IF(F754&lt;18,"Afternoon","Evening")))</f>
        <v>Evening</v>
      </c>
      <c r="H754">
        <v>0</v>
      </c>
      <c r="I754">
        <v>4</v>
      </c>
      <c r="J754" t="str">
        <f>CHOOSE(I754+1,"Monday","Tuesday","Wednesday","Thursday","Friday","Saturday","Sunday")</f>
        <v>Friday</v>
      </c>
      <c r="K754">
        <v>1</v>
      </c>
      <c r="L754" t="str">
        <f>CHOOSE(K754+1,"error","Clear","Misty","Rainy","Severe heater")</f>
        <v>Clear</v>
      </c>
      <c r="M754" s="1">
        <v>0.14000000000000001</v>
      </c>
      <c r="N754" t="str">
        <f>IF(M754&lt;=0.2,"Low",IF(M754&lt;=0.4,"Mid","High"))</f>
        <v>Low</v>
      </c>
      <c r="O754" s="1">
        <v>0.16669999999999999</v>
      </c>
      <c r="P754" t="str">
        <f>IF(O754&lt;=0.15,"Very Cold",IF(O754&lt;=0.3,"Cold",IF(O754&lt;=0.45,"Pleasant","Hot")))</f>
        <v>Cold</v>
      </c>
      <c r="Q754">
        <v>0.4</v>
      </c>
      <c r="R754" t="str">
        <f>IF(Q754&lt;=0.25,"Low ",IF(Q754&lt;=0.5,"Moderate ",IF(Q754&lt;=0.75,"High ","Very High ")))</f>
        <v xml:space="preserve">Moderate </v>
      </c>
      <c r="S754">
        <v>0.16420000000000001</v>
      </c>
      <c r="T754" t="str">
        <f>IF(S754&lt;=0.15,"Calm",IF(S754&lt;=0.3,"Light Wind",IF(S754&lt;=0.45,"Moderate Wind","Strong Wind")))</f>
        <v>Light Wind</v>
      </c>
      <c r="U754">
        <v>2</v>
      </c>
      <c r="V754">
        <v>145</v>
      </c>
      <c r="W754">
        <v>147</v>
      </c>
      <c r="X754" t="str">
        <f>IF(W754&lt;=75,"Low Demand",IF(W754&lt;=150,"Medium Demand",IF(W754&lt;=225,"High Demand","Very High Demand")))</f>
        <v>Medium Demand</v>
      </c>
    </row>
    <row r="755" spans="1:24" x14ac:dyDescent="0.25">
      <c r="A755">
        <v>754</v>
      </c>
      <c r="B755" s="2">
        <v>40577</v>
      </c>
      <c r="C755">
        <v>1</v>
      </c>
      <c r="D755">
        <v>0</v>
      </c>
      <c r="E755">
        <v>2</v>
      </c>
      <c r="F755">
        <v>19</v>
      </c>
      <c r="G755" t="str">
        <f>IF(F755&lt;6,"Night",IF(F755&lt;12,"Morning",IF(F755&lt;18,"Afternoon","Evening")))</f>
        <v>Evening</v>
      </c>
      <c r="H755">
        <v>0</v>
      </c>
      <c r="I755">
        <v>4</v>
      </c>
      <c r="J755" t="str">
        <f>CHOOSE(I755+1,"Monday","Tuesday","Wednesday","Thursday","Friday","Saturday","Sunday")</f>
        <v>Friday</v>
      </c>
      <c r="K755">
        <v>1</v>
      </c>
      <c r="L755" t="str">
        <f>CHOOSE(K755+1,"error","Clear","Misty","Rainy","Severe heater")</f>
        <v>Clear</v>
      </c>
      <c r="M755" s="1">
        <v>0.14000000000000001</v>
      </c>
      <c r="N755" t="str">
        <f>IF(M755&lt;=0.2,"Low",IF(M755&lt;=0.4,"Mid","High"))</f>
        <v>Low</v>
      </c>
      <c r="O755" s="1">
        <v>0.1515</v>
      </c>
      <c r="P755" t="str">
        <f>IF(O755&lt;=0.15,"Very Cold",IF(O755&lt;=0.3,"Cold",IF(O755&lt;=0.45,"Pleasant","Hot")))</f>
        <v>Cold</v>
      </c>
      <c r="Q755">
        <v>0.4</v>
      </c>
      <c r="R755" t="str">
        <f>IF(Q755&lt;=0.25,"Low ",IF(Q755&lt;=0.5,"Moderate ",IF(Q755&lt;=0.75,"High ","Very High ")))</f>
        <v xml:space="preserve">Moderate </v>
      </c>
      <c r="S755">
        <v>0</v>
      </c>
      <c r="T755" t="str">
        <f>IF(S755&lt;=0.15,"Calm",IF(S755&lt;=0.3,"Light Wind",IF(S755&lt;=0.45,"Moderate Wind","Strong Wind")))</f>
        <v>Calm</v>
      </c>
      <c r="U755">
        <v>4</v>
      </c>
      <c r="V755">
        <v>92</v>
      </c>
      <c r="W755">
        <v>96</v>
      </c>
      <c r="X755" t="str">
        <f>IF(W755&lt;=75,"Low Demand",IF(W755&lt;=150,"Medium Demand",IF(W755&lt;=225,"High Demand","Very High Demand")))</f>
        <v>Medium Demand</v>
      </c>
    </row>
    <row r="756" spans="1:24" x14ac:dyDescent="0.25">
      <c r="A756">
        <v>755</v>
      </c>
      <c r="B756" s="2">
        <v>40577</v>
      </c>
      <c r="C756">
        <v>1</v>
      </c>
      <c r="D756">
        <v>0</v>
      </c>
      <c r="E756">
        <v>2</v>
      </c>
      <c r="F756">
        <v>20</v>
      </c>
      <c r="G756" t="str">
        <f>IF(F756&lt;6,"Night",IF(F756&lt;12,"Morning",IF(F756&lt;18,"Afternoon","Evening")))</f>
        <v>Evening</v>
      </c>
      <c r="H756">
        <v>0</v>
      </c>
      <c r="I756">
        <v>4</v>
      </c>
      <c r="J756" t="str">
        <f>CHOOSE(I756+1,"Monday","Tuesday","Wednesday","Thursday","Friday","Saturday","Sunday")</f>
        <v>Friday</v>
      </c>
      <c r="K756">
        <v>1</v>
      </c>
      <c r="L756" t="str">
        <f>CHOOSE(K756+1,"error","Clear","Misty","Rainy","Severe heater")</f>
        <v>Clear</v>
      </c>
      <c r="M756" s="1">
        <v>0.16</v>
      </c>
      <c r="N756" t="str">
        <f>IF(M756&lt;=0.2,"Low",IF(M756&lt;=0.4,"Mid","High"))</f>
        <v>Low</v>
      </c>
      <c r="O756" s="1">
        <v>0.2273</v>
      </c>
      <c r="P756" t="str">
        <f>IF(O756&lt;=0.15,"Very Cold",IF(O756&lt;=0.3,"Cold",IF(O756&lt;=0.45,"Pleasant","Hot")))</f>
        <v>Cold</v>
      </c>
      <c r="Q756">
        <v>0.47</v>
      </c>
      <c r="R756" t="str">
        <f>IF(Q756&lt;=0.25,"Low ",IF(Q756&lt;=0.5,"Moderate ",IF(Q756&lt;=0.75,"High ","Very High ")))</f>
        <v xml:space="preserve">Moderate </v>
      </c>
      <c r="S756">
        <v>8.9599999999999999E-2</v>
      </c>
      <c r="T756" t="str">
        <f>IF(S756&lt;=0.15,"Calm",IF(S756&lt;=0.3,"Light Wind",IF(S756&lt;=0.45,"Moderate Wind","Strong Wind")))</f>
        <v>Calm</v>
      </c>
      <c r="U756">
        <v>1</v>
      </c>
      <c r="V756">
        <v>108</v>
      </c>
      <c r="W756">
        <v>109</v>
      </c>
      <c r="X756" t="str">
        <f>IF(W756&lt;=75,"Low Demand",IF(W756&lt;=150,"Medium Demand",IF(W756&lt;=225,"High Demand","Very High Demand")))</f>
        <v>Medium Demand</v>
      </c>
    </row>
    <row r="757" spans="1:24" x14ac:dyDescent="0.25">
      <c r="A757">
        <v>756</v>
      </c>
      <c r="B757" s="2">
        <v>40577</v>
      </c>
      <c r="C757">
        <v>1</v>
      </c>
      <c r="D757">
        <v>0</v>
      </c>
      <c r="E757">
        <v>2</v>
      </c>
      <c r="F757">
        <v>21</v>
      </c>
      <c r="G757" t="str">
        <f>IF(F757&lt;6,"Night",IF(F757&lt;12,"Morning",IF(F757&lt;18,"Afternoon","Evening")))</f>
        <v>Evening</v>
      </c>
      <c r="H757">
        <v>0</v>
      </c>
      <c r="I757">
        <v>4</v>
      </c>
      <c r="J757" t="str">
        <f>CHOOSE(I757+1,"Monday","Tuesday","Wednesday","Thursday","Friday","Saturday","Sunday")</f>
        <v>Friday</v>
      </c>
      <c r="K757">
        <v>1</v>
      </c>
      <c r="L757" t="str">
        <f>CHOOSE(K757+1,"error","Clear","Misty","Rainy","Severe heater")</f>
        <v>Clear</v>
      </c>
      <c r="M757" s="1">
        <v>0.14000000000000001</v>
      </c>
      <c r="N757" t="str">
        <f>IF(M757&lt;=0.2,"Low",IF(M757&lt;=0.4,"Mid","High"))</f>
        <v>Low</v>
      </c>
      <c r="O757" s="1">
        <v>0.21210000000000001</v>
      </c>
      <c r="P757" t="str">
        <f>IF(O757&lt;=0.15,"Very Cold",IF(O757&lt;=0.3,"Cold",IF(O757&lt;=0.45,"Pleasant","Hot")))</f>
        <v>Cold</v>
      </c>
      <c r="Q757">
        <v>0.55000000000000004</v>
      </c>
      <c r="R757" t="str">
        <f>IF(Q757&lt;=0.25,"Low ",IF(Q757&lt;=0.5,"Moderate ",IF(Q757&lt;=0.75,"High ","Very High ")))</f>
        <v xml:space="preserve">High </v>
      </c>
      <c r="S757">
        <v>0.1045</v>
      </c>
      <c r="T757" t="str">
        <f>IF(S757&lt;=0.15,"Calm",IF(S757&lt;=0.3,"Light Wind",IF(S757&lt;=0.45,"Moderate Wind","Strong Wind")))</f>
        <v>Calm</v>
      </c>
      <c r="U757">
        <v>1</v>
      </c>
      <c r="V757">
        <v>53</v>
      </c>
      <c r="W757">
        <v>54</v>
      </c>
      <c r="X757" t="str">
        <f>IF(W757&lt;=75,"Low Demand",IF(W757&lt;=150,"Medium Demand",IF(W757&lt;=225,"High Demand","Very High Demand")))</f>
        <v>Low Demand</v>
      </c>
    </row>
    <row r="758" spans="1:24" x14ac:dyDescent="0.25">
      <c r="A758">
        <v>757</v>
      </c>
      <c r="B758" s="2">
        <v>40577</v>
      </c>
      <c r="C758">
        <v>1</v>
      </c>
      <c r="D758">
        <v>0</v>
      </c>
      <c r="E758">
        <v>2</v>
      </c>
      <c r="F758">
        <v>22</v>
      </c>
      <c r="G758" t="str">
        <f>IF(F758&lt;6,"Night",IF(F758&lt;12,"Morning",IF(F758&lt;18,"Afternoon","Evening")))</f>
        <v>Evening</v>
      </c>
      <c r="H758">
        <v>0</v>
      </c>
      <c r="I758">
        <v>4</v>
      </c>
      <c r="J758" t="str">
        <f>CHOOSE(I758+1,"Monday","Tuesday","Wednesday","Thursday","Friday","Saturday","Sunday")</f>
        <v>Friday</v>
      </c>
      <c r="K758">
        <v>1</v>
      </c>
      <c r="L758" t="str">
        <f>CHOOSE(K758+1,"error","Clear","Misty","Rainy","Severe heater")</f>
        <v>Clear</v>
      </c>
      <c r="M758" s="1">
        <v>0.14000000000000001</v>
      </c>
      <c r="N758" t="str">
        <f>IF(M758&lt;=0.2,"Low",IF(M758&lt;=0.4,"Mid","High"))</f>
        <v>Low</v>
      </c>
      <c r="O758" s="1">
        <v>0.1515</v>
      </c>
      <c r="P758" t="str">
        <f>IF(O758&lt;=0.15,"Very Cold",IF(O758&lt;=0.3,"Cold",IF(O758&lt;=0.45,"Pleasant","Hot")))</f>
        <v>Cold</v>
      </c>
      <c r="Q758">
        <v>0.51</v>
      </c>
      <c r="R758" t="str">
        <f>IF(Q758&lt;=0.25,"Low ",IF(Q758&lt;=0.5,"Moderate ",IF(Q758&lt;=0.75,"High ","Very High ")))</f>
        <v xml:space="preserve">High </v>
      </c>
      <c r="S758">
        <v>8.9599999999999999E-2</v>
      </c>
      <c r="T758" t="str">
        <f>IF(S758&lt;=0.15,"Calm",IF(S758&lt;=0.3,"Light Wind",IF(S758&lt;=0.45,"Moderate Wind","Strong Wind")))</f>
        <v>Calm</v>
      </c>
      <c r="U758">
        <v>2</v>
      </c>
      <c r="V758">
        <v>39</v>
      </c>
      <c r="W758">
        <v>41</v>
      </c>
      <c r="X758" t="str">
        <f>IF(W758&lt;=75,"Low Demand",IF(W758&lt;=150,"Medium Demand",IF(W758&lt;=225,"High Demand","Very High Demand")))</f>
        <v>Low Demand</v>
      </c>
    </row>
    <row r="759" spans="1:24" x14ac:dyDescent="0.25">
      <c r="A759">
        <v>758</v>
      </c>
      <c r="B759" s="2">
        <v>40577</v>
      </c>
      <c r="C759">
        <v>1</v>
      </c>
      <c r="D759">
        <v>0</v>
      </c>
      <c r="E759">
        <v>2</v>
      </c>
      <c r="F759">
        <v>23</v>
      </c>
      <c r="G759" t="str">
        <f>IF(F759&lt;6,"Night",IF(F759&lt;12,"Morning",IF(F759&lt;18,"Afternoon","Evening")))</f>
        <v>Evening</v>
      </c>
      <c r="H759">
        <v>0</v>
      </c>
      <c r="I759">
        <v>4</v>
      </c>
      <c r="J759" t="str">
        <f>CHOOSE(I759+1,"Monday","Tuesday","Wednesday","Thursday","Friday","Saturday","Sunday")</f>
        <v>Friday</v>
      </c>
      <c r="K759">
        <v>1</v>
      </c>
      <c r="L759" t="str">
        <f>CHOOSE(K759+1,"error","Clear","Misty","Rainy","Severe heater")</f>
        <v>Clear</v>
      </c>
      <c r="M759" s="1">
        <v>0.16</v>
      </c>
      <c r="N759" t="str">
        <f>IF(M759&lt;=0.2,"Low",IF(M759&lt;=0.4,"Mid","High"))</f>
        <v>Low</v>
      </c>
      <c r="O759" s="1">
        <v>0.18179999999999999</v>
      </c>
      <c r="P759" t="str">
        <f>IF(O759&lt;=0.15,"Very Cold",IF(O759&lt;=0.3,"Cold",IF(O759&lt;=0.45,"Pleasant","Hot")))</f>
        <v>Cold</v>
      </c>
      <c r="Q759">
        <v>0.47</v>
      </c>
      <c r="R759" t="str">
        <f>IF(Q759&lt;=0.25,"Low ",IF(Q759&lt;=0.5,"Moderate ",IF(Q759&lt;=0.75,"High ","Very High ")))</f>
        <v xml:space="preserve">Moderate </v>
      </c>
      <c r="S759">
        <v>0.1045</v>
      </c>
      <c r="T759" t="str">
        <f>IF(S759&lt;=0.15,"Calm",IF(S759&lt;=0.3,"Light Wind",IF(S759&lt;=0.45,"Moderate Wind","Strong Wind")))</f>
        <v>Calm</v>
      </c>
      <c r="U759">
        <v>4</v>
      </c>
      <c r="V759">
        <v>34</v>
      </c>
      <c r="W759">
        <v>38</v>
      </c>
      <c r="X759" t="str">
        <f>IF(W759&lt;=75,"Low Demand",IF(W759&lt;=150,"Medium Demand",IF(W759&lt;=225,"High Demand","Very High Demand")))</f>
        <v>Low Demand</v>
      </c>
    </row>
    <row r="760" spans="1:24" x14ac:dyDescent="0.25">
      <c r="A760">
        <v>759</v>
      </c>
      <c r="B760" s="2">
        <v>40578</v>
      </c>
      <c r="C760">
        <v>1</v>
      </c>
      <c r="D760">
        <v>0</v>
      </c>
      <c r="E760">
        <v>2</v>
      </c>
      <c r="F760">
        <v>0</v>
      </c>
      <c r="G760" t="str">
        <f>IF(F760&lt;6,"Night",IF(F760&lt;12,"Morning",IF(F760&lt;18,"Afternoon","Evening")))</f>
        <v>Night</v>
      </c>
      <c r="H760">
        <v>0</v>
      </c>
      <c r="I760">
        <v>5</v>
      </c>
      <c r="J760" t="str">
        <f>CHOOSE(I760+1,"Monday","Tuesday","Wednesday","Thursday","Friday","Saturday","Sunday")</f>
        <v>Saturday</v>
      </c>
      <c r="K760">
        <v>2</v>
      </c>
      <c r="L760" t="str">
        <f>CHOOSE(K760+1,"error","Clear","Misty","Rainy","Severe heater")</f>
        <v>Misty</v>
      </c>
      <c r="M760" s="1">
        <v>0.2</v>
      </c>
      <c r="N760" t="str">
        <f>IF(M760&lt;=0.2,"Low",IF(M760&lt;=0.4,"Mid","High"))</f>
        <v>Low</v>
      </c>
      <c r="O760" s="1">
        <v>0.21210000000000001</v>
      </c>
      <c r="P760" t="str">
        <f>IF(O760&lt;=0.15,"Very Cold",IF(O760&lt;=0.3,"Cold",IF(O760&lt;=0.45,"Pleasant","Hot")))</f>
        <v>Cold</v>
      </c>
      <c r="Q760">
        <v>0.44</v>
      </c>
      <c r="R760" t="str">
        <f>IF(Q760&lt;=0.25,"Low ",IF(Q760&lt;=0.5,"Moderate ",IF(Q760&lt;=0.75,"High ","Very High ")))</f>
        <v xml:space="preserve">Moderate </v>
      </c>
      <c r="S760">
        <v>0</v>
      </c>
      <c r="T760" t="str">
        <f>IF(S760&lt;=0.15,"Calm",IF(S760&lt;=0.3,"Light Wind",IF(S760&lt;=0.45,"Moderate Wind","Strong Wind")))</f>
        <v>Calm</v>
      </c>
      <c r="U760">
        <v>3</v>
      </c>
      <c r="V760">
        <v>10</v>
      </c>
      <c r="W760">
        <v>13</v>
      </c>
      <c r="X760" t="str">
        <f>IF(W760&lt;=75,"Low Demand",IF(W760&lt;=150,"Medium Demand",IF(W760&lt;=225,"High Demand","Very High Demand")))</f>
        <v>Low Demand</v>
      </c>
    </row>
    <row r="761" spans="1:24" x14ac:dyDescent="0.25">
      <c r="A761">
        <v>760</v>
      </c>
      <c r="B761" s="2">
        <v>40578</v>
      </c>
      <c r="C761">
        <v>1</v>
      </c>
      <c r="D761">
        <v>0</v>
      </c>
      <c r="E761">
        <v>2</v>
      </c>
      <c r="F761">
        <v>1</v>
      </c>
      <c r="G761" t="str">
        <f>IF(F761&lt;6,"Night",IF(F761&lt;12,"Morning",IF(F761&lt;18,"Afternoon","Evening")))</f>
        <v>Night</v>
      </c>
      <c r="H761">
        <v>0</v>
      </c>
      <c r="I761">
        <v>5</v>
      </c>
      <c r="J761" t="str">
        <f>CHOOSE(I761+1,"Monday","Tuesday","Wednesday","Thursday","Friday","Saturday","Sunday")</f>
        <v>Saturday</v>
      </c>
      <c r="K761">
        <v>2</v>
      </c>
      <c r="L761" t="str">
        <f>CHOOSE(K761+1,"error","Clear","Misty","Rainy","Severe heater")</f>
        <v>Misty</v>
      </c>
      <c r="M761" s="1">
        <v>0.22</v>
      </c>
      <c r="N761" t="str">
        <f>IF(M761&lt;=0.2,"Low",IF(M761&lt;=0.4,"Mid","High"))</f>
        <v>Mid</v>
      </c>
      <c r="O761" s="1">
        <v>0.2273</v>
      </c>
      <c r="P761" t="str">
        <f>IF(O761&lt;=0.15,"Very Cold",IF(O761&lt;=0.3,"Cold",IF(O761&lt;=0.45,"Pleasant","Hot")))</f>
        <v>Cold</v>
      </c>
      <c r="Q761">
        <v>0.59</v>
      </c>
      <c r="R761" t="str">
        <f>IF(Q761&lt;=0.25,"Low ",IF(Q761&lt;=0.5,"Moderate ",IF(Q761&lt;=0.75,"High ","Very High ")))</f>
        <v xml:space="preserve">High </v>
      </c>
      <c r="S761">
        <v>0</v>
      </c>
      <c r="T761" t="str">
        <f>IF(S761&lt;=0.15,"Calm",IF(S761&lt;=0.3,"Light Wind",IF(S761&lt;=0.45,"Moderate Wind","Strong Wind")))</f>
        <v>Calm</v>
      </c>
      <c r="U761">
        <v>0</v>
      </c>
      <c r="V761">
        <v>7</v>
      </c>
      <c r="W761">
        <v>7</v>
      </c>
      <c r="X761" t="str">
        <f>IF(W761&lt;=75,"Low Demand",IF(W761&lt;=150,"Medium Demand",IF(W761&lt;=225,"High Demand","Very High Demand")))</f>
        <v>Low Demand</v>
      </c>
    </row>
    <row r="762" spans="1:24" x14ac:dyDescent="0.25">
      <c r="A762">
        <v>761</v>
      </c>
      <c r="B762" s="2">
        <v>40578</v>
      </c>
      <c r="C762">
        <v>1</v>
      </c>
      <c r="D762">
        <v>0</v>
      </c>
      <c r="E762">
        <v>2</v>
      </c>
      <c r="F762">
        <v>2</v>
      </c>
      <c r="G762" t="str">
        <f>IF(F762&lt;6,"Night",IF(F762&lt;12,"Morning",IF(F762&lt;18,"Afternoon","Evening")))</f>
        <v>Night</v>
      </c>
      <c r="H762">
        <v>0</v>
      </c>
      <c r="I762">
        <v>5</v>
      </c>
      <c r="J762" t="str">
        <f>CHOOSE(I762+1,"Monday","Tuesday","Wednesday","Thursday","Friday","Saturday","Sunday")</f>
        <v>Saturday</v>
      </c>
      <c r="K762">
        <v>2</v>
      </c>
      <c r="L762" t="str">
        <f>CHOOSE(K762+1,"error","Clear","Misty","Rainy","Severe heater")</f>
        <v>Misty</v>
      </c>
      <c r="M762" s="1">
        <v>0.24</v>
      </c>
      <c r="N762" t="str">
        <f>IF(M762&lt;=0.2,"Low",IF(M762&lt;=0.4,"Mid","High"))</f>
        <v>Mid</v>
      </c>
      <c r="O762" s="1">
        <v>0.2424</v>
      </c>
      <c r="P762" t="str">
        <f>IF(O762&lt;=0.15,"Very Cold",IF(O762&lt;=0.3,"Cold",IF(O762&lt;=0.45,"Pleasant","Hot")))</f>
        <v>Cold</v>
      </c>
      <c r="Q762">
        <v>0.63</v>
      </c>
      <c r="R762" t="str">
        <f>IF(Q762&lt;=0.25,"Low ",IF(Q762&lt;=0.5,"Moderate ",IF(Q762&lt;=0.75,"High ","Very High ")))</f>
        <v xml:space="preserve">High </v>
      </c>
      <c r="S762">
        <v>0.1045</v>
      </c>
      <c r="T762" t="str">
        <f>IF(S762&lt;=0.15,"Calm",IF(S762&lt;=0.3,"Light Wind",IF(S762&lt;=0.45,"Moderate Wind","Strong Wind")))</f>
        <v>Calm</v>
      </c>
      <c r="U762">
        <v>0</v>
      </c>
      <c r="V762">
        <v>1</v>
      </c>
      <c r="W762">
        <v>1</v>
      </c>
      <c r="X762" t="str">
        <f>IF(W762&lt;=75,"Low Demand",IF(W762&lt;=150,"Medium Demand",IF(W762&lt;=225,"High Demand","Very High Demand")))</f>
        <v>Low Demand</v>
      </c>
    </row>
    <row r="763" spans="1:24" x14ac:dyDescent="0.25">
      <c r="A763">
        <v>762</v>
      </c>
      <c r="B763" s="2">
        <v>40578</v>
      </c>
      <c r="C763">
        <v>1</v>
      </c>
      <c r="D763">
        <v>0</v>
      </c>
      <c r="E763">
        <v>2</v>
      </c>
      <c r="F763">
        <v>3</v>
      </c>
      <c r="G763" t="str">
        <f>IF(F763&lt;6,"Night",IF(F763&lt;12,"Morning",IF(F763&lt;18,"Afternoon","Evening")))</f>
        <v>Night</v>
      </c>
      <c r="H763">
        <v>0</v>
      </c>
      <c r="I763">
        <v>5</v>
      </c>
      <c r="J763" t="str">
        <f>CHOOSE(I763+1,"Monday","Tuesday","Wednesday","Thursday","Friday","Saturday","Sunday")</f>
        <v>Saturday</v>
      </c>
      <c r="K763">
        <v>2</v>
      </c>
      <c r="L763" t="str">
        <f>CHOOSE(K763+1,"error","Clear","Misty","Rainy","Severe heater")</f>
        <v>Misty</v>
      </c>
      <c r="M763" s="1">
        <v>0.26</v>
      </c>
      <c r="N763" t="str">
        <f>IF(M763&lt;=0.2,"Low",IF(M763&lt;=0.4,"Mid","High"))</f>
        <v>Mid</v>
      </c>
      <c r="O763" s="1">
        <v>0.2576</v>
      </c>
      <c r="P763" t="str">
        <f>IF(O763&lt;=0.15,"Very Cold",IF(O763&lt;=0.3,"Cold",IF(O763&lt;=0.45,"Pleasant","Hot")))</f>
        <v>Cold</v>
      </c>
      <c r="Q763">
        <v>0.63</v>
      </c>
      <c r="R763" t="str">
        <f>IF(Q763&lt;=0.25,"Low ",IF(Q763&lt;=0.5,"Moderate ",IF(Q763&lt;=0.75,"High ","Very High ")))</f>
        <v xml:space="preserve">High </v>
      </c>
      <c r="S763">
        <v>0.1045</v>
      </c>
      <c r="T763" t="str">
        <f>IF(S763&lt;=0.15,"Calm",IF(S763&lt;=0.3,"Light Wind",IF(S763&lt;=0.45,"Moderate Wind","Strong Wind")))</f>
        <v>Calm</v>
      </c>
      <c r="U763">
        <v>0</v>
      </c>
      <c r="V763">
        <v>1</v>
      </c>
      <c r="W763">
        <v>1</v>
      </c>
      <c r="X763" t="str">
        <f>IF(W763&lt;=75,"Low Demand",IF(W763&lt;=150,"Medium Demand",IF(W763&lt;=225,"High Demand","Very High Demand")))</f>
        <v>Low Demand</v>
      </c>
    </row>
    <row r="764" spans="1:24" x14ac:dyDescent="0.25">
      <c r="A764">
        <v>763</v>
      </c>
      <c r="B764" s="2">
        <v>40578</v>
      </c>
      <c r="C764">
        <v>1</v>
      </c>
      <c r="D764">
        <v>0</v>
      </c>
      <c r="E764">
        <v>2</v>
      </c>
      <c r="F764">
        <v>5</v>
      </c>
      <c r="G764" t="str">
        <f>IF(F764&lt;6,"Night",IF(F764&lt;12,"Morning",IF(F764&lt;18,"Afternoon","Evening")))</f>
        <v>Night</v>
      </c>
      <c r="H764">
        <v>0</v>
      </c>
      <c r="I764">
        <v>5</v>
      </c>
      <c r="J764" t="str">
        <f>CHOOSE(I764+1,"Monday","Tuesday","Wednesday","Thursday","Friday","Saturday","Sunday")</f>
        <v>Saturday</v>
      </c>
      <c r="K764">
        <v>2</v>
      </c>
      <c r="L764" t="str">
        <f>CHOOSE(K764+1,"error","Clear","Misty","Rainy","Severe heater")</f>
        <v>Misty</v>
      </c>
      <c r="M764" s="1">
        <v>0.28000000000000003</v>
      </c>
      <c r="N764" t="str">
        <f>IF(M764&lt;=0.2,"Low",IF(M764&lt;=0.4,"Mid","High"))</f>
        <v>Mid</v>
      </c>
      <c r="O764" s="1">
        <v>0.2727</v>
      </c>
      <c r="P764" t="str">
        <f>IF(O764&lt;=0.15,"Very Cold",IF(O764&lt;=0.3,"Cold",IF(O764&lt;=0.45,"Pleasant","Hot")))</f>
        <v>Cold</v>
      </c>
      <c r="Q764">
        <v>0.63</v>
      </c>
      <c r="R764" t="str">
        <f>IF(Q764&lt;=0.25,"Low ",IF(Q764&lt;=0.5,"Moderate ",IF(Q764&lt;=0.75,"High ","Very High ")))</f>
        <v xml:space="preserve">High </v>
      </c>
      <c r="S764">
        <v>0.1343</v>
      </c>
      <c r="T764" t="str">
        <f>IF(S764&lt;=0.15,"Calm",IF(S764&lt;=0.3,"Light Wind",IF(S764&lt;=0.45,"Moderate Wind","Strong Wind")))</f>
        <v>Calm</v>
      </c>
      <c r="U764">
        <v>0</v>
      </c>
      <c r="V764">
        <v>7</v>
      </c>
      <c r="W764">
        <v>7</v>
      </c>
      <c r="X764" t="str">
        <f>IF(W764&lt;=75,"Low Demand",IF(W764&lt;=150,"Medium Demand",IF(W764&lt;=225,"High Demand","Very High Demand")))</f>
        <v>Low Demand</v>
      </c>
    </row>
    <row r="765" spans="1:24" x14ac:dyDescent="0.25">
      <c r="A765">
        <v>764</v>
      </c>
      <c r="B765" s="2">
        <v>40578</v>
      </c>
      <c r="C765">
        <v>1</v>
      </c>
      <c r="D765">
        <v>0</v>
      </c>
      <c r="E765">
        <v>2</v>
      </c>
      <c r="F765">
        <v>6</v>
      </c>
      <c r="G765" t="str">
        <f>IF(F765&lt;6,"Night",IF(F765&lt;12,"Morning",IF(F765&lt;18,"Afternoon","Evening")))</f>
        <v>Morning</v>
      </c>
      <c r="H765">
        <v>0</v>
      </c>
      <c r="I765">
        <v>5</v>
      </c>
      <c r="J765" t="str">
        <f>CHOOSE(I765+1,"Monday","Tuesday","Wednesday","Thursday","Friday","Saturday","Sunday")</f>
        <v>Saturday</v>
      </c>
      <c r="K765">
        <v>2</v>
      </c>
      <c r="L765" t="str">
        <f>CHOOSE(K765+1,"error","Clear","Misty","Rainy","Severe heater")</f>
        <v>Misty</v>
      </c>
      <c r="M765" s="1">
        <v>0.28000000000000003</v>
      </c>
      <c r="N765" t="str">
        <f>IF(M765&lt;=0.2,"Low",IF(M765&lt;=0.4,"Mid","High"))</f>
        <v>Mid</v>
      </c>
      <c r="O765" s="1">
        <v>0.2727</v>
      </c>
      <c r="P765" t="str">
        <f>IF(O765&lt;=0.15,"Very Cold",IF(O765&lt;=0.3,"Cold",IF(O765&lt;=0.45,"Pleasant","Hot")))</f>
        <v>Cold</v>
      </c>
      <c r="Q765">
        <v>0.55000000000000004</v>
      </c>
      <c r="R765" t="str">
        <f>IF(Q765&lt;=0.25,"Low ",IF(Q765&lt;=0.5,"Moderate ",IF(Q765&lt;=0.75,"High ","Very High ")))</f>
        <v xml:space="preserve">High </v>
      </c>
      <c r="S765">
        <v>0</v>
      </c>
      <c r="T765" t="str">
        <f>IF(S765&lt;=0.15,"Calm",IF(S765&lt;=0.3,"Light Wind",IF(S765&lt;=0.45,"Moderate Wind","Strong Wind")))</f>
        <v>Calm</v>
      </c>
      <c r="U765">
        <v>2</v>
      </c>
      <c r="V765">
        <v>26</v>
      </c>
      <c r="W765">
        <v>28</v>
      </c>
      <c r="X765" t="str">
        <f>IF(W765&lt;=75,"Low Demand",IF(W765&lt;=150,"Medium Demand",IF(W765&lt;=225,"High Demand","Very High Demand")))</f>
        <v>Low Demand</v>
      </c>
    </row>
    <row r="766" spans="1:24" x14ac:dyDescent="0.25">
      <c r="A766">
        <v>765</v>
      </c>
      <c r="B766" s="2">
        <v>40578</v>
      </c>
      <c r="C766">
        <v>1</v>
      </c>
      <c r="D766">
        <v>0</v>
      </c>
      <c r="E766">
        <v>2</v>
      </c>
      <c r="F766">
        <v>7</v>
      </c>
      <c r="G766" t="str">
        <f>IF(F766&lt;6,"Night",IF(F766&lt;12,"Morning",IF(F766&lt;18,"Afternoon","Evening")))</f>
        <v>Morning</v>
      </c>
      <c r="H766">
        <v>0</v>
      </c>
      <c r="I766">
        <v>5</v>
      </c>
      <c r="J766" t="str">
        <f>CHOOSE(I766+1,"Monday","Tuesday","Wednesday","Thursday","Friday","Saturday","Sunday")</f>
        <v>Saturday</v>
      </c>
      <c r="K766">
        <v>1</v>
      </c>
      <c r="L766" t="str">
        <f>CHOOSE(K766+1,"error","Clear","Misty","Rainy","Severe heater")</f>
        <v>Clear</v>
      </c>
      <c r="M766" s="1">
        <v>0.3</v>
      </c>
      <c r="N766" t="str">
        <f>IF(M766&lt;=0.2,"Low",IF(M766&lt;=0.4,"Mid","High"))</f>
        <v>Mid</v>
      </c>
      <c r="O766" s="1">
        <v>0.28789999999999999</v>
      </c>
      <c r="P766" t="str">
        <f>IF(O766&lt;=0.15,"Very Cold",IF(O766&lt;=0.3,"Cold",IF(O766&lt;=0.45,"Pleasant","Hot")))</f>
        <v>Cold</v>
      </c>
      <c r="Q766">
        <v>0.59</v>
      </c>
      <c r="R766" t="str">
        <f>IF(Q766&lt;=0.25,"Low ",IF(Q766&lt;=0.5,"Moderate ",IF(Q766&lt;=0.75,"High ","Very High ")))</f>
        <v xml:space="preserve">High </v>
      </c>
      <c r="S766">
        <v>0</v>
      </c>
      <c r="T766" t="str">
        <f>IF(S766&lt;=0.15,"Calm",IF(S766&lt;=0.3,"Light Wind",IF(S766&lt;=0.45,"Moderate Wind","Strong Wind")))</f>
        <v>Calm</v>
      </c>
      <c r="U766">
        <v>0</v>
      </c>
      <c r="V766">
        <v>87</v>
      </c>
      <c r="W766">
        <v>87</v>
      </c>
      <c r="X766" t="str">
        <f>IF(W766&lt;=75,"Low Demand",IF(W766&lt;=150,"Medium Demand",IF(W766&lt;=225,"High Demand","Very High Demand")))</f>
        <v>Medium Demand</v>
      </c>
    </row>
    <row r="767" spans="1:24" x14ac:dyDescent="0.25">
      <c r="A767">
        <v>766</v>
      </c>
      <c r="B767" s="2">
        <v>40578</v>
      </c>
      <c r="C767">
        <v>1</v>
      </c>
      <c r="D767">
        <v>0</v>
      </c>
      <c r="E767">
        <v>2</v>
      </c>
      <c r="F767">
        <v>8</v>
      </c>
      <c r="G767" t="str">
        <f>IF(F767&lt;6,"Night",IF(F767&lt;12,"Morning",IF(F767&lt;18,"Afternoon","Evening")))</f>
        <v>Morning</v>
      </c>
      <c r="H767">
        <v>0</v>
      </c>
      <c r="I767">
        <v>5</v>
      </c>
      <c r="J767" t="str">
        <f>CHOOSE(I767+1,"Monday","Tuesday","Wednesday","Thursday","Friday","Saturday","Sunday")</f>
        <v>Saturday</v>
      </c>
      <c r="K767">
        <v>1</v>
      </c>
      <c r="L767" t="str">
        <f>CHOOSE(K767+1,"error","Clear","Misty","Rainy","Severe heater")</f>
        <v>Clear</v>
      </c>
      <c r="M767" s="1">
        <v>0.26</v>
      </c>
      <c r="N767" t="str">
        <f>IF(M767&lt;=0.2,"Low",IF(M767&lt;=0.4,"Mid","High"))</f>
        <v>Mid</v>
      </c>
      <c r="O767" s="1">
        <v>0.2727</v>
      </c>
      <c r="P767" t="str">
        <f>IF(O767&lt;=0.15,"Very Cold",IF(O767&lt;=0.3,"Cold",IF(O767&lt;=0.45,"Pleasant","Hot")))</f>
        <v>Cold</v>
      </c>
      <c r="Q767">
        <v>0.74</v>
      </c>
      <c r="R767" t="str">
        <f>IF(Q767&lt;=0.25,"Low ",IF(Q767&lt;=0.5,"Moderate ",IF(Q767&lt;=0.75,"High ","Very High ")))</f>
        <v xml:space="preserve">High </v>
      </c>
      <c r="S767">
        <v>0.1343</v>
      </c>
      <c r="T767" t="str">
        <f>IF(S767&lt;=0.15,"Calm",IF(S767&lt;=0.3,"Light Wind",IF(S767&lt;=0.45,"Moderate Wind","Strong Wind")))</f>
        <v>Calm</v>
      </c>
      <c r="U767">
        <v>3</v>
      </c>
      <c r="V767">
        <v>217</v>
      </c>
      <c r="W767">
        <v>220</v>
      </c>
      <c r="X767" t="str">
        <f>IF(W767&lt;=75,"Low Demand",IF(W767&lt;=150,"Medium Demand",IF(W767&lt;=225,"High Demand","Very High Demand")))</f>
        <v>High Demand</v>
      </c>
    </row>
    <row r="768" spans="1:24" x14ac:dyDescent="0.25">
      <c r="A768">
        <v>767</v>
      </c>
      <c r="B768" s="2">
        <v>40578</v>
      </c>
      <c r="C768">
        <v>1</v>
      </c>
      <c r="D768">
        <v>0</v>
      </c>
      <c r="E768">
        <v>2</v>
      </c>
      <c r="F768">
        <v>9</v>
      </c>
      <c r="G768" t="str">
        <f>IF(F768&lt;6,"Night",IF(F768&lt;12,"Morning",IF(F768&lt;18,"Afternoon","Evening")))</f>
        <v>Morning</v>
      </c>
      <c r="H768">
        <v>0</v>
      </c>
      <c r="I768">
        <v>5</v>
      </c>
      <c r="J768" t="str">
        <f>CHOOSE(I768+1,"Monday","Tuesday","Wednesday","Thursday","Friday","Saturday","Sunday")</f>
        <v>Saturday</v>
      </c>
      <c r="K768">
        <v>2</v>
      </c>
      <c r="L768" t="str">
        <f>CHOOSE(K768+1,"error","Clear","Misty","Rainy","Severe heater")</f>
        <v>Misty</v>
      </c>
      <c r="M768" s="1">
        <v>0.24</v>
      </c>
      <c r="N768" t="str">
        <f>IF(M768&lt;=0.2,"Low",IF(M768&lt;=0.4,"Mid","High"))</f>
        <v>Mid</v>
      </c>
      <c r="O768" s="1">
        <v>0.2576</v>
      </c>
      <c r="P768" t="str">
        <f>IF(O768&lt;=0.15,"Very Cold",IF(O768&lt;=0.3,"Cold",IF(O768&lt;=0.45,"Pleasant","Hot")))</f>
        <v>Cold</v>
      </c>
      <c r="Q768">
        <v>0.8</v>
      </c>
      <c r="R768" t="str">
        <f>IF(Q768&lt;=0.25,"Low ",IF(Q768&lt;=0.5,"Moderate ",IF(Q768&lt;=0.75,"High ","Very High ")))</f>
        <v xml:space="preserve">Very High </v>
      </c>
      <c r="S768">
        <v>0.1343</v>
      </c>
      <c r="T768" t="str">
        <f>IF(S768&lt;=0.15,"Calm",IF(S768&lt;=0.3,"Light Wind",IF(S768&lt;=0.45,"Moderate Wind","Strong Wind")))</f>
        <v>Calm</v>
      </c>
      <c r="U768">
        <v>3</v>
      </c>
      <c r="V768">
        <v>124</v>
      </c>
      <c r="W768">
        <v>127</v>
      </c>
      <c r="X768" t="str">
        <f>IF(W768&lt;=75,"Low Demand",IF(W768&lt;=150,"Medium Demand",IF(W768&lt;=225,"High Demand","Very High Demand")))</f>
        <v>Medium Demand</v>
      </c>
    </row>
    <row r="769" spans="1:24" x14ac:dyDescent="0.25">
      <c r="A769">
        <v>768</v>
      </c>
      <c r="B769" s="2">
        <v>40578</v>
      </c>
      <c r="C769">
        <v>1</v>
      </c>
      <c r="D769">
        <v>0</v>
      </c>
      <c r="E769">
        <v>2</v>
      </c>
      <c r="F769">
        <v>10</v>
      </c>
      <c r="G769" t="str">
        <f>IF(F769&lt;6,"Night",IF(F769&lt;12,"Morning",IF(F769&lt;18,"Afternoon","Evening")))</f>
        <v>Morning</v>
      </c>
      <c r="H769">
        <v>0</v>
      </c>
      <c r="I769">
        <v>5</v>
      </c>
      <c r="J769" t="str">
        <f>CHOOSE(I769+1,"Monday","Tuesday","Wednesday","Thursday","Friday","Saturday","Sunday")</f>
        <v>Saturday</v>
      </c>
      <c r="K769">
        <v>2</v>
      </c>
      <c r="L769" t="str">
        <f>CHOOSE(K769+1,"error","Clear","Misty","Rainy","Severe heater")</f>
        <v>Misty</v>
      </c>
      <c r="M769" s="1">
        <v>0.24</v>
      </c>
      <c r="N769" t="str">
        <f>IF(M769&lt;=0.2,"Low",IF(M769&lt;=0.4,"Mid","High"))</f>
        <v>Mid</v>
      </c>
      <c r="O769" s="1">
        <v>0.2424</v>
      </c>
      <c r="P769" t="str">
        <f>IF(O769&lt;=0.15,"Very Cold",IF(O769&lt;=0.3,"Cold",IF(O769&lt;=0.45,"Pleasant","Hot")))</f>
        <v>Cold</v>
      </c>
      <c r="Q769">
        <v>0.51</v>
      </c>
      <c r="R769" t="str">
        <f>IF(Q769&lt;=0.25,"Low ",IF(Q769&lt;=0.5,"Moderate ",IF(Q769&lt;=0.75,"High ","Very High ")))</f>
        <v xml:space="preserve">High </v>
      </c>
      <c r="S769">
        <v>0.1343</v>
      </c>
      <c r="T769" t="str">
        <f>IF(S769&lt;=0.15,"Calm",IF(S769&lt;=0.3,"Light Wind",IF(S769&lt;=0.45,"Moderate Wind","Strong Wind")))</f>
        <v>Calm</v>
      </c>
      <c r="U769">
        <v>5</v>
      </c>
      <c r="V769">
        <v>46</v>
      </c>
      <c r="W769">
        <v>51</v>
      </c>
      <c r="X769" t="str">
        <f>IF(W769&lt;=75,"Low Demand",IF(W769&lt;=150,"Medium Demand",IF(W769&lt;=225,"High Demand","Very High Demand")))</f>
        <v>Low Demand</v>
      </c>
    </row>
    <row r="770" spans="1:24" x14ac:dyDescent="0.25">
      <c r="A770">
        <v>769</v>
      </c>
      <c r="B770" s="2">
        <v>40578</v>
      </c>
      <c r="C770">
        <v>1</v>
      </c>
      <c r="D770">
        <v>0</v>
      </c>
      <c r="E770">
        <v>2</v>
      </c>
      <c r="F770">
        <v>11</v>
      </c>
      <c r="G770" t="str">
        <f>IF(F770&lt;6,"Night",IF(F770&lt;12,"Morning",IF(F770&lt;18,"Afternoon","Evening")))</f>
        <v>Morning</v>
      </c>
      <c r="H770">
        <v>0</v>
      </c>
      <c r="I770">
        <v>5</v>
      </c>
      <c r="J770" t="str">
        <f>CHOOSE(I770+1,"Monday","Tuesday","Wednesday","Thursday","Friday","Saturday","Sunday")</f>
        <v>Saturday</v>
      </c>
      <c r="K770">
        <v>1</v>
      </c>
      <c r="L770" t="str">
        <f>CHOOSE(K770+1,"error","Clear","Misty","Rainy","Severe heater")</f>
        <v>Clear</v>
      </c>
      <c r="M770" s="1">
        <v>0.24</v>
      </c>
      <c r="N770" t="str">
        <f>IF(M770&lt;=0.2,"Low",IF(M770&lt;=0.4,"Mid","High"))</f>
        <v>Mid</v>
      </c>
      <c r="O770" s="1">
        <v>0.2424</v>
      </c>
      <c r="P770" t="str">
        <f>IF(O770&lt;=0.15,"Very Cold",IF(O770&lt;=0.3,"Cold",IF(O770&lt;=0.45,"Pleasant","Hot")))</f>
        <v>Cold</v>
      </c>
      <c r="Q770">
        <v>0.51</v>
      </c>
      <c r="R770" t="str">
        <f>IF(Q770&lt;=0.25,"Low ",IF(Q770&lt;=0.5,"Moderate ",IF(Q770&lt;=0.75,"High ","Very High ")))</f>
        <v xml:space="preserve">High </v>
      </c>
      <c r="S770">
        <v>0.16420000000000001</v>
      </c>
      <c r="T770" t="str">
        <f>IF(S770&lt;=0.15,"Calm",IF(S770&lt;=0.3,"Light Wind",IF(S770&lt;=0.45,"Moderate Wind","Strong Wind")))</f>
        <v>Light Wind</v>
      </c>
      <c r="U770">
        <v>3</v>
      </c>
      <c r="V770">
        <v>61</v>
      </c>
      <c r="W770">
        <v>64</v>
      </c>
      <c r="X770" t="str">
        <f>IF(W770&lt;=75,"Low Demand",IF(W770&lt;=150,"Medium Demand",IF(W770&lt;=225,"High Demand","Very High Demand")))</f>
        <v>Low Demand</v>
      </c>
    </row>
    <row r="771" spans="1:24" x14ac:dyDescent="0.25">
      <c r="A771">
        <v>770</v>
      </c>
      <c r="B771" s="2">
        <v>40578</v>
      </c>
      <c r="C771">
        <v>1</v>
      </c>
      <c r="D771">
        <v>0</v>
      </c>
      <c r="E771">
        <v>2</v>
      </c>
      <c r="F771">
        <v>12</v>
      </c>
      <c r="G771" t="str">
        <f>IF(F771&lt;6,"Night",IF(F771&lt;12,"Morning",IF(F771&lt;18,"Afternoon","Evening")))</f>
        <v>Afternoon</v>
      </c>
      <c r="H771">
        <v>0</v>
      </c>
      <c r="I771">
        <v>5</v>
      </c>
      <c r="J771" t="str">
        <f>CHOOSE(I771+1,"Monday","Tuesday","Wednesday","Thursday","Friday","Saturday","Sunday")</f>
        <v>Saturday</v>
      </c>
      <c r="K771">
        <v>2</v>
      </c>
      <c r="L771" t="str">
        <f>CHOOSE(K771+1,"error","Clear","Misty","Rainy","Severe heater")</f>
        <v>Misty</v>
      </c>
      <c r="M771" s="1">
        <v>0.24</v>
      </c>
      <c r="N771" t="str">
        <f>IF(M771&lt;=0.2,"Low",IF(M771&lt;=0.4,"Mid","High"))</f>
        <v>Mid</v>
      </c>
      <c r="O771" s="1">
        <v>0.2424</v>
      </c>
      <c r="P771" t="str">
        <f>IF(O771&lt;=0.15,"Very Cold",IF(O771&lt;=0.3,"Cold",IF(O771&lt;=0.45,"Pleasant","Hot")))</f>
        <v>Cold</v>
      </c>
      <c r="Q771">
        <v>0.48</v>
      </c>
      <c r="R771" t="str">
        <f>IF(Q771&lt;=0.25,"Low ",IF(Q771&lt;=0.5,"Moderate ",IF(Q771&lt;=0.75,"High ","Very High ")))</f>
        <v xml:space="preserve">Moderate </v>
      </c>
      <c r="S771">
        <v>0.16420000000000001</v>
      </c>
      <c r="T771" t="str">
        <f>IF(S771&lt;=0.15,"Calm",IF(S771&lt;=0.3,"Light Wind",IF(S771&lt;=0.45,"Moderate Wind","Strong Wind")))</f>
        <v>Light Wind</v>
      </c>
      <c r="U771">
        <v>8</v>
      </c>
      <c r="V771">
        <v>78</v>
      </c>
      <c r="W771">
        <v>86</v>
      </c>
      <c r="X771" t="str">
        <f>IF(W771&lt;=75,"Low Demand",IF(W771&lt;=150,"Medium Demand",IF(W771&lt;=225,"High Demand","Very High Demand")))</f>
        <v>Medium Demand</v>
      </c>
    </row>
    <row r="772" spans="1:24" x14ac:dyDescent="0.25">
      <c r="A772">
        <v>771</v>
      </c>
      <c r="B772" s="2">
        <v>40578</v>
      </c>
      <c r="C772">
        <v>1</v>
      </c>
      <c r="D772">
        <v>0</v>
      </c>
      <c r="E772">
        <v>2</v>
      </c>
      <c r="F772">
        <v>13</v>
      </c>
      <c r="G772" t="str">
        <f>IF(F772&lt;6,"Night",IF(F772&lt;12,"Morning",IF(F772&lt;18,"Afternoon","Evening")))</f>
        <v>Afternoon</v>
      </c>
      <c r="H772">
        <v>0</v>
      </c>
      <c r="I772">
        <v>5</v>
      </c>
      <c r="J772" t="str">
        <f>CHOOSE(I772+1,"Monday","Tuesday","Wednesday","Thursday","Friday","Saturday","Sunday")</f>
        <v>Saturday</v>
      </c>
      <c r="K772">
        <v>2</v>
      </c>
      <c r="L772" t="str">
        <f>CHOOSE(K772+1,"error","Clear","Misty","Rainy","Severe heater")</f>
        <v>Misty</v>
      </c>
      <c r="M772" s="1">
        <v>0.24</v>
      </c>
      <c r="N772" t="str">
        <f>IF(M772&lt;=0.2,"Low",IF(M772&lt;=0.4,"Mid","High"))</f>
        <v>Mid</v>
      </c>
      <c r="O772" s="1">
        <v>0.2424</v>
      </c>
      <c r="P772" t="str">
        <f>IF(O772&lt;=0.15,"Very Cold",IF(O772&lt;=0.3,"Cold",IF(O772&lt;=0.45,"Pleasant","Hot")))</f>
        <v>Cold</v>
      </c>
      <c r="Q772">
        <v>0.5</v>
      </c>
      <c r="R772" t="str">
        <f>IF(Q772&lt;=0.25,"Low ",IF(Q772&lt;=0.5,"Moderate ",IF(Q772&lt;=0.75,"High ","Very High ")))</f>
        <v xml:space="preserve">Moderate </v>
      </c>
      <c r="S772">
        <v>0.22389999999999999</v>
      </c>
      <c r="T772" t="str">
        <f>IF(S772&lt;=0.15,"Calm",IF(S772&lt;=0.3,"Light Wind",IF(S772&lt;=0.45,"Moderate Wind","Strong Wind")))</f>
        <v>Light Wind</v>
      </c>
      <c r="U772">
        <v>9</v>
      </c>
      <c r="V772">
        <v>73</v>
      </c>
      <c r="W772">
        <v>82</v>
      </c>
      <c r="X772" t="str">
        <f>IF(W772&lt;=75,"Low Demand",IF(W772&lt;=150,"Medium Demand",IF(W772&lt;=225,"High Demand","Very High Demand")))</f>
        <v>Medium Demand</v>
      </c>
    </row>
    <row r="773" spans="1:24" x14ac:dyDescent="0.25">
      <c r="A773">
        <v>772</v>
      </c>
      <c r="B773" s="2">
        <v>40578</v>
      </c>
      <c r="C773">
        <v>1</v>
      </c>
      <c r="D773">
        <v>0</v>
      </c>
      <c r="E773">
        <v>2</v>
      </c>
      <c r="F773">
        <v>14</v>
      </c>
      <c r="G773" t="str">
        <f>IF(F773&lt;6,"Night",IF(F773&lt;12,"Morning",IF(F773&lt;18,"Afternoon","Evening")))</f>
        <v>Afternoon</v>
      </c>
      <c r="H773">
        <v>0</v>
      </c>
      <c r="I773">
        <v>5</v>
      </c>
      <c r="J773" t="str">
        <f>CHOOSE(I773+1,"Monday","Tuesday","Wednesday","Thursday","Friday","Saturday","Sunday")</f>
        <v>Saturday</v>
      </c>
      <c r="K773">
        <v>2</v>
      </c>
      <c r="L773" t="str">
        <f>CHOOSE(K773+1,"error","Clear","Misty","Rainy","Severe heater")</f>
        <v>Misty</v>
      </c>
      <c r="M773" s="1">
        <v>0.24</v>
      </c>
      <c r="N773" t="str">
        <f>IF(M773&lt;=0.2,"Low",IF(M773&lt;=0.4,"Mid","High"))</f>
        <v>Mid</v>
      </c>
      <c r="O773" s="1">
        <v>0.2424</v>
      </c>
      <c r="P773" t="str">
        <f>IF(O773&lt;=0.15,"Very Cold",IF(O773&lt;=0.3,"Cold",IF(O773&lt;=0.45,"Pleasant","Hot")))</f>
        <v>Cold</v>
      </c>
      <c r="Q773">
        <v>0.45</v>
      </c>
      <c r="R773" t="str">
        <f>IF(Q773&lt;=0.25,"Low ",IF(Q773&lt;=0.5,"Moderate ",IF(Q773&lt;=0.75,"High ","Very High ")))</f>
        <v xml:space="preserve">Moderate </v>
      </c>
      <c r="S773">
        <v>0.16420000000000001</v>
      </c>
      <c r="T773" t="str">
        <f>IF(S773&lt;=0.15,"Calm",IF(S773&lt;=0.3,"Light Wind",IF(S773&lt;=0.45,"Moderate Wind","Strong Wind")))</f>
        <v>Light Wind</v>
      </c>
      <c r="U773">
        <v>15</v>
      </c>
      <c r="V773">
        <v>76</v>
      </c>
      <c r="W773">
        <v>91</v>
      </c>
      <c r="X773" t="str">
        <f>IF(W773&lt;=75,"Low Demand",IF(W773&lt;=150,"Medium Demand",IF(W773&lt;=225,"High Demand","Very High Demand")))</f>
        <v>Medium Demand</v>
      </c>
    </row>
    <row r="774" spans="1:24" x14ac:dyDescent="0.25">
      <c r="A774">
        <v>773</v>
      </c>
      <c r="B774" s="2">
        <v>40578</v>
      </c>
      <c r="C774">
        <v>1</v>
      </c>
      <c r="D774">
        <v>0</v>
      </c>
      <c r="E774">
        <v>2</v>
      </c>
      <c r="F774">
        <v>15</v>
      </c>
      <c r="G774" t="str">
        <f>IF(F774&lt;6,"Night",IF(F774&lt;12,"Morning",IF(F774&lt;18,"Afternoon","Evening")))</f>
        <v>Afternoon</v>
      </c>
      <c r="H774">
        <v>0</v>
      </c>
      <c r="I774">
        <v>5</v>
      </c>
      <c r="J774" t="str">
        <f>CHOOSE(I774+1,"Monday","Tuesday","Wednesday","Thursday","Friday","Saturday","Sunday")</f>
        <v>Saturday</v>
      </c>
      <c r="K774">
        <v>2</v>
      </c>
      <c r="L774" t="str">
        <f>CHOOSE(K774+1,"error","Clear","Misty","Rainy","Severe heater")</f>
        <v>Misty</v>
      </c>
      <c r="M774" s="1">
        <v>0.24</v>
      </c>
      <c r="N774" t="str">
        <f>IF(M774&lt;=0.2,"Low",IF(M774&lt;=0.4,"Mid","High"))</f>
        <v>Mid</v>
      </c>
      <c r="O774" s="1">
        <v>0.2424</v>
      </c>
      <c r="P774" t="str">
        <f>IF(O774&lt;=0.15,"Very Cold",IF(O774&lt;=0.3,"Cold",IF(O774&lt;=0.45,"Pleasant","Hot")))</f>
        <v>Cold</v>
      </c>
      <c r="Q774">
        <v>0.48</v>
      </c>
      <c r="R774" t="str">
        <f>IF(Q774&lt;=0.25,"Low ",IF(Q774&lt;=0.5,"Moderate ",IF(Q774&lt;=0.75,"High ","Very High ")))</f>
        <v xml:space="preserve">Moderate </v>
      </c>
      <c r="S774">
        <v>0.25369999999999998</v>
      </c>
      <c r="T774" t="str">
        <f>IF(S774&lt;=0.15,"Calm",IF(S774&lt;=0.3,"Light Wind",IF(S774&lt;=0.45,"Moderate Wind","Strong Wind")))</f>
        <v>Light Wind</v>
      </c>
      <c r="U774">
        <v>9</v>
      </c>
      <c r="V774">
        <v>81</v>
      </c>
      <c r="W774">
        <v>90</v>
      </c>
      <c r="X774" t="str">
        <f>IF(W774&lt;=75,"Low Demand",IF(W774&lt;=150,"Medium Demand",IF(W774&lt;=225,"High Demand","Very High Demand")))</f>
        <v>Medium Demand</v>
      </c>
    </row>
    <row r="775" spans="1:24" x14ac:dyDescent="0.25">
      <c r="A775">
        <v>774</v>
      </c>
      <c r="B775" s="2">
        <v>40578</v>
      </c>
      <c r="C775">
        <v>1</v>
      </c>
      <c r="D775">
        <v>0</v>
      </c>
      <c r="E775">
        <v>2</v>
      </c>
      <c r="F775">
        <v>16</v>
      </c>
      <c r="G775" t="str">
        <f>IF(F775&lt;6,"Night",IF(F775&lt;12,"Morning",IF(F775&lt;18,"Afternoon","Evening")))</f>
        <v>Afternoon</v>
      </c>
      <c r="H775">
        <v>0</v>
      </c>
      <c r="I775">
        <v>5</v>
      </c>
      <c r="J775" t="str">
        <f>CHOOSE(I775+1,"Monday","Tuesday","Wednesday","Thursday","Friday","Saturday","Sunday")</f>
        <v>Saturday</v>
      </c>
      <c r="K775">
        <v>2</v>
      </c>
      <c r="L775" t="str">
        <f>CHOOSE(K775+1,"error","Clear","Misty","Rainy","Severe heater")</f>
        <v>Misty</v>
      </c>
      <c r="M775" s="1">
        <v>0.24</v>
      </c>
      <c r="N775" t="str">
        <f>IF(M775&lt;=0.2,"Low",IF(M775&lt;=0.4,"Mid","High"))</f>
        <v>Mid</v>
      </c>
      <c r="O775" s="1">
        <v>0.2424</v>
      </c>
      <c r="P775" t="str">
        <f>IF(O775&lt;=0.15,"Very Cold",IF(O775&lt;=0.3,"Cold",IF(O775&lt;=0.45,"Pleasant","Hot")))</f>
        <v>Cold</v>
      </c>
      <c r="Q775">
        <v>0.42</v>
      </c>
      <c r="R775" t="str">
        <f>IF(Q775&lt;=0.25,"Low ",IF(Q775&lt;=0.5,"Moderate ",IF(Q775&lt;=0.75,"High ","Very High ")))</f>
        <v xml:space="preserve">Moderate </v>
      </c>
      <c r="S775">
        <v>0.22389999999999999</v>
      </c>
      <c r="T775" t="str">
        <f>IF(S775&lt;=0.15,"Calm",IF(S775&lt;=0.3,"Light Wind",IF(S775&lt;=0.45,"Moderate Wind","Strong Wind")))</f>
        <v>Light Wind</v>
      </c>
      <c r="U775">
        <v>8</v>
      </c>
      <c r="V775">
        <v>91</v>
      </c>
      <c r="W775">
        <v>99</v>
      </c>
      <c r="X775" t="str">
        <f>IF(W775&lt;=75,"Low Demand",IF(W775&lt;=150,"Medium Demand",IF(W775&lt;=225,"High Demand","Very High Demand")))</f>
        <v>Medium Demand</v>
      </c>
    </row>
    <row r="776" spans="1:24" x14ac:dyDescent="0.25">
      <c r="A776">
        <v>775</v>
      </c>
      <c r="B776" s="2">
        <v>40578</v>
      </c>
      <c r="C776">
        <v>1</v>
      </c>
      <c r="D776">
        <v>0</v>
      </c>
      <c r="E776">
        <v>2</v>
      </c>
      <c r="F776">
        <v>17</v>
      </c>
      <c r="G776" t="str">
        <f>IF(F776&lt;6,"Night",IF(F776&lt;12,"Morning",IF(F776&lt;18,"Afternoon","Evening")))</f>
        <v>Afternoon</v>
      </c>
      <c r="H776">
        <v>0</v>
      </c>
      <c r="I776">
        <v>5</v>
      </c>
      <c r="J776" t="str">
        <f>CHOOSE(I776+1,"Monday","Tuesday","Wednesday","Thursday","Friday","Saturday","Sunday")</f>
        <v>Saturday</v>
      </c>
      <c r="K776">
        <v>2</v>
      </c>
      <c r="L776" t="str">
        <f>CHOOSE(K776+1,"error","Clear","Misty","Rainy","Severe heater")</f>
        <v>Misty</v>
      </c>
      <c r="M776" s="1">
        <v>0.24</v>
      </c>
      <c r="N776" t="str">
        <f>IF(M776&lt;=0.2,"Low",IF(M776&lt;=0.4,"Mid","High"))</f>
        <v>Mid</v>
      </c>
      <c r="O776" s="1">
        <v>0.2424</v>
      </c>
      <c r="P776" t="str">
        <f>IF(O776&lt;=0.15,"Very Cold",IF(O776&lt;=0.3,"Cold",IF(O776&lt;=0.45,"Pleasant","Hot")))</f>
        <v>Cold</v>
      </c>
      <c r="Q776">
        <v>0.56000000000000005</v>
      </c>
      <c r="R776" t="str">
        <f>IF(Q776&lt;=0.25,"Low ",IF(Q776&lt;=0.5,"Moderate ",IF(Q776&lt;=0.75,"High ","Very High ")))</f>
        <v xml:space="preserve">High </v>
      </c>
      <c r="S776">
        <v>0.1343</v>
      </c>
      <c r="T776" t="str">
        <f>IF(S776&lt;=0.15,"Calm",IF(S776&lt;=0.3,"Light Wind",IF(S776&lt;=0.45,"Moderate Wind","Strong Wind")))</f>
        <v>Calm</v>
      </c>
      <c r="U776">
        <v>10</v>
      </c>
      <c r="V776">
        <v>195</v>
      </c>
      <c r="W776">
        <v>205</v>
      </c>
      <c r="X776" t="str">
        <f>IF(W776&lt;=75,"Low Demand",IF(W776&lt;=150,"Medium Demand",IF(W776&lt;=225,"High Demand","Very High Demand")))</f>
        <v>High Demand</v>
      </c>
    </row>
    <row r="777" spans="1:24" x14ac:dyDescent="0.25">
      <c r="A777">
        <v>776</v>
      </c>
      <c r="B777" s="2">
        <v>40578</v>
      </c>
      <c r="C777">
        <v>1</v>
      </c>
      <c r="D777">
        <v>0</v>
      </c>
      <c r="E777">
        <v>2</v>
      </c>
      <c r="F777">
        <v>18</v>
      </c>
      <c r="G777" t="str">
        <f>IF(F777&lt;6,"Night",IF(F777&lt;12,"Morning",IF(F777&lt;18,"Afternoon","Evening")))</f>
        <v>Evening</v>
      </c>
      <c r="H777">
        <v>0</v>
      </c>
      <c r="I777">
        <v>5</v>
      </c>
      <c r="J777" t="str">
        <f>CHOOSE(I777+1,"Monday","Tuesday","Wednesday","Thursday","Friday","Saturday","Sunday")</f>
        <v>Saturday</v>
      </c>
      <c r="K777">
        <v>2</v>
      </c>
      <c r="L777" t="str">
        <f>CHOOSE(K777+1,"error","Clear","Misty","Rainy","Severe heater")</f>
        <v>Misty</v>
      </c>
      <c r="M777" s="1">
        <v>0.24</v>
      </c>
      <c r="N777" t="str">
        <f>IF(M777&lt;=0.2,"Low",IF(M777&lt;=0.4,"Mid","High"))</f>
        <v>Mid</v>
      </c>
      <c r="O777" s="1">
        <v>0.2424</v>
      </c>
      <c r="P777" t="str">
        <f>IF(O777&lt;=0.15,"Very Cold",IF(O777&lt;=0.3,"Cold",IF(O777&lt;=0.45,"Pleasant","Hot")))</f>
        <v>Cold</v>
      </c>
      <c r="Q777">
        <v>0.6</v>
      </c>
      <c r="R777" t="str">
        <f>IF(Q777&lt;=0.25,"Low ",IF(Q777&lt;=0.5,"Moderate ",IF(Q777&lt;=0.75,"High ","Very High ")))</f>
        <v xml:space="preserve">High </v>
      </c>
      <c r="S777">
        <v>0.1045</v>
      </c>
      <c r="T777" t="str">
        <f>IF(S777&lt;=0.15,"Calm",IF(S777&lt;=0.3,"Light Wind",IF(S777&lt;=0.45,"Moderate Wind","Strong Wind")))</f>
        <v>Calm</v>
      </c>
      <c r="U777">
        <v>3</v>
      </c>
      <c r="V777">
        <v>152</v>
      </c>
      <c r="W777">
        <v>155</v>
      </c>
      <c r="X777" t="str">
        <f>IF(W777&lt;=75,"Low Demand",IF(W777&lt;=150,"Medium Demand",IF(W777&lt;=225,"High Demand","Very High Demand")))</f>
        <v>High Demand</v>
      </c>
    </row>
    <row r="778" spans="1:24" x14ac:dyDescent="0.25">
      <c r="A778">
        <v>777</v>
      </c>
      <c r="B778" s="2">
        <v>40578</v>
      </c>
      <c r="C778">
        <v>1</v>
      </c>
      <c r="D778">
        <v>0</v>
      </c>
      <c r="E778">
        <v>2</v>
      </c>
      <c r="F778">
        <v>19</v>
      </c>
      <c r="G778" t="str">
        <f>IF(F778&lt;6,"Night",IF(F778&lt;12,"Morning",IF(F778&lt;18,"Afternoon","Evening")))</f>
        <v>Evening</v>
      </c>
      <c r="H778">
        <v>0</v>
      </c>
      <c r="I778">
        <v>5</v>
      </c>
      <c r="J778" t="str">
        <f>CHOOSE(I778+1,"Monday","Tuesday","Wednesday","Thursday","Friday","Saturday","Sunday")</f>
        <v>Saturday</v>
      </c>
      <c r="K778">
        <v>2</v>
      </c>
      <c r="L778" t="str">
        <f>CHOOSE(K778+1,"error","Clear","Misty","Rainy","Severe heater")</f>
        <v>Misty</v>
      </c>
      <c r="M778" s="1">
        <v>0.22</v>
      </c>
      <c r="N778" t="str">
        <f>IF(M778&lt;=0.2,"Low",IF(M778&lt;=0.4,"Mid","High"))</f>
        <v>Mid</v>
      </c>
      <c r="O778" s="1">
        <v>0.2273</v>
      </c>
      <c r="P778" t="str">
        <f>IF(O778&lt;=0.15,"Very Cold",IF(O778&lt;=0.3,"Cold",IF(O778&lt;=0.45,"Pleasant","Hot")))</f>
        <v>Cold</v>
      </c>
      <c r="Q778">
        <v>0.65</v>
      </c>
      <c r="R778" t="str">
        <f>IF(Q778&lt;=0.25,"Low ",IF(Q778&lt;=0.5,"Moderate ",IF(Q778&lt;=0.75,"High ","Very High ")))</f>
        <v xml:space="preserve">High </v>
      </c>
      <c r="S778">
        <v>0.1343</v>
      </c>
      <c r="T778" t="str">
        <f>IF(S778&lt;=0.15,"Calm",IF(S778&lt;=0.3,"Light Wind",IF(S778&lt;=0.45,"Moderate Wind","Strong Wind")))</f>
        <v>Calm</v>
      </c>
      <c r="U778">
        <v>1</v>
      </c>
      <c r="V778">
        <v>102</v>
      </c>
      <c r="W778">
        <v>103</v>
      </c>
      <c r="X778" t="str">
        <f>IF(W778&lt;=75,"Low Demand",IF(W778&lt;=150,"Medium Demand",IF(W778&lt;=225,"High Demand","Very High Demand")))</f>
        <v>Medium Demand</v>
      </c>
    </row>
    <row r="779" spans="1:24" x14ac:dyDescent="0.25">
      <c r="A779">
        <v>778</v>
      </c>
      <c r="B779" s="2">
        <v>40578</v>
      </c>
      <c r="C779">
        <v>1</v>
      </c>
      <c r="D779">
        <v>0</v>
      </c>
      <c r="E779">
        <v>2</v>
      </c>
      <c r="F779">
        <v>20</v>
      </c>
      <c r="G779" t="str">
        <f>IF(F779&lt;6,"Night",IF(F779&lt;12,"Morning",IF(F779&lt;18,"Afternoon","Evening")))</f>
        <v>Evening</v>
      </c>
      <c r="H779">
        <v>0</v>
      </c>
      <c r="I779">
        <v>5</v>
      </c>
      <c r="J779" t="str">
        <f>CHOOSE(I779+1,"Monday","Tuesday","Wednesday","Thursday","Friday","Saturday","Sunday")</f>
        <v>Saturday</v>
      </c>
      <c r="K779">
        <v>2</v>
      </c>
      <c r="L779" t="str">
        <f>CHOOSE(K779+1,"error","Clear","Misty","Rainy","Severe heater")</f>
        <v>Misty</v>
      </c>
      <c r="M779" s="1">
        <v>0.2</v>
      </c>
      <c r="N779" t="str">
        <f>IF(M779&lt;=0.2,"Low",IF(M779&lt;=0.4,"Mid","High"))</f>
        <v>Low</v>
      </c>
      <c r="O779" s="1">
        <v>0.2273</v>
      </c>
      <c r="P779" t="str">
        <f>IF(O779&lt;=0.15,"Very Cold",IF(O779&lt;=0.3,"Cold",IF(O779&lt;=0.45,"Pleasant","Hot")))</f>
        <v>Cold</v>
      </c>
      <c r="Q779">
        <v>0.65</v>
      </c>
      <c r="R779" t="str">
        <f>IF(Q779&lt;=0.25,"Low ",IF(Q779&lt;=0.5,"Moderate ",IF(Q779&lt;=0.75,"High ","Very High ")))</f>
        <v xml:space="preserve">High </v>
      </c>
      <c r="S779">
        <v>0.16420000000000001</v>
      </c>
      <c r="T779" t="str">
        <f>IF(S779&lt;=0.15,"Calm",IF(S779&lt;=0.3,"Light Wind",IF(S779&lt;=0.45,"Moderate Wind","Strong Wind")))</f>
        <v>Light Wind</v>
      </c>
      <c r="U779">
        <v>2</v>
      </c>
      <c r="V779">
        <v>69</v>
      </c>
      <c r="W779">
        <v>71</v>
      </c>
      <c r="X779" t="str">
        <f>IF(W779&lt;=75,"Low Demand",IF(W779&lt;=150,"Medium Demand",IF(W779&lt;=225,"High Demand","Very High Demand")))</f>
        <v>Low Demand</v>
      </c>
    </row>
    <row r="780" spans="1:24" x14ac:dyDescent="0.25">
      <c r="A780">
        <v>779</v>
      </c>
      <c r="B780" s="2">
        <v>40578</v>
      </c>
      <c r="C780">
        <v>1</v>
      </c>
      <c r="D780">
        <v>0</v>
      </c>
      <c r="E780">
        <v>2</v>
      </c>
      <c r="F780">
        <v>21</v>
      </c>
      <c r="G780" t="str">
        <f>IF(F780&lt;6,"Night",IF(F780&lt;12,"Morning",IF(F780&lt;18,"Afternoon","Evening")))</f>
        <v>Evening</v>
      </c>
      <c r="H780">
        <v>0</v>
      </c>
      <c r="I780">
        <v>5</v>
      </c>
      <c r="J780" t="str">
        <f>CHOOSE(I780+1,"Monday","Tuesday","Wednesday","Thursday","Friday","Saturday","Sunday")</f>
        <v>Saturday</v>
      </c>
      <c r="K780">
        <v>2</v>
      </c>
      <c r="L780" t="str">
        <f>CHOOSE(K780+1,"error","Clear","Misty","Rainy","Severe heater")</f>
        <v>Misty</v>
      </c>
      <c r="M780" s="1">
        <v>0.2</v>
      </c>
      <c r="N780" t="str">
        <f>IF(M780&lt;=0.2,"Low",IF(M780&lt;=0.4,"Mid","High"))</f>
        <v>Low</v>
      </c>
      <c r="O780" s="1">
        <v>0.2576</v>
      </c>
      <c r="P780" t="str">
        <f>IF(O780&lt;=0.15,"Very Cold",IF(O780&lt;=0.3,"Cold",IF(O780&lt;=0.45,"Pleasant","Hot")))</f>
        <v>Cold</v>
      </c>
      <c r="Q780">
        <v>0.7</v>
      </c>
      <c r="R780" t="str">
        <f>IF(Q780&lt;=0.25,"Low ",IF(Q780&lt;=0.5,"Moderate ",IF(Q780&lt;=0.75,"High ","Very High ")))</f>
        <v xml:space="preserve">High </v>
      </c>
      <c r="S780">
        <v>0.16420000000000001</v>
      </c>
      <c r="T780" t="str">
        <f>IF(S780&lt;=0.15,"Calm",IF(S780&lt;=0.3,"Light Wind",IF(S780&lt;=0.45,"Moderate Wind","Strong Wind")))</f>
        <v>Light Wind</v>
      </c>
      <c r="U780">
        <v>2</v>
      </c>
      <c r="V780">
        <v>41</v>
      </c>
      <c r="W780">
        <v>43</v>
      </c>
      <c r="X780" t="str">
        <f>IF(W780&lt;=75,"Low Demand",IF(W780&lt;=150,"Medium Demand",IF(W780&lt;=225,"High Demand","Very High Demand")))</f>
        <v>Low Demand</v>
      </c>
    </row>
    <row r="781" spans="1:24" x14ac:dyDescent="0.25">
      <c r="A781">
        <v>780</v>
      </c>
      <c r="B781" s="2">
        <v>40578</v>
      </c>
      <c r="C781">
        <v>1</v>
      </c>
      <c r="D781">
        <v>0</v>
      </c>
      <c r="E781">
        <v>2</v>
      </c>
      <c r="F781">
        <v>22</v>
      </c>
      <c r="G781" t="str">
        <f>IF(F781&lt;6,"Night",IF(F781&lt;12,"Morning",IF(F781&lt;18,"Afternoon","Evening")))</f>
        <v>Evening</v>
      </c>
      <c r="H781">
        <v>0</v>
      </c>
      <c r="I781">
        <v>5</v>
      </c>
      <c r="J781" t="str">
        <f>CHOOSE(I781+1,"Monday","Tuesday","Wednesday","Thursday","Friday","Saturday","Sunday")</f>
        <v>Saturday</v>
      </c>
      <c r="K781">
        <v>2</v>
      </c>
      <c r="L781" t="str">
        <f>CHOOSE(K781+1,"error","Clear","Misty","Rainy","Severe heater")</f>
        <v>Misty</v>
      </c>
      <c r="M781" s="1">
        <v>0.22</v>
      </c>
      <c r="N781" t="str">
        <f>IF(M781&lt;=0.2,"Low",IF(M781&lt;=0.4,"Mid","High"))</f>
        <v>Mid</v>
      </c>
      <c r="O781" s="1">
        <v>0.2576</v>
      </c>
      <c r="P781" t="str">
        <f>IF(O781&lt;=0.15,"Very Cold",IF(O781&lt;=0.3,"Cold",IF(O781&lt;=0.45,"Pleasant","Hot")))</f>
        <v>Cold</v>
      </c>
      <c r="Q781">
        <v>0.65</v>
      </c>
      <c r="R781" t="str">
        <f>IF(Q781&lt;=0.25,"Low ",IF(Q781&lt;=0.5,"Moderate ",IF(Q781&lt;=0.75,"High ","Very High ")))</f>
        <v xml:space="preserve">High </v>
      </c>
      <c r="S781">
        <v>0.16420000000000001</v>
      </c>
      <c r="T781" t="str">
        <f>IF(S781&lt;=0.15,"Calm",IF(S781&lt;=0.3,"Light Wind",IF(S781&lt;=0.45,"Moderate Wind","Strong Wind")))</f>
        <v>Light Wind</v>
      </c>
      <c r="U781">
        <v>1</v>
      </c>
      <c r="V781">
        <v>45</v>
      </c>
      <c r="W781">
        <v>46</v>
      </c>
      <c r="X781" t="str">
        <f>IF(W781&lt;=75,"Low Demand",IF(W781&lt;=150,"Medium Demand",IF(W781&lt;=225,"High Demand","Very High Demand")))</f>
        <v>Low Demand</v>
      </c>
    </row>
    <row r="782" spans="1:24" x14ac:dyDescent="0.25">
      <c r="A782">
        <v>781</v>
      </c>
      <c r="B782" s="2">
        <v>40578</v>
      </c>
      <c r="C782">
        <v>1</v>
      </c>
      <c r="D782">
        <v>0</v>
      </c>
      <c r="E782">
        <v>2</v>
      </c>
      <c r="F782">
        <v>23</v>
      </c>
      <c r="G782" t="str">
        <f>IF(F782&lt;6,"Night",IF(F782&lt;12,"Morning",IF(F782&lt;18,"Afternoon","Evening")))</f>
        <v>Evening</v>
      </c>
      <c r="H782">
        <v>0</v>
      </c>
      <c r="I782">
        <v>5</v>
      </c>
      <c r="J782" t="str">
        <f>CHOOSE(I782+1,"Monday","Tuesday","Wednesday","Thursday","Friday","Saturday","Sunday")</f>
        <v>Saturday</v>
      </c>
      <c r="K782">
        <v>2</v>
      </c>
      <c r="L782" t="str">
        <f>CHOOSE(K782+1,"error","Clear","Misty","Rainy","Severe heater")</f>
        <v>Misty</v>
      </c>
      <c r="M782" s="1">
        <v>0.2</v>
      </c>
      <c r="N782" t="str">
        <f>IF(M782&lt;=0.2,"Low",IF(M782&lt;=0.4,"Mid","High"))</f>
        <v>Low</v>
      </c>
      <c r="O782" s="1">
        <v>0.2273</v>
      </c>
      <c r="P782" t="str">
        <f>IF(O782&lt;=0.15,"Very Cold",IF(O782&lt;=0.3,"Cold",IF(O782&lt;=0.45,"Pleasant","Hot")))</f>
        <v>Cold</v>
      </c>
      <c r="Q782">
        <v>0.7</v>
      </c>
      <c r="R782" t="str">
        <f>IF(Q782&lt;=0.25,"Low ",IF(Q782&lt;=0.5,"Moderate ",IF(Q782&lt;=0.75,"High ","Very High ")))</f>
        <v xml:space="preserve">High </v>
      </c>
      <c r="S782">
        <v>0.1343</v>
      </c>
      <c r="T782" t="str">
        <f>IF(S782&lt;=0.15,"Calm",IF(S782&lt;=0.3,"Light Wind",IF(S782&lt;=0.45,"Moderate Wind","Strong Wind")))</f>
        <v>Calm</v>
      </c>
      <c r="U782">
        <v>1</v>
      </c>
      <c r="V782">
        <v>30</v>
      </c>
      <c r="W782">
        <v>31</v>
      </c>
      <c r="X782" t="str">
        <f>IF(W782&lt;=75,"Low Demand",IF(W782&lt;=150,"Medium Demand",IF(W782&lt;=225,"High Demand","Very High Demand")))</f>
        <v>Low Demand</v>
      </c>
    </row>
    <row r="783" spans="1:24" x14ac:dyDescent="0.25">
      <c r="A783">
        <v>782</v>
      </c>
      <c r="B783" s="2">
        <v>40579</v>
      </c>
      <c r="C783">
        <v>1</v>
      </c>
      <c r="D783">
        <v>0</v>
      </c>
      <c r="E783">
        <v>2</v>
      </c>
      <c r="F783">
        <v>0</v>
      </c>
      <c r="G783" t="str">
        <f>IF(F783&lt;6,"Night",IF(F783&lt;12,"Morning",IF(F783&lt;18,"Afternoon","Evening")))</f>
        <v>Night</v>
      </c>
      <c r="H783">
        <v>0</v>
      </c>
      <c r="I783">
        <v>6</v>
      </c>
      <c r="J783" t="str">
        <f>CHOOSE(I783+1,"Monday","Tuesday","Wednesday","Thursday","Friday","Saturday","Sunday")</f>
        <v>Sunday</v>
      </c>
      <c r="K783">
        <v>2</v>
      </c>
      <c r="L783" t="str">
        <f>CHOOSE(K783+1,"error","Clear","Misty","Rainy","Severe heater")</f>
        <v>Misty</v>
      </c>
      <c r="M783" s="1">
        <v>0.2</v>
      </c>
      <c r="N783" t="str">
        <f>IF(M783&lt;=0.2,"Low",IF(M783&lt;=0.4,"Mid","High"))</f>
        <v>Low</v>
      </c>
      <c r="O783" s="1">
        <v>0.2273</v>
      </c>
      <c r="P783" t="str">
        <f>IF(O783&lt;=0.15,"Very Cold",IF(O783&lt;=0.3,"Cold",IF(O783&lt;=0.45,"Pleasant","Hot")))</f>
        <v>Cold</v>
      </c>
      <c r="Q783">
        <v>0.7</v>
      </c>
      <c r="R783" t="str">
        <f>IF(Q783&lt;=0.25,"Low ",IF(Q783&lt;=0.5,"Moderate ",IF(Q783&lt;=0.75,"High ","Very High ")))</f>
        <v xml:space="preserve">High </v>
      </c>
      <c r="S783">
        <v>0.16420000000000001</v>
      </c>
      <c r="T783" t="str">
        <f>IF(S783&lt;=0.15,"Calm",IF(S783&lt;=0.3,"Light Wind",IF(S783&lt;=0.45,"Moderate Wind","Strong Wind")))</f>
        <v>Light Wind</v>
      </c>
      <c r="U783">
        <v>3</v>
      </c>
      <c r="V783">
        <v>36</v>
      </c>
      <c r="W783">
        <v>39</v>
      </c>
      <c r="X783" t="str">
        <f>IF(W783&lt;=75,"Low Demand",IF(W783&lt;=150,"Medium Demand",IF(W783&lt;=225,"High Demand","Very High Demand")))</f>
        <v>Low Demand</v>
      </c>
    </row>
    <row r="784" spans="1:24" x14ac:dyDescent="0.25">
      <c r="A784">
        <v>783</v>
      </c>
      <c r="B784" s="2">
        <v>40579</v>
      </c>
      <c r="C784">
        <v>1</v>
      </c>
      <c r="D784">
        <v>0</v>
      </c>
      <c r="E784">
        <v>2</v>
      </c>
      <c r="F784">
        <v>1</v>
      </c>
      <c r="G784" t="str">
        <f>IF(F784&lt;6,"Night",IF(F784&lt;12,"Morning",IF(F784&lt;18,"Afternoon","Evening")))</f>
        <v>Night</v>
      </c>
      <c r="H784">
        <v>0</v>
      </c>
      <c r="I784">
        <v>6</v>
      </c>
      <c r="J784" t="str">
        <f>CHOOSE(I784+1,"Monday","Tuesday","Wednesday","Thursday","Friday","Saturday","Sunday")</f>
        <v>Sunday</v>
      </c>
      <c r="K784">
        <v>2</v>
      </c>
      <c r="L784" t="str">
        <f>CHOOSE(K784+1,"error","Clear","Misty","Rainy","Severe heater")</f>
        <v>Misty</v>
      </c>
      <c r="M784" s="1">
        <v>0.2</v>
      </c>
      <c r="N784" t="str">
        <f>IF(M784&lt;=0.2,"Low",IF(M784&lt;=0.4,"Mid","High"))</f>
        <v>Low</v>
      </c>
      <c r="O784" s="1">
        <v>0.21210000000000001</v>
      </c>
      <c r="P784" t="str">
        <f>IF(O784&lt;=0.15,"Very Cold",IF(O784&lt;=0.3,"Cold",IF(O784&lt;=0.45,"Pleasant","Hot")))</f>
        <v>Cold</v>
      </c>
      <c r="Q784">
        <v>0.65</v>
      </c>
      <c r="R784" t="str">
        <f>IF(Q784&lt;=0.25,"Low ",IF(Q784&lt;=0.5,"Moderate ",IF(Q784&lt;=0.75,"High ","Very High ")))</f>
        <v xml:space="preserve">High </v>
      </c>
      <c r="S784">
        <v>0.16420000000000001</v>
      </c>
      <c r="T784" t="str">
        <f>IF(S784&lt;=0.15,"Calm",IF(S784&lt;=0.3,"Light Wind",IF(S784&lt;=0.45,"Moderate Wind","Strong Wind")))</f>
        <v>Light Wind</v>
      </c>
      <c r="U784">
        <v>1</v>
      </c>
      <c r="V784">
        <v>17</v>
      </c>
      <c r="W784">
        <v>18</v>
      </c>
      <c r="X784" t="str">
        <f>IF(W784&lt;=75,"Low Demand",IF(W784&lt;=150,"Medium Demand",IF(W784&lt;=225,"High Demand","Very High Demand")))</f>
        <v>Low Demand</v>
      </c>
    </row>
    <row r="785" spans="1:24" x14ac:dyDescent="0.25">
      <c r="A785">
        <v>784</v>
      </c>
      <c r="B785" s="2">
        <v>40579</v>
      </c>
      <c r="C785">
        <v>1</v>
      </c>
      <c r="D785">
        <v>0</v>
      </c>
      <c r="E785">
        <v>2</v>
      </c>
      <c r="F785">
        <v>2</v>
      </c>
      <c r="G785" t="str">
        <f>IF(F785&lt;6,"Night",IF(F785&lt;12,"Morning",IF(F785&lt;18,"Afternoon","Evening")))</f>
        <v>Night</v>
      </c>
      <c r="H785">
        <v>0</v>
      </c>
      <c r="I785">
        <v>6</v>
      </c>
      <c r="J785" t="str">
        <f>CHOOSE(I785+1,"Monday","Tuesday","Wednesday","Thursday","Friday","Saturday","Sunday")</f>
        <v>Sunday</v>
      </c>
      <c r="K785">
        <v>2</v>
      </c>
      <c r="L785" t="str">
        <f>CHOOSE(K785+1,"error","Clear","Misty","Rainy","Severe heater")</f>
        <v>Misty</v>
      </c>
      <c r="M785" s="1">
        <v>0.22</v>
      </c>
      <c r="N785" t="str">
        <f>IF(M785&lt;=0.2,"Low",IF(M785&lt;=0.4,"Mid","High"))</f>
        <v>Mid</v>
      </c>
      <c r="O785" s="1">
        <v>0.2273</v>
      </c>
      <c r="P785" t="str">
        <f>IF(O785&lt;=0.15,"Very Cold",IF(O785&lt;=0.3,"Cold",IF(O785&lt;=0.45,"Pleasant","Hot")))</f>
        <v>Cold</v>
      </c>
      <c r="Q785">
        <v>0.75</v>
      </c>
      <c r="R785" t="str">
        <f>IF(Q785&lt;=0.25,"Low ",IF(Q785&lt;=0.5,"Moderate ",IF(Q785&lt;=0.75,"High ","Very High ")))</f>
        <v xml:space="preserve">High </v>
      </c>
      <c r="S785">
        <v>0.16420000000000001</v>
      </c>
      <c r="T785" t="str">
        <f>IF(S785&lt;=0.15,"Calm",IF(S785&lt;=0.3,"Light Wind",IF(S785&lt;=0.45,"Moderate Wind","Strong Wind")))</f>
        <v>Light Wind</v>
      </c>
      <c r="U785">
        <v>5</v>
      </c>
      <c r="V785">
        <v>12</v>
      </c>
      <c r="W785">
        <v>17</v>
      </c>
      <c r="X785" t="str">
        <f>IF(W785&lt;=75,"Low Demand",IF(W785&lt;=150,"Medium Demand",IF(W785&lt;=225,"High Demand","Very High Demand")))</f>
        <v>Low Demand</v>
      </c>
    </row>
    <row r="786" spans="1:24" x14ac:dyDescent="0.25">
      <c r="A786">
        <v>785</v>
      </c>
      <c r="B786" s="2">
        <v>40579</v>
      </c>
      <c r="C786">
        <v>1</v>
      </c>
      <c r="D786">
        <v>0</v>
      </c>
      <c r="E786">
        <v>2</v>
      </c>
      <c r="F786">
        <v>3</v>
      </c>
      <c r="G786" t="str">
        <f>IF(F786&lt;6,"Night",IF(F786&lt;12,"Morning",IF(F786&lt;18,"Afternoon","Evening")))</f>
        <v>Night</v>
      </c>
      <c r="H786">
        <v>0</v>
      </c>
      <c r="I786">
        <v>6</v>
      </c>
      <c r="J786" t="str">
        <f>CHOOSE(I786+1,"Monday","Tuesday","Wednesday","Thursday","Friday","Saturday","Sunday")</f>
        <v>Sunday</v>
      </c>
      <c r="K786">
        <v>2</v>
      </c>
      <c r="L786" t="str">
        <f>CHOOSE(K786+1,"error","Clear","Misty","Rainy","Severe heater")</f>
        <v>Misty</v>
      </c>
      <c r="M786" s="1">
        <v>0.22</v>
      </c>
      <c r="N786" t="str">
        <f>IF(M786&lt;=0.2,"Low",IF(M786&lt;=0.4,"Mid","High"))</f>
        <v>Mid</v>
      </c>
      <c r="O786" s="1">
        <v>0.2273</v>
      </c>
      <c r="P786" t="str">
        <f>IF(O786&lt;=0.15,"Very Cold",IF(O786&lt;=0.3,"Cold",IF(O786&lt;=0.45,"Pleasant","Hot")))</f>
        <v>Cold</v>
      </c>
      <c r="Q786">
        <v>0.75</v>
      </c>
      <c r="R786" t="str">
        <f>IF(Q786&lt;=0.25,"Low ",IF(Q786&lt;=0.5,"Moderate ",IF(Q786&lt;=0.75,"High ","Very High ")))</f>
        <v xml:space="preserve">High </v>
      </c>
      <c r="S786">
        <v>0.16420000000000001</v>
      </c>
      <c r="T786" t="str">
        <f>IF(S786&lt;=0.15,"Calm",IF(S786&lt;=0.3,"Light Wind",IF(S786&lt;=0.45,"Moderate Wind","Strong Wind")))</f>
        <v>Light Wind</v>
      </c>
      <c r="U786">
        <v>1</v>
      </c>
      <c r="V786">
        <v>10</v>
      </c>
      <c r="W786">
        <v>11</v>
      </c>
      <c r="X786" t="str">
        <f>IF(W786&lt;=75,"Low Demand",IF(W786&lt;=150,"Medium Demand",IF(W786&lt;=225,"High Demand","Very High Demand")))</f>
        <v>Low Demand</v>
      </c>
    </row>
    <row r="787" spans="1:24" x14ac:dyDescent="0.25">
      <c r="A787">
        <v>786</v>
      </c>
      <c r="B787" s="2">
        <v>40579</v>
      </c>
      <c r="C787">
        <v>1</v>
      </c>
      <c r="D787">
        <v>0</v>
      </c>
      <c r="E787">
        <v>2</v>
      </c>
      <c r="F787">
        <v>4</v>
      </c>
      <c r="G787" t="str">
        <f>IF(F787&lt;6,"Night",IF(F787&lt;12,"Morning",IF(F787&lt;18,"Afternoon","Evening")))</f>
        <v>Night</v>
      </c>
      <c r="H787">
        <v>0</v>
      </c>
      <c r="I787">
        <v>6</v>
      </c>
      <c r="J787" t="str">
        <f>CHOOSE(I787+1,"Monday","Tuesday","Wednesday","Thursday","Friday","Saturday","Sunday")</f>
        <v>Sunday</v>
      </c>
      <c r="K787">
        <v>3</v>
      </c>
      <c r="L787" t="str">
        <f>CHOOSE(K787+1,"error","Clear","Misty","Rainy","Severe heater")</f>
        <v>Rainy</v>
      </c>
      <c r="M787" s="1">
        <v>0.22</v>
      </c>
      <c r="N787" t="str">
        <f>IF(M787&lt;=0.2,"Low",IF(M787&lt;=0.4,"Mid","High"))</f>
        <v>Mid</v>
      </c>
      <c r="O787" s="1">
        <v>0.2273</v>
      </c>
      <c r="P787" t="str">
        <f>IF(O787&lt;=0.15,"Very Cold",IF(O787&lt;=0.3,"Cold",IF(O787&lt;=0.45,"Pleasant","Hot")))</f>
        <v>Cold</v>
      </c>
      <c r="Q787">
        <v>0.93</v>
      </c>
      <c r="R787" t="str">
        <f>IF(Q787&lt;=0.25,"Low ",IF(Q787&lt;=0.5,"Moderate ",IF(Q787&lt;=0.75,"High ","Very High ")))</f>
        <v xml:space="preserve">Very High </v>
      </c>
      <c r="S787">
        <v>0.1343</v>
      </c>
      <c r="T787" t="str">
        <f>IF(S787&lt;=0.15,"Calm",IF(S787&lt;=0.3,"Light Wind",IF(S787&lt;=0.45,"Moderate Wind","Strong Wind")))</f>
        <v>Calm</v>
      </c>
      <c r="U787">
        <v>0</v>
      </c>
      <c r="V787">
        <v>8</v>
      </c>
      <c r="W787">
        <v>8</v>
      </c>
      <c r="X787" t="str">
        <f>IF(W787&lt;=75,"Low Demand",IF(W787&lt;=150,"Medium Demand",IF(W787&lt;=225,"High Demand","Very High Demand")))</f>
        <v>Low Demand</v>
      </c>
    </row>
    <row r="788" spans="1:24" x14ac:dyDescent="0.25">
      <c r="A788">
        <v>787</v>
      </c>
      <c r="B788" s="2">
        <v>40579</v>
      </c>
      <c r="C788">
        <v>1</v>
      </c>
      <c r="D788">
        <v>0</v>
      </c>
      <c r="E788">
        <v>2</v>
      </c>
      <c r="F788">
        <v>5</v>
      </c>
      <c r="G788" t="str">
        <f>IF(F788&lt;6,"Night",IF(F788&lt;12,"Morning",IF(F788&lt;18,"Afternoon","Evening")))</f>
        <v>Night</v>
      </c>
      <c r="H788">
        <v>0</v>
      </c>
      <c r="I788">
        <v>6</v>
      </c>
      <c r="J788" t="str">
        <f>CHOOSE(I788+1,"Monday","Tuesday","Wednesday","Thursday","Friday","Saturday","Sunday")</f>
        <v>Sunday</v>
      </c>
      <c r="K788">
        <v>3</v>
      </c>
      <c r="L788" t="str">
        <f>CHOOSE(K788+1,"error","Clear","Misty","Rainy","Severe heater")</f>
        <v>Rainy</v>
      </c>
      <c r="M788" s="1">
        <v>0.22</v>
      </c>
      <c r="N788" t="str">
        <f>IF(M788&lt;=0.2,"Low",IF(M788&lt;=0.4,"Mid","High"))</f>
        <v>Mid</v>
      </c>
      <c r="O788" s="1">
        <v>0.2727</v>
      </c>
      <c r="P788" t="str">
        <f>IF(O788&lt;=0.15,"Very Cold",IF(O788&lt;=0.3,"Cold",IF(O788&lt;=0.45,"Pleasant","Hot")))</f>
        <v>Cold</v>
      </c>
      <c r="Q788">
        <v>1</v>
      </c>
      <c r="R788" t="str">
        <f>IF(Q788&lt;=0.25,"Low ",IF(Q788&lt;=0.5,"Moderate ",IF(Q788&lt;=0.75,"High ","Very High ")))</f>
        <v xml:space="preserve">Very High </v>
      </c>
      <c r="S788">
        <v>8.9599999999999999E-2</v>
      </c>
      <c r="T788" t="str">
        <f>IF(S788&lt;=0.15,"Calm",IF(S788&lt;=0.3,"Light Wind",IF(S788&lt;=0.45,"Moderate Wind","Strong Wind")))</f>
        <v>Calm</v>
      </c>
      <c r="U788">
        <v>0</v>
      </c>
      <c r="V788">
        <v>9</v>
      </c>
      <c r="W788">
        <v>9</v>
      </c>
      <c r="X788" t="str">
        <f>IF(W788&lt;=75,"Low Demand",IF(W788&lt;=150,"Medium Demand",IF(W788&lt;=225,"High Demand","Very High Demand")))</f>
        <v>Low Demand</v>
      </c>
    </row>
    <row r="789" spans="1:24" x14ac:dyDescent="0.25">
      <c r="A789">
        <v>788</v>
      </c>
      <c r="B789" s="2">
        <v>40579</v>
      </c>
      <c r="C789">
        <v>1</v>
      </c>
      <c r="D789">
        <v>0</v>
      </c>
      <c r="E789">
        <v>2</v>
      </c>
      <c r="F789">
        <v>6</v>
      </c>
      <c r="G789" t="str">
        <f>IF(F789&lt;6,"Night",IF(F789&lt;12,"Morning",IF(F789&lt;18,"Afternoon","Evening")))</f>
        <v>Morning</v>
      </c>
      <c r="H789">
        <v>0</v>
      </c>
      <c r="I789">
        <v>6</v>
      </c>
      <c r="J789" t="str">
        <f>CHOOSE(I789+1,"Monday","Tuesday","Wednesday","Thursday","Friday","Saturday","Sunday")</f>
        <v>Sunday</v>
      </c>
      <c r="K789">
        <v>3</v>
      </c>
      <c r="L789" t="str">
        <f>CHOOSE(K789+1,"error","Clear","Misty","Rainy","Severe heater")</f>
        <v>Rainy</v>
      </c>
      <c r="M789" s="1">
        <v>0.22</v>
      </c>
      <c r="N789" t="str">
        <f>IF(M789&lt;=0.2,"Low",IF(M789&lt;=0.4,"Mid","High"))</f>
        <v>Mid</v>
      </c>
      <c r="O789" s="1">
        <v>0.2727</v>
      </c>
      <c r="P789" t="str">
        <f>IF(O789&lt;=0.15,"Very Cold",IF(O789&lt;=0.3,"Cold",IF(O789&lt;=0.45,"Pleasant","Hot")))</f>
        <v>Cold</v>
      </c>
      <c r="Q789">
        <v>1</v>
      </c>
      <c r="R789" t="str">
        <f>IF(Q789&lt;=0.25,"Low ",IF(Q789&lt;=0.5,"Moderate ",IF(Q789&lt;=0.75,"High ","Very High ")))</f>
        <v xml:space="preserve">Very High </v>
      </c>
      <c r="S789">
        <v>0</v>
      </c>
      <c r="T789" t="str">
        <f>IF(S789&lt;=0.15,"Calm",IF(S789&lt;=0.3,"Light Wind",IF(S789&lt;=0.45,"Moderate Wind","Strong Wind")))</f>
        <v>Calm</v>
      </c>
      <c r="U789">
        <v>0</v>
      </c>
      <c r="V789">
        <v>4</v>
      </c>
      <c r="W789">
        <v>4</v>
      </c>
      <c r="X789" t="str">
        <f>IF(W789&lt;=75,"Low Demand",IF(W789&lt;=150,"Medium Demand",IF(W789&lt;=225,"High Demand","Very High Demand")))</f>
        <v>Low Demand</v>
      </c>
    </row>
    <row r="790" spans="1:24" x14ac:dyDescent="0.25">
      <c r="A790">
        <v>789</v>
      </c>
      <c r="B790" s="2">
        <v>40579</v>
      </c>
      <c r="C790">
        <v>1</v>
      </c>
      <c r="D790">
        <v>0</v>
      </c>
      <c r="E790">
        <v>2</v>
      </c>
      <c r="F790">
        <v>7</v>
      </c>
      <c r="G790" t="str">
        <f>IF(F790&lt;6,"Night",IF(F790&lt;12,"Morning",IF(F790&lt;18,"Afternoon","Evening")))</f>
        <v>Morning</v>
      </c>
      <c r="H790">
        <v>0</v>
      </c>
      <c r="I790">
        <v>6</v>
      </c>
      <c r="J790" t="str">
        <f>CHOOSE(I790+1,"Monday","Tuesday","Wednesday","Thursday","Friday","Saturday","Sunday")</f>
        <v>Sunday</v>
      </c>
      <c r="K790">
        <v>3</v>
      </c>
      <c r="L790" t="str">
        <f>CHOOSE(K790+1,"error","Clear","Misty","Rainy","Severe heater")</f>
        <v>Rainy</v>
      </c>
      <c r="M790" s="1">
        <v>0.22</v>
      </c>
      <c r="N790" t="str">
        <f>IF(M790&lt;=0.2,"Low",IF(M790&lt;=0.4,"Mid","High"))</f>
        <v>Mid</v>
      </c>
      <c r="O790" s="1">
        <v>0.2273</v>
      </c>
      <c r="P790" t="str">
        <f>IF(O790&lt;=0.15,"Very Cold",IF(O790&lt;=0.3,"Cold",IF(O790&lt;=0.45,"Pleasant","Hot")))</f>
        <v>Cold</v>
      </c>
      <c r="Q790">
        <v>0.93</v>
      </c>
      <c r="R790" t="str">
        <f>IF(Q790&lt;=0.25,"Low ",IF(Q790&lt;=0.5,"Moderate ",IF(Q790&lt;=0.75,"High ","Very High ")))</f>
        <v xml:space="preserve">Very High </v>
      </c>
      <c r="S790">
        <v>8.9599999999999999E-2</v>
      </c>
      <c r="T790" t="str">
        <f>IF(S790&lt;=0.15,"Calm",IF(S790&lt;=0.3,"Light Wind",IF(S790&lt;=0.45,"Moderate Wind","Strong Wind")))</f>
        <v>Calm</v>
      </c>
      <c r="U790">
        <v>0</v>
      </c>
      <c r="V790">
        <v>4</v>
      </c>
      <c r="W790">
        <v>4</v>
      </c>
      <c r="X790" t="str">
        <f>IF(W790&lt;=75,"Low Demand",IF(W790&lt;=150,"Medium Demand",IF(W790&lt;=225,"High Demand","Very High Demand")))</f>
        <v>Low Demand</v>
      </c>
    </row>
    <row r="791" spans="1:24" x14ac:dyDescent="0.25">
      <c r="A791">
        <v>790</v>
      </c>
      <c r="B791" s="2">
        <v>40579</v>
      </c>
      <c r="C791">
        <v>1</v>
      </c>
      <c r="D791">
        <v>0</v>
      </c>
      <c r="E791">
        <v>2</v>
      </c>
      <c r="F791">
        <v>8</v>
      </c>
      <c r="G791" t="str">
        <f>IF(F791&lt;6,"Night",IF(F791&lt;12,"Morning",IF(F791&lt;18,"Afternoon","Evening")))</f>
        <v>Morning</v>
      </c>
      <c r="H791">
        <v>0</v>
      </c>
      <c r="I791">
        <v>6</v>
      </c>
      <c r="J791" t="str">
        <f>CHOOSE(I791+1,"Monday","Tuesday","Wednesday","Thursday","Friday","Saturday","Sunday")</f>
        <v>Sunday</v>
      </c>
      <c r="K791">
        <v>3</v>
      </c>
      <c r="L791" t="str">
        <f>CHOOSE(K791+1,"error","Clear","Misty","Rainy","Severe heater")</f>
        <v>Rainy</v>
      </c>
      <c r="M791" s="1">
        <v>0.24</v>
      </c>
      <c r="N791" t="str">
        <f>IF(M791&lt;=0.2,"Low",IF(M791&lt;=0.4,"Mid","High"))</f>
        <v>Mid</v>
      </c>
      <c r="O791" s="1">
        <v>0.21210000000000001</v>
      </c>
      <c r="P791" t="str">
        <f>IF(O791&lt;=0.15,"Very Cold",IF(O791&lt;=0.3,"Cold",IF(O791&lt;=0.45,"Pleasant","Hot")))</f>
        <v>Cold</v>
      </c>
      <c r="Q791">
        <v>1</v>
      </c>
      <c r="R791" t="str">
        <f>IF(Q791&lt;=0.25,"Low ",IF(Q791&lt;=0.5,"Moderate ",IF(Q791&lt;=0.75,"High ","Very High ")))</f>
        <v xml:space="preserve">Very High </v>
      </c>
      <c r="S791">
        <v>8.9599999999999999E-2</v>
      </c>
      <c r="T791" t="str">
        <f>IF(S791&lt;=0.15,"Calm",IF(S791&lt;=0.3,"Light Wind",IF(S791&lt;=0.45,"Moderate Wind","Strong Wind")))</f>
        <v>Calm</v>
      </c>
      <c r="U791">
        <v>0</v>
      </c>
      <c r="V791">
        <v>10</v>
      </c>
      <c r="W791">
        <v>10</v>
      </c>
      <c r="X791" t="str">
        <f>IF(W791&lt;=75,"Low Demand",IF(W791&lt;=150,"Medium Demand",IF(W791&lt;=225,"High Demand","Very High Demand")))</f>
        <v>Low Demand</v>
      </c>
    </row>
    <row r="792" spans="1:24" x14ac:dyDescent="0.25">
      <c r="A792">
        <v>791</v>
      </c>
      <c r="B792" s="2">
        <v>40579</v>
      </c>
      <c r="C792">
        <v>1</v>
      </c>
      <c r="D792">
        <v>0</v>
      </c>
      <c r="E792">
        <v>2</v>
      </c>
      <c r="F792">
        <v>9</v>
      </c>
      <c r="G792" t="str">
        <f>IF(F792&lt;6,"Night",IF(F792&lt;12,"Morning",IF(F792&lt;18,"Afternoon","Evening")))</f>
        <v>Morning</v>
      </c>
      <c r="H792">
        <v>0</v>
      </c>
      <c r="I792">
        <v>6</v>
      </c>
      <c r="J792" t="str">
        <f>CHOOSE(I792+1,"Monday","Tuesday","Wednesday","Thursday","Friday","Saturday","Sunday")</f>
        <v>Sunday</v>
      </c>
      <c r="K792">
        <v>3</v>
      </c>
      <c r="L792" t="str">
        <f>CHOOSE(K792+1,"error","Clear","Misty","Rainy","Severe heater")</f>
        <v>Rainy</v>
      </c>
      <c r="M792" s="1">
        <v>0.28000000000000003</v>
      </c>
      <c r="N792" t="str">
        <f>IF(M792&lt;=0.2,"Low",IF(M792&lt;=0.4,"Mid","High"))</f>
        <v>Mid</v>
      </c>
      <c r="O792" s="1">
        <v>0.2424</v>
      </c>
      <c r="P792" t="str">
        <f>IF(O792&lt;=0.15,"Very Cold",IF(O792&lt;=0.3,"Cold",IF(O792&lt;=0.45,"Pleasant","Hot")))</f>
        <v>Cold</v>
      </c>
      <c r="Q792">
        <v>1</v>
      </c>
      <c r="R792" t="str">
        <f>IF(Q792&lt;=0.25,"Low ",IF(Q792&lt;=0.5,"Moderate ",IF(Q792&lt;=0.75,"High ","Very High ")))</f>
        <v xml:space="preserve">Very High </v>
      </c>
      <c r="S792">
        <v>8.9599999999999999E-2</v>
      </c>
      <c r="T792" t="str">
        <f>IF(S792&lt;=0.15,"Calm",IF(S792&lt;=0.3,"Light Wind",IF(S792&lt;=0.45,"Moderate Wind","Strong Wind")))</f>
        <v>Calm</v>
      </c>
      <c r="U792">
        <v>3</v>
      </c>
      <c r="V792">
        <v>17</v>
      </c>
      <c r="W792">
        <v>20</v>
      </c>
      <c r="X792" t="str">
        <f>IF(W792&lt;=75,"Low Demand",IF(W792&lt;=150,"Medium Demand",IF(W792&lt;=225,"High Demand","Very High Demand")))</f>
        <v>Low Demand</v>
      </c>
    </row>
    <row r="793" spans="1:24" x14ac:dyDescent="0.25">
      <c r="A793">
        <v>792</v>
      </c>
      <c r="B793" s="2">
        <v>40579</v>
      </c>
      <c r="C793">
        <v>1</v>
      </c>
      <c r="D793">
        <v>0</v>
      </c>
      <c r="E793">
        <v>2</v>
      </c>
      <c r="F793">
        <v>10</v>
      </c>
      <c r="G793" t="str">
        <f>IF(F793&lt;6,"Night",IF(F793&lt;12,"Morning",IF(F793&lt;18,"Afternoon","Evening")))</f>
        <v>Morning</v>
      </c>
      <c r="H793">
        <v>0</v>
      </c>
      <c r="I793">
        <v>6</v>
      </c>
      <c r="J793" t="str">
        <f>CHOOSE(I793+1,"Monday","Tuesday","Wednesday","Thursday","Friday","Saturday","Sunday")</f>
        <v>Sunday</v>
      </c>
      <c r="K793">
        <v>3</v>
      </c>
      <c r="L793" t="str">
        <f>CHOOSE(K793+1,"error","Clear","Misty","Rainy","Severe heater")</f>
        <v>Rainy</v>
      </c>
      <c r="M793" s="1">
        <v>0.28000000000000003</v>
      </c>
      <c r="N793" t="str">
        <f>IF(M793&lt;=0.2,"Low",IF(M793&lt;=0.4,"Mid","High"))</f>
        <v>Mid</v>
      </c>
      <c r="O793" s="1">
        <v>0.2424</v>
      </c>
      <c r="P793" t="str">
        <f>IF(O793&lt;=0.15,"Very Cold",IF(O793&lt;=0.3,"Cold",IF(O793&lt;=0.45,"Pleasant","Hot")))</f>
        <v>Cold</v>
      </c>
      <c r="Q793">
        <v>1</v>
      </c>
      <c r="R793" t="str">
        <f>IF(Q793&lt;=0.25,"Low ",IF(Q793&lt;=0.5,"Moderate ",IF(Q793&lt;=0.75,"High ","Very High ")))</f>
        <v xml:space="preserve">Very High </v>
      </c>
      <c r="S793">
        <v>0.1343</v>
      </c>
      <c r="T793" t="str">
        <f>IF(S793&lt;=0.15,"Calm",IF(S793&lt;=0.3,"Light Wind",IF(S793&lt;=0.45,"Moderate Wind","Strong Wind")))</f>
        <v>Calm</v>
      </c>
      <c r="U793">
        <v>3</v>
      </c>
      <c r="V793">
        <v>31</v>
      </c>
      <c r="W793">
        <v>34</v>
      </c>
      <c r="X793" t="str">
        <f>IF(W793&lt;=75,"Low Demand",IF(W793&lt;=150,"Medium Demand",IF(W793&lt;=225,"High Demand","Very High Demand")))</f>
        <v>Low Demand</v>
      </c>
    </row>
    <row r="794" spans="1:24" x14ac:dyDescent="0.25">
      <c r="A794">
        <v>793</v>
      </c>
      <c r="B794" s="2">
        <v>40579</v>
      </c>
      <c r="C794">
        <v>1</v>
      </c>
      <c r="D794">
        <v>0</v>
      </c>
      <c r="E794">
        <v>2</v>
      </c>
      <c r="F794">
        <v>11</v>
      </c>
      <c r="G794" t="str">
        <f>IF(F794&lt;6,"Night",IF(F794&lt;12,"Morning",IF(F794&lt;18,"Afternoon","Evening")))</f>
        <v>Morning</v>
      </c>
      <c r="H794">
        <v>0</v>
      </c>
      <c r="I794">
        <v>6</v>
      </c>
      <c r="J794" t="str">
        <f>CHOOSE(I794+1,"Monday","Tuesday","Wednesday","Thursday","Friday","Saturday","Sunday")</f>
        <v>Sunday</v>
      </c>
      <c r="K794">
        <v>3</v>
      </c>
      <c r="L794" t="str">
        <f>CHOOSE(K794+1,"error","Clear","Misty","Rainy","Severe heater")</f>
        <v>Rainy</v>
      </c>
      <c r="M794" s="1">
        <v>0.3</v>
      </c>
      <c r="N794" t="str">
        <f>IF(M794&lt;=0.2,"Low",IF(M794&lt;=0.4,"Mid","High"))</f>
        <v>Mid</v>
      </c>
      <c r="O794" s="1">
        <v>0.28789999999999999</v>
      </c>
      <c r="P794" t="str">
        <f>IF(O794&lt;=0.15,"Very Cold",IF(O794&lt;=0.3,"Cold",IF(O794&lt;=0.45,"Pleasant","Hot")))</f>
        <v>Cold</v>
      </c>
      <c r="Q794">
        <v>1</v>
      </c>
      <c r="R794" t="str">
        <f>IF(Q794&lt;=0.25,"Low ",IF(Q794&lt;=0.5,"Moderate ",IF(Q794&lt;=0.75,"High ","Very High ")))</f>
        <v xml:space="preserve">Very High </v>
      </c>
      <c r="S794">
        <v>0.1343</v>
      </c>
      <c r="T794" t="str">
        <f>IF(S794&lt;=0.15,"Calm",IF(S794&lt;=0.3,"Light Wind",IF(S794&lt;=0.45,"Moderate Wind","Strong Wind")))</f>
        <v>Calm</v>
      </c>
      <c r="U794">
        <v>1</v>
      </c>
      <c r="V794">
        <v>46</v>
      </c>
      <c r="W794">
        <v>47</v>
      </c>
      <c r="X794" t="str">
        <f>IF(W794&lt;=75,"Low Demand",IF(W794&lt;=150,"Medium Demand",IF(W794&lt;=225,"High Demand","Very High Demand")))</f>
        <v>Low Demand</v>
      </c>
    </row>
    <row r="795" spans="1:24" x14ac:dyDescent="0.25">
      <c r="A795">
        <v>794</v>
      </c>
      <c r="B795" s="2">
        <v>40579</v>
      </c>
      <c r="C795">
        <v>1</v>
      </c>
      <c r="D795">
        <v>0</v>
      </c>
      <c r="E795">
        <v>2</v>
      </c>
      <c r="F795">
        <v>12</v>
      </c>
      <c r="G795" t="str">
        <f>IF(F795&lt;6,"Night",IF(F795&lt;12,"Morning",IF(F795&lt;18,"Afternoon","Evening")))</f>
        <v>Afternoon</v>
      </c>
      <c r="H795">
        <v>0</v>
      </c>
      <c r="I795">
        <v>6</v>
      </c>
      <c r="J795" t="str">
        <f>CHOOSE(I795+1,"Monday","Tuesday","Wednesday","Thursday","Friday","Saturday","Sunday")</f>
        <v>Sunday</v>
      </c>
      <c r="K795">
        <v>3</v>
      </c>
      <c r="L795" t="str">
        <f>CHOOSE(K795+1,"error","Clear","Misty","Rainy","Severe heater")</f>
        <v>Rainy</v>
      </c>
      <c r="M795" s="1">
        <v>0.26</v>
      </c>
      <c r="N795" t="str">
        <f>IF(M795&lt;=0.2,"Low",IF(M795&lt;=0.4,"Mid","High"))</f>
        <v>Mid</v>
      </c>
      <c r="O795" s="1">
        <v>0.2576</v>
      </c>
      <c r="P795" t="str">
        <f>IF(O795&lt;=0.15,"Very Cold",IF(O795&lt;=0.3,"Cold",IF(O795&lt;=0.45,"Pleasant","Hot")))</f>
        <v>Cold</v>
      </c>
      <c r="Q795">
        <v>1</v>
      </c>
      <c r="R795" t="str">
        <f>IF(Q795&lt;=0.25,"Low ",IF(Q795&lt;=0.5,"Moderate ",IF(Q795&lt;=0.75,"High ","Very High ")))</f>
        <v xml:space="preserve">Very High </v>
      </c>
      <c r="S795">
        <v>0.16420000000000001</v>
      </c>
      <c r="T795" t="str">
        <f>IF(S795&lt;=0.15,"Calm",IF(S795&lt;=0.3,"Light Wind",IF(S795&lt;=0.45,"Moderate Wind","Strong Wind")))</f>
        <v>Light Wind</v>
      </c>
      <c r="U795">
        <v>10</v>
      </c>
      <c r="V795">
        <v>42</v>
      </c>
      <c r="W795">
        <v>52</v>
      </c>
      <c r="X795" t="str">
        <f>IF(W795&lt;=75,"Low Demand",IF(W795&lt;=150,"Medium Demand",IF(W795&lt;=225,"High Demand","Very High Demand")))</f>
        <v>Low Demand</v>
      </c>
    </row>
    <row r="796" spans="1:24" x14ac:dyDescent="0.25">
      <c r="A796">
        <v>795</v>
      </c>
      <c r="B796" s="2">
        <v>40579</v>
      </c>
      <c r="C796">
        <v>1</v>
      </c>
      <c r="D796">
        <v>0</v>
      </c>
      <c r="E796">
        <v>2</v>
      </c>
      <c r="F796">
        <v>13</v>
      </c>
      <c r="G796" t="str">
        <f>IF(F796&lt;6,"Night",IF(F796&lt;12,"Morning",IF(F796&lt;18,"Afternoon","Evening")))</f>
        <v>Afternoon</v>
      </c>
      <c r="H796">
        <v>0</v>
      </c>
      <c r="I796">
        <v>6</v>
      </c>
      <c r="J796" t="str">
        <f>CHOOSE(I796+1,"Monday","Tuesday","Wednesday","Thursday","Friday","Saturday","Sunday")</f>
        <v>Sunday</v>
      </c>
      <c r="K796">
        <v>3</v>
      </c>
      <c r="L796" t="str">
        <f>CHOOSE(K796+1,"error","Clear","Misty","Rainy","Severe heater")</f>
        <v>Rainy</v>
      </c>
      <c r="M796" s="1">
        <v>0.26</v>
      </c>
      <c r="N796" t="str">
        <f>IF(M796&lt;=0.2,"Low",IF(M796&lt;=0.4,"Mid","High"))</f>
        <v>Mid</v>
      </c>
      <c r="O796" s="1">
        <v>0.2727</v>
      </c>
      <c r="P796" t="str">
        <f>IF(O796&lt;=0.15,"Very Cold",IF(O796&lt;=0.3,"Cold",IF(O796&lt;=0.45,"Pleasant","Hot")))</f>
        <v>Cold</v>
      </c>
      <c r="Q796">
        <v>1</v>
      </c>
      <c r="R796" t="str">
        <f>IF(Q796&lt;=0.25,"Low ",IF(Q796&lt;=0.5,"Moderate ",IF(Q796&lt;=0.75,"High ","Very High ")))</f>
        <v xml:space="preserve">Very High </v>
      </c>
      <c r="S796">
        <v>0.16420000000000001</v>
      </c>
      <c r="T796" t="str">
        <f>IF(S796&lt;=0.15,"Calm",IF(S796&lt;=0.3,"Light Wind",IF(S796&lt;=0.45,"Moderate Wind","Strong Wind")))</f>
        <v>Light Wind</v>
      </c>
      <c r="U796">
        <v>10</v>
      </c>
      <c r="V796">
        <v>62</v>
      </c>
      <c r="W796">
        <v>72</v>
      </c>
      <c r="X796" t="str">
        <f>IF(W796&lt;=75,"Low Demand",IF(W796&lt;=150,"Medium Demand",IF(W796&lt;=225,"High Demand","Very High Demand")))</f>
        <v>Low Demand</v>
      </c>
    </row>
    <row r="797" spans="1:24" x14ac:dyDescent="0.25">
      <c r="A797">
        <v>796</v>
      </c>
      <c r="B797" s="2">
        <v>40579</v>
      </c>
      <c r="C797">
        <v>1</v>
      </c>
      <c r="D797">
        <v>0</v>
      </c>
      <c r="E797">
        <v>2</v>
      </c>
      <c r="F797">
        <v>14</v>
      </c>
      <c r="G797" t="str">
        <f>IF(F797&lt;6,"Night",IF(F797&lt;12,"Morning",IF(F797&lt;18,"Afternoon","Evening")))</f>
        <v>Afternoon</v>
      </c>
      <c r="H797">
        <v>0</v>
      </c>
      <c r="I797">
        <v>6</v>
      </c>
      <c r="J797" t="str">
        <f>CHOOSE(I797+1,"Monday","Tuesday","Wednesday","Thursday","Friday","Saturday","Sunday")</f>
        <v>Sunday</v>
      </c>
      <c r="K797">
        <v>3</v>
      </c>
      <c r="L797" t="str">
        <f>CHOOSE(K797+1,"error","Clear","Misty","Rainy","Severe heater")</f>
        <v>Rainy</v>
      </c>
      <c r="M797" s="1">
        <v>0.26</v>
      </c>
      <c r="N797" t="str">
        <f>IF(M797&lt;=0.2,"Low",IF(M797&lt;=0.4,"Mid","High"))</f>
        <v>Mid</v>
      </c>
      <c r="O797" s="1">
        <v>0.2576</v>
      </c>
      <c r="P797" t="str">
        <f>IF(O797&lt;=0.15,"Very Cold",IF(O797&lt;=0.3,"Cold",IF(O797&lt;=0.45,"Pleasant","Hot")))</f>
        <v>Cold</v>
      </c>
      <c r="Q797">
        <v>1</v>
      </c>
      <c r="R797" t="str">
        <f>IF(Q797&lt;=0.25,"Low ",IF(Q797&lt;=0.5,"Moderate ",IF(Q797&lt;=0.75,"High ","Very High ")))</f>
        <v xml:space="preserve">Very High </v>
      </c>
      <c r="S797">
        <v>0</v>
      </c>
      <c r="T797" t="str">
        <f>IF(S797&lt;=0.15,"Calm",IF(S797&lt;=0.3,"Light Wind",IF(S797&lt;=0.45,"Moderate Wind","Strong Wind")))</f>
        <v>Calm</v>
      </c>
      <c r="U797">
        <v>5</v>
      </c>
      <c r="V797">
        <v>50</v>
      </c>
      <c r="W797">
        <v>55</v>
      </c>
      <c r="X797" t="str">
        <f>IF(W797&lt;=75,"Low Demand",IF(W797&lt;=150,"Medium Demand",IF(W797&lt;=225,"High Demand","Very High Demand")))</f>
        <v>Low Demand</v>
      </c>
    </row>
    <row r="798" spans="1:24" x14ac:dyDescent="0.25">
      <c r="A798">
        <v>797</v>
      </c>
      <c r="B798" s="2">
        <v>40579</v>
      </c>
      <c r="C798">
        <v>1</v>
      </c>
      <c r="D798">
        <v>0</v>
      </c>
      <c r="E798">
        <v>2</v>
      </c>
      <c r="F798">
        <v>15</v>
      </c>
      <c r="G798" t="str">
        <f>IF(F798&lt;6,"Night",IF(F798&lt;12,"Morning",IF(F798&lt;18,"Afternoon","Evening")))</f>
        <v>Afternoon</v>
      </c>
      <c r="H798">
        <v>0</v>
      </c>
      <c r="I798">
        <v>6</v>
      </c>
      <c r="J798" t="str">
        <f>CHOOSE(I798+1,"Monday","Tuesday","Wednesday","Thursday","Friday","Saturday","Sunday")</f>
        <v>Sunday</v>
      </c>
      <c r="K798">
        <v>3</v>
      </c>
      <c r="L798" t="str">
        <f>CHOOSE(K798+1,"error","Clear","Misty","Rainy","Severe heater")</f>
        <v>Rainy</v>
      </c>
      <c r="M798" s="1">
        <v>0.26</v>
      </c>
      <c r="N798" t="str">
        <f>IF(M798&lt;=0.2,"Low",IF(M798&lt;=0.4,"Mid","High"))</f>
        <v>Mid</v>
      </c>
      <c r="O798" s="1">
        <v>0.2576</v>
      </c>
      <c r="P798" t="str">
        <f>IF(O798&lt;=0.15,"Very Cold",IF(O798&lt;=0.3,"Cold",IF(O798&lt;=0.45,"Pleasant","Hot")))</f>
        <v>Cold</v>
      </c>
      <c r="Q798">
        <v>1</v>
      </c>
      <c r="R798" t="str">
        <f>IF(Q798&lt;=0.25,"Low ",IF(Q798&lt;=0.5,"Moderate ",IF(Q798&lt;=0.75,"High ","Very High ")))</f>
        <v xml:space="preserve">Very High </v>
      </c>
      <c r="S798">
        <v>0</v>
      </c>
      <c r="T798" t="str">
        <f>IF(S798&lt;=0.15,"Calm",IF(S798&lt;=0.3,"Light Wind",IF(S798&lt;=0.45,"Moderate Wind","Strong Wind")))</f>
        <v>Calm</v>
      </c>
      <c r="U798">
        <v>11</v>
      </c>
      <c r="V798">
        <v>49</v>
      </c>
      <c r="W798">
        <v>60</v>
      </c>
      <c r="X798" t="str">
        <f>IF(W798&lt;=75,"Low Demand",IF(W798&lt;=150,"Medium Demand",IF(W798&lt;=225,"High Demand","Very High Demand")))</f>
        <v>Low Demand</v>
      </c>
    </row>
    <row r="799" spans="1:24" x14ac:dyDescent="0.25">
      <c r="A799">
        <v>798</v>
      </c>
      <c r="B799" s="2">
        <v>40579</v>
      </c>
      <c r="C799">
        <v>1</v>
      </c>
      <c r="D799">
        <v>0</v>
      </c>
      <c r="E799">
        <v>2</v>
      </c>
      <c r="F799">
        <v>16</v>
      </c>
      <c r="G799" t="str">
        <f>IF(F799&lt;6,"Night",IF(F799&lt;12,"Morning",IF(F799&lt;18,"Afternoon","Evening")))</f>
        <v>Afternoon</v>
      </c>
      <c r="H799">
        <v>0</v>
      </c>
      <c r="I799">
        <v>6</v>
      </c>
      <c r="J799" t="str">
        <f>CHOOSE(I799+1,"Monday","Tuesday","Wednesday","Thursday","Friday","Saturday","Sunday")</f>
        <v>Sunday</v>
      </c>
      <c r="K799">
        <v>3</v>
      </c>
      <c r="L799" t="str">
        <f>CHOOSE(K799+1,"error","Clear","Misty","Rainy","Severe heater")</f>
        <v>Rainy</v>
      </c>
      <c r="M799" s="1">
        <v>0.26</v>
      </c>
      <c r="N799" t="str">
        <f>IF(M799&lt;=0.2,"Low",IF(M799&lt;=0.4,"Mid","High"))</f>
        <v>Mid</v>
      </c>
      <c r="O799" s="1">
        <v>0.2273</v>
      </c>
      <c r="P799" t="str">
        <f>IF(O799&lt;=0.15,"Very Cold",IF(O799&lt;=0.3,"Cold",IF(O799&lt;=0.45,"Pleasant","Hot")))</f>
        <v>Cold</v>
      </c>
      <c r="Q799">
        <v>1</v>
      </c>
      <c r="R799" t="str">
        <f>IF(Q799&lt;=0.25,"Low ",IF(Q799&lt;=0.5,"Moderate ",IF(Q799&lt;=0.75,"High ","Very High ")))</f>
        <v xml:space="preserve">Very High </v>
      </c>
      <c r="S799">
        <v>0.1343</v>
      </c>
      <c r="T799" t="str">
        <f>IF(S799&lt;=0.15,"Calm",IF(S799&lt;=0.3,"Light Wind",IF(S799&lt;=0.45,"Moderate Wind","Strong Wind")))</f>
        <v>Calm</v>
      </c>
      <c r="U799">
        <v>8</v>
      </c>
      <c r="V799">
        <v>63</v>
      </c>
      <c r="W799">
        <v>71</v>
      </c>
      <c r="X799" t="str">
        <f>IF(W799&lt;=75,"Low Demand",IF(W799&lt;=150,"Medium Demand",IF(W799&lt;=225,"High Demand","Very High Demand")))</f>
        <v>Low Demand</v>
      </c>
    </row>
    <row r="800" spans="1:24" x14ac:dyDescent="0.25">
      <c r="A800">
        <v>799</v>
      </c>
      <c r="B800" s="2">
        <v>40579</v>
      </c>
      <c r="C800">
        <v>1</v>
      </c>
      <c r="D800">
        <v>0</v>
      </c>
      <c r="E800">
        <v>2</v>
      </c>
      <c r="F800">
        <v>17</v>
      </c>
      <c r="G800" t="str">
        <f>IF(F800&lt;6,"Night",IF(F800&lt;12,"Morning",IF(F800&lt;18,"Afternoon","Evening")))</f>
        <v>Afternoon</v>
      </c>
      <c r="H800">
        <v>0</v>
      </c>
      <c r="I800">
        <v>6</v>
      </c>
      <c r="J800" t="str">
        <f>CHOOSE(I800+1,"Monday","Tuesday","Wednesday","Thursday","Friday","Saturday","Sunday")</f>
        <v>Sunday</v>
      </c>
      <c r="K800">
        <v>2</v>
      </c>
      <c r="L800" t="str">
        <f>CHOOSE(K800+1,"error","Clear","Misty","Rainy","Severe heater")</f>
        <v>Misty</v>
      </c>
      <c r="M800" s="1">
        <v>0.26</v>
      </c>
      <c r="N800" t="str">
        <f>IF(M800&lt;=0.2,"Low",IF(M800&lt;=0.4,"Mid","High"))</f>
        <v>Mid</v>
      </c>
      <c r="O800" s="1">
        <v>0.2273</v>
      </c>
      <c r="P800" t="str">
        <f>IF(O800&lt;=0.15,"Very Cold",IF(O800&lt;=0.3,"Cold",IF(O800&lt;=0.45,"Pleasant","Hot")))</f>
        <v>Cold</v>
      </c>
      <c r="Q800">
        <v>1</v>
      </c>
      <c r="R800" t="str">
        <f>IF(Q800&lt;=0.25,"Low ",IF(Q800&lt;=0.5,"Moderate ",IF(Q800&lt;=0.75,"High ","Very High ")))</f>
        <v xml:space="preserve">Very High </v>
      </c>
      <c r="S800">
        <v>0.28360000000000002</v>
      </c>
      <c r="T800" t="str">
        <f>IF(S800&lt;=0.15,"Calm",IF(S800&lt;=0.3,"Light Wind",IF(S800&lt;=0.45,"Moderate Wind","Strong Wind")))</f>
        <v>Light Wind</v>
      </c>
      <c r="U800">
        <v>14</v>
      </c>
      <c r="V800">
        <v>64</v>
      </c>
      <c r="W800">
        <v>78</v>
      </c>
      <c r="X800" t="str">
        <f>IF(W800&lt;=75,"Low Demand",IF(W800&lt;=150,"Medium Demand",IF(W800&lt;=225,"High Demand","Very High Demand")))</f>
        <v>Medium Demand</v>
      </c>
    </row>
    <row r="801" spans="1:24" x14ac:dyDescent="0.25">
      <c r="A801">
        <v>800</v>
      </c>
      <c r="B801" s="2">
        <v>40579</v>
      </c>
      <c r="C801">
        <v>1</v>
      </c>
      <c r="D801">
        <v>0</v>
      </c>
      <c r="E801">
        <v>2</v>
      </c>
      <c r="F801">
        <v>18</v>
      </c>
      <c r="G801" t="str">
        <f>IF(F801&lt;6,"Night",IF(F801&lt;12,"Morning",IF(F801&lt;18,"Afternoon","Evening")))</f>
        <v>Evening</v>
      </c>
      <c r="H801">
        <v>0</v>
      </c>
      <c r="I801">
        <v>6</v>
      </c>
      <c r="J801" t="str">
        <f>CHOOSE(I801+1,"Monday","Tuesday","Wednesday","Thursday","Friday","Saturday","Sunday")</f>
        <v>Sunday</v>
      </c>
      <c r="K801">
        <v>2</v>
      </c>
      <c r="L801" t="str">
        <f>CHOOSE(K801+1,"error","Clear","Misty","Rainy","Severe heater")</f>
        <v>Misty</v>
      </c>
      <c r="M801" s="1">
        <v>0.26</v>
      </c>
      <c r="N801" t="str">
        <f>IF(M801&lt;=0.2,"Low",IF(M801&lt;=0.4,"Mid","High"))</f>
        <v>Mid</v>
      </c>
      <c r="O801" s="1">
        <v>0.28789999999999999</v>
      </c>
      <c r="P801" t="str">
        <f>IF(O801&lt;=0.15,"Very Cold",IF(O801&lt;=0.3,"Cold",IF(O801&lt;=0.45,"Pleasant","Hot")))</f>
        <v>Cold</v>
      </c>
      <c r="Q801">
        <v>0.93</v>
      </c>
      <c r="R801" t="str">
        <f>IF(Q801&lt;=0.25,"Low ",IF(Q801&lt;=0.5,"Moderate ",IF(Q801&lt;=0.75,"High ","Very High ")))</f>
        <v xml:space="preserve">Very High </v>
      </c>
      <c r="S801">
        <v>0.44779999999999998</v>
      </c>
      <c r="T801" t="str">
        <f>IF(S801&lt;=0.15,"Calm",IF(S801&lt;=0.3,"Light Wind",IF(S801&lt;=0.45,"Moderate Wind","Strong Wind")))</f>
        <v>Moderate Wind</v>
      </c>
      <c r="U801">
        <v>2</v>
      </c>
      <c r="V801">
        <v>81</v>
      </c>
      <c r="W801">
        <v>83</v>
      </c>
      <c r="X801" t="str">
        <f>IF(W801&lt;=75,"Low Demand",IF(W801&lt;=150,"Medium Demand",IF(W801&lt;=225,"High Demand","Very High Demand")))</f>
        <v>Medium Demand</v>
      </c>
    </row>
    <row r="802" spans="1:24" x14ac:dyDescent="0.25">
      <c r="A802">
        <v>801</v>
      </c>
      <c r="B802" s="2">
        <v>40579</v>
      </c>
      <c r="C802">
        <v>1</v>
      </c>
      <c r="D802">
        <v>0</v>
      </c>
      <c r="E802">
        <v>2</v>
      </c>
      <c r="F802">
        <v>19</v>
      </c>
      <c r="G802" t="str">
        <f>IF(F802&lt;6,"Night",IF(F802&lt;12,"Morning",IF(F802&lt;18,"Afternoon","Evening")))</f>
        <v>Evening</v>
      </c>
      <c r="H802">
        <v>0</v>
      </c>
      <c r="I802">
        <v>6</v>
      </c>
      <c r="J802" t="str">
        <f>CHOOSE(I802+1,"Monday","Tuesday","Wednesday","Thursday","Friday","Saturday","Sunday")</f>
        <v>Sunday</v>
      </c>
      <c r="K802">
        <v>2</v>
      </c>
      <c r="L802" t="str">
        <f>CHOOSE(K802+1,"error","Clear","Misty","Rainy","Severe heater")</f>
        <v>Misty</v>
      </c>
      <c r="M802" s="1">
        <v>0.26</v>
      </c>
      <c r="N802" t="str">
        <f>IF(M802&lt;=0.2,"Low",IF(M802&lt;=0.4,"Mid","High"))</f>
        <v>Mid</v>
      </c>
      <c r="O802" s="1">
        <v>0.2273</v>
      </c>
      <c r="P802" t="str">
        <f>IF(O802&lt;=0.15,"Very Cold",IF(O802&lt;=0.3,"Cold",IF(O802&lt;=0.45,"Pleasant","Hot")))</f>
        <v>Cold</v>
      </c>
      <c r="Q802">
        <v>0.93</v>
      </c>
      <c r="R802" t="str">
        <f>IF(Q802&lt;=0.25,"Low ",IF(Q802&lt;=0.5,"Moderate ",IF(Q802&lt;=0.75,"High ","Very High ")))</f>
        <v xml:space="preserve">Very High </v>
      </c>
      <c r="S802">
        <v>0.44779999999999998</v>
      </c>
      <c r="T802" t="str">
        <f>IF(S802&lt;=0.15,"Calm",IF(S802&lt;=0.3,"Light Wind",IF(S802&lt;=0.45,"Moderate Wind","Strong Wind")))</f>
        <v>Moderate Wind</v>
      </c>
      <c r="U802">
        <v>6</v>
      </c>
      <c r="V802">
        <v>78</v>
      </c>
      <c r="W802">
        <v>84</v>
      </c>
      <c r="X802" t="str">
        <f>IF(W802&lt;=75,"Low Demand",IF(W802&lt;=150,"Medium Demand",IF(W802&lt;=225,"High Demand","Very High Demand")))</f>
        <v>Medium Demand</v>
      </c>
    </row>
    <row r="803" spans="1:24" x14ac:dyDescent="0.25">
      <c r="A803">
        <v>802</v>
      </c>
      <c r="B803" s="2">
        <v>40579</v>
      </c>
      <c r="C803">
        <v>1</v>
      </c>
      <c r="D803">
        <v>0</v>
      </c>
      <c r="E803">
        <v>2</v>
      </c>
      <c r="F803">
        <v>20</v>
      </c>
      <c r="G803" t="str">
        <f>IF(F803&lt;6,"Night",IF(F803&lt;12,"Morning",IF(F803&lt;18,"Afternoon","Evening")))</f>
        <v>Evening</v>
      </c>
      <c r="H803">
        <v>0</v>
      </c>
      <c r="I803">
        <v>6</v>
      </c>
      <c r="J803" t="str">
        <f>CHOOSE(I803+1,"Monday","Tuesday","Wednesday","Thursday","Friday","Saturday","Sunday")</f>
        <v>Sunday</v>
      </c>
      <c r="K803">
        <v>1</v>
      </c>
      <c r="L803" t="str">
        <f>CHOOSE(K803+1,"error","Clear","Misty","Rainy","Severe heater")</f>
        <v>Clear</v>
      </c>
      <c r="M803" s="1">
        <v>0.26</v>
      </c>
      <c r="N803" t="str">
        <f>IF(M803&lt;=0.2,"Low",IF(M803&lt;=0.4,"Mid","High"))</f>
        <v>Mid</v>
      </c>
      <c r="O803" s="1">
        <v>0.2576</v>
      </c>
      <c r="P803" t="str">
        <f>IF(O803&lt;=0.15,"Very Cold",IF(O803&lt;=0.3,"Cold",IF(O803&lt;=0.45,"Pleasant","Hot")))</f>
        <v>Cold</v>
      </c>
      <c r="Q803">
        <v>0.87</v>
      </c>
      <c r="R803" t="str">
        <f>IF(Q803&lt;=0.25,"Low ",IF(Q803&lt;=0.5,"Moderate ",IF(Q803&lt;=0.75,"High ","Very High ")))</f>
        <v xml:space="preserve">Very High </v>
      </c>
      <c r="S803">
        <v>0.25369999999999998</v>
      </c>
      <c r="T803" t="str">
        <f>IF(S803&lt;=0.15,"Calm",IF(S803&lt;=0.3,"Light Wind",IF(S803&lt;=0.45,"Moderate Wind","Strong Wind")))</f>
        <v>Light Wind</v>
      </c>
      <c r="U803">
        <v>5</v>
      </c>
      <c r="V803">
        <v>64</v>
      </c>
      <c r="W803">
        <v>69</v>
      </c>
      <c r="X803" t="str">
        <f>IF(W803&lt;=75,"Low Demand",IF(W803&lt;=150,"Medium Demand",IF(W803&lt;=225,"High Demand","Very High Demand")))</f>
        <v>Low Demand</v>
      </c>
    </row>
    <row r="804" spans="1:24" x14ac:dyDescent="0.25">
      <c r="A804">
        <v>803</v>
      </c>
      <c r="B804" s="2">
        <v>40579</v>
      </c>
      <c r="C804">
        <v>1</v>
      </c>
      <c r="D804">
        <v>0</v>
      </c>
      <c r="E804">
        <v>2</v>
      </c>
      <c r="F804">
        <v>21</v>
      </c>
      <c r="G804" t="str">
        <f>IF(F804&lt;6,"Night",IF(F804&lt;12,"Morning",IF(F804&lt;18,"Afternoon","Evening")))</f>
        <v>Evening</v>
      </c>
      <c r="H804">
        <v>0</v>
      </c>
      <c r="I804">
        <v>6</v>
      </c>
      <c r="J804" t="str">
        <f>CHOOSE(I804+1,"Monday","Tuesday","Wednesday","Thursday","Friday","Saturday","Sunday")</f>
        <v>Sunday</v>
      </c>
      <c r="K804">
        <v>1</v>
      </c>
      <c r="L804" t="str">
        <f>CHOOSE(K804+1,"error","Clear","Misty","Rainy","Severe heater")</f>
        <v>Clear</v>
      </c>
      <c r="M804" s="1">
        <v>0.26</v>
      </c>
      <c r="N804" t="str">
        <f>IF(M804&lt;=0.2,"Low",IF(M804&lt;=0.4,"Mid","High"))</f>
        <v>Mid</v>
      </c>
      <c r="O804" s="1">
        <v>0.2576</v>
      </c>
      <c r="P804" t="str">
        <f>IF(O804&lt;=0.15,"Very Cold",IF(O804&lt;=0.3,"Cold",IF(O804&lt;=0.45,"Pleasant","Hot")))</f>
        <v>Cold</v>
      </c>
      <c r="Q804">
        <v>1</v>
      </c>
      <c r="R804" t="str">
        <f>IF(Q804&lt;=0.25,"Low ",IF(Q804&lt;=0.5,"Moderate ",IF(Q804&lt;=0.75,"High ","Very High ")))</f>
        <v xml:space="preserve">Very High </v>
      </c>
      <c r="S804">
        <v>0.19400000000000001</v>
      </c>
      <c r="T804" t="str">
        <f>IF(S804&lt;=0.15,"Calm",IF(S804&lt;=0.3,"Light Wind",IF(S804&lt;=0.45,"Moderate Wind","Strong Wind")))</f>
        <v>Light Wind</v>
      </c>
      <c r="U804">
        <v>3</v>
      </c>
      <c r="V804">
        <v>53</v>
      </c>
      <c r="W804">
        <v>56</v>
      </c>
      <c r="X804" t="str">
        <f>IF(W804&lt;=75,"Low Demand",IF(W804&lt;=150,"Medium Demand",IF(W804&lt;=225,"High Demand","Very High Demand")))</f>
        <v>Low Demand</v>
      </c>
    </row>
    <row r="805" spans="1:24" x14ac:dyDescent="0.25">
      <c r="A805">
        <v>804</v>
      </c>
      <c r="B805" s="2">
        <v>40579</v>
      </c>
      <c r="C805">
        <v>1</v>
      </c>
      <c r="D805">
        <v>0</v>
      </c>
      <c r="E805">
        <v>2</v>
      </c>
      <c r="F805">
        <v>22</v>
      </c>
      <c r="G805" t="str">
        <f>IF(F805&lt;6,"Night",IF(F805&lt;12,"Morning",IF(F805&lt;18,"Afternoon","Evening")))</f>
        <v>Evening</v>
      </c>
      <c r="H805">
        <v>0</v>
      </c>
      <c r="I805">
        <v>6</v>
      </c>
      <c r="J805" t="str">
        <f>CHOOSE(I805+1,"Monday","Tuesday","Wednesday","Thursday","Friday","Saturday","Sunday")</f>
        <v>Sunday</v>
      </c>
      <c r="K805">
        <v>1</v>
      </c>
      <c r="L805" t="str">
        <f>CHOOSE(K805+1,"error","Clear","Misty","Rainy","Severe heater")</f>
        <v>Clear</v>
      </c>
      <c r="M805" s="1">
        <v>0.24</v>
      </c>
      <c r="N805" t="str">
        <f>IF(M805&lt;=0.2,"Low",IF(M805&lt;=0.4,"Mid","High"))</f>
        <v>Mid</v>
      </c>
      <c r="O805" s="1">
        <v>0.2424</v>
      </c>
      <c r="P805" t="str">
        <f>IF(O805&lt;=0.15,"Very Cold",IF(O805&lt;=0.3,"Cold",IF(O805&lt;=0.45,"Pleasant","Hot")))</f>
        <v>Cold</v>
      </c>
      <c r="Q805">
        <v>0.93</v>
      </c>
      <c r="R805" t="str">
        <f>IF(Q805&lt;=0.25,"Low ",IF(Q805&lt;=0.5,"Moderate ",IF(Q805&lt;=0.75,"High ","Very High ")))</f>
        <v xml:space="preserve">Very High </v>
      </c>
      <c r="S805">
        <v>0.1343</v>
      </c>
      <c r="T805" t="str">
        <f>IF(S805&lt;=0.15,"Calm",IF(S805&lt;=0.3,"Light Wind",IF(S805&lt;=0.45,"Moderate Wind","Strong Wind")))</f>
        <v>Calm</v>
      </c>
      <c r="U805">
        <v>2</v>
      </c>
      <c r="V805">
        <v>43</v>
      </c>
      <c r="W805">
        <v>45</v>
      </c>
      <c r="X805" t="str">
        <f>IF(W805&lt;=75,"Low Demand",IF(W805&lt;=150,"Medium Demand",IF(W805&lt;=225,"High Demand","Very High Demand")))</f>
        <v>Low Demand</v>
      </c>
    </row>
    <row r="806" spans="1:24" x14ac:dyDescent="0.25">
      <c r="A806">
        <v>805</v>
      </c>
      <c r="B806" s="2">
        <v>40579</v>
      </c>
      <c r="C806">
        <v>1</v>
      </c>
      <c r="D806">
        <v>0</v>
      </c>
      <c r="E806">
        <v>2</v>
      </c>
      <c r="F806">
        <v>23</v>
      </c>
      <c r="G806" t="str">
        <f>IF(F806&lt;6,"Night",IF(F806&lt;12,"Morning",IF(F806&lt;18,"Afternoon","Evening")))</f>
        <v>Evening</v>
      </c>
      <c r="H806">
        <v>0</v>
      </c>
      <c r="I806">
        <v>6</v>
      </c>
      <c r="J806" t="str">
        <f>CHOOSE(I806+1,"Monday","Tuesday","Wednesday","Thursday","Friday","Saturday","Sunday")</f>
        <v>Sunday</v>
      </c>
      <c r="K806">
        <v>1</v>
      </c>
      <c r="L806" t="str">
        <f>CHOOSE(K806+1,"error","Clear","Misty","Rainy","Severe heater")</f>
        <v>Clear</v>
      </c>
      <c r="M806" s="1">
        <v>0.24</v>
      </c>
      <c r="N806" t="str">
        <f>IF(M806&lt;=0.2,"Low",IF(M806&lt;=0.4,"Mid","High"))</f>
        <v>Mid</v>
      </c>
      <c r="O806" s="1">
        <v>0.2576</v>
      </c>
      <c r="P806" t="str">
        <f>IF(O806&lt;=0.15,"Very Cold",IF(O806&lt;=0.3,"Cold",IF(O806&lt;=0.45,"Pleasant","Hot")))</f>
        <v>Cold</v>
      </c>
      <c r="Q806">
        <v>0.93</v>
      </c>
      <c r="R806" t="str">
        <f>IF(Q806&lt;=0.25,"Low ",IF(Q806&lt;=0.5,"Moderate ",IF(Q806&lt;=0.75,"High ","Very High ")))</f>
        <v xml:space="preserve">Very High </v>
      </c>
      <c r="S806">
        <v>0.22389999999999999</v>
      </c>
      <c r="T806" t="str">
        <f>IF(S806&lt;=0.15,"Calm",IF(S806&lt;=0.3,"Light Wind",IF(S806&lt;=0.45,"Moderate Wind","Strong Wind")))</f>
        <v>Light Wind</v>
      </c>
      <c r="U806">
        <v>7</v>
      </c>
      <c r="V806">
        <v>52</v>
      </c>
      <c r="W806">
        <v>59</v>
      </c>
      <c r="X806" t="str">
        <f>IF(W806&lt;=75,"Low Demand",IF(W806&lt;=150,"Medium Demand",IF(W806&lt;=225,"High Demand","Very High Demand")))</f>
        <v>Low Demand</v>
      </c>
    </row>
    <row r="807" spans="1:24" x14ac:dyDescent="0.25">
      <c r="A807">
        <v>806</v>
      </c>
      <c r="B807" s="2">
        <v>40580</v>
      </c>
      <c r="C807">
        <v>1</v>
      </c>
      <c r="D807">
        <v>0</v>
      </c>
      <c r="E807">
        <v>2</v>
      </c>
      <c r="F807">
        <v>0</v>
      </c>
      <c r="G807" t="str">
        <f>IF(F807&lt;6,"Night",IF(F807&lt;12,"Morning",IF(F807&lt;18,"Afternoon","Evening")))</f>
        <v>Night</v>
      </c>
      <c r="H807">
        <v>0</v>
      </c>
      <c r="I807">
        <v>0</v>
      </c>
      <c r="J807" t="str">
        <f>CHOOSE(I807+1,"Monday","Tuesday","Wednesday","Thursday","Friday","Saturday","Sunday")</f>
        <v>Monday</v>
      </c>
      <c r="K807">
        <v>1</v>
      </c>
      <c r="L807" t="str">
        <f>CHOOSE(K807+1,"error","Clear","Misty","Rainy","Severe heater")</f>
        <v>Clear</v>
      </c>
      <c r="M807" s="1">
        <v>0.28000000000000003</v>
      </c>
      <c r="N807" t="str">
        <f>IF(M807&lt;=0.2,"Low",IF(M807&lt;=0.4,"Mid","High"))</f>
        <v>Mid</v>
      </c>
      <c r="O807" s="1">
        <v>0.28789999999999999</v>
      </c>
      <c r="P807" t="str">
        <f>IF(O807&lt;=0.15,"Very Cold",IF(O807&lt;=0.3,"Cold",IF(O807&lt;=0.45,"Pleasant","Hot")))</f>
        <v>Cold</v>
      </c>
      <c r="Q807">
        <v>0.7</v>
      </c>
      <c r="R807" t="str">
        <f>IF(Q807&lt;=0.25,"Low ",IF(Q807&lt;=0.5,"Moderate ",IF(Q807&lt;=0.75,"High ","Very High ")))</f>
        <v xml:space="preserve">High </v>
      </c>
      <c r="S807">
        <v>0.19400000000000001</v>
      </c>
      <c r="T807" t="str">
        <f>IF(S807&lt;=0.15,"Calm",IF(S807&lt;=0.3,"Light Wind",IF(S807&lt;=0.45,"Moderate Wind","Strong Wind")))</f>
        <v>Light Wind</v>
      </c>
      <c r="U807">
        <v>2</v>
      </c>
      <c r="V807">
        <v>37</v>
      </c>
      <c r="W807">
        <v>39</v>
      </c>
      <c r="X807" t="str">
        <f>IF(W807&lt;=75,"Low Demand",IF(W807&lt;=150,"Medium Demand",IF(W807&lt;=225,"High Demand","Very High Demand")))</f>
        <v>Low Demand</v>
      </c>
    </row>
    <row r="808" spans="1:24" x14ac:dyDescent="0.25">
      <c r="A808">
        <v>807</v>
      </c>
      <c r="B808" s="2">
        <v>40580</v>
      </c>
      <c r="C808">
        <v>1</v>
      </c>
      <c r="D808">
        <v>0</v>
      </c>
      <c r="E808">
        <v>2</v>
      </c>
      <c r="F808">
        <v>1</v>
      </c>
      <c r="G808" t="str">
        <f>IF(F808&lt;6,"Night",IF(F808&lt;12,"Morning",IF(F808&lt;18,"Afternoon","Evening")))</f>
        <v>Night</v>
      </c>
      <c r="H808">
        <v>0</v>
      </c>
      <c r="I808">
        <v>0</v>
      </c>
      <c r="J808" t="str">
        <f>CHOOSE(I808+1,"Monday","Tuesday","Wednesday","Thursday","Friday","Saturday","Sunday")</f>
        <v>Monday</v>
      </c>
      <c r="K808">
        <v>1</v>
      </c>
      <c r="L808" t="str">
        <f>CHOOSE(K808+1,"error","Clear","Misty","Rainy","Severe heater")</f>
        <v>Clear</v>
      </c>
      <c r="M808" s="1">
        <v>0.3</v>
      </c>
      <c r="N808" t="str">
        <f>IF(M808&lt;=0.2,"Low",IF(M808&lt;=0.4,"Mid","High"))</f>
        <v>Mid</v>
      </c>
      <c r="O808" s="1">
        <v>0.28789999999999999</v>
      </c>
      <c r="P808" t="str">
        <f>IF(O808&lt;=0.15,"Very Cold",IF(O808&lt;=0.3,"Cold",IF(O808&lt;=0.45,"Pleasant","Hot")))</f>
        <v>Cold</v>
      </c>
      <c r="Q808">
        <v>0.65</v>
      </c>
      <c r="R808" t="str">
        <f>IF(Q808&lt;=0.25,"Low ",IF(Q808&lt;=0.5,"Moderate ",IF(Q808&lt;=0.75,"High ","Very High ")))</f>
        <v xml:space="preserve">High </v>
      </c>
      <c r="S808">
        <v>0.41789999999999999</v>
      </c>
      <c r="T808" t="str">
        <f>IF(S808&lt;=0.15,"Calm",IF(S808&lt;=0.3,"Light Wind",IF(S808&lt;=0.45,"Moderate Wind","Strong Wind")))</f>
        <v>Moderate Wind</v>
      </c>
      <c r="U808">
        <v>4</v>
      </c>
      <c r="V808">
        <v>40</v>
      </c>
      <c r="W808">
        <v>44</v>
      </c>
      <c r="X808" t="str">
        <f>IF(W808&lt;=75,"Low Demand",IF(W808&lt;=150,"Medium Demand",IF(W808&lt;=225,"High Demand","Very High Demand")))</f>
        <v>Low Demand</v>
      </c>
    </row>
    <row r="809" spans="1:24" x14ac:dyDescent="0.25">
      <c r="A809">
        <v>808</v>
      </c>
      <c r="B809" s="2">
        <v>40580</v>
      </c>
      <c r="C809">
        <v>1</v>
      </c>
      <c r="D809">
        <v>0</v>
      </c>
      <c r="E809">
        <v>2</v>
      </c>
      <c r="F809">
        <v>2</v>
      </c>
      <c r="G809" t="str">
        <f>IF(F809&lt;6,"Night",IF(F809&lt;12,"Morning",IF(F809&lt;18,"Afternoon","Evening")))</f>
        <v>Night</v>
      </c>
      <c r="H809">
        <v>0</v>
      </c>
      <c r="I809">
        <v>0</v>
      </c>
      <c r="J809" t="str">
        <f>CHOOSE(I809+1,"Monday","Tuesday","Wednesday","Thursday","Friday","Saturday","Sunday")</f>
        <v>Monday</v>
      </c>
      <c r="K809">
        <v>1</v>
      </c>
      <c r="L809" t="str">
        <f>CHOOSE(K809+1,"error","Clear","Misty","Rainy","Severe heater")</f>
        <v>Clear</v>
      </c>
      <c r="M809" s="1">
        <v>0.32</v>
      </c>
      <c r="N809" t="str">
        <f>IF(M809&lt;=0.2,"Low",IF(M809&lt;=0.4,"Mid","High"))</f>
        <v>Mid</v>
      </c>
      <c r="O809" s="1">
        <v>0.30299999999999999</v>
      </c>
      <c r="P809" t="str">
        <f>IF(O809&lt;=0.15,"Very Cold",IF(O809&lt;=0.3,"Cold",IF(O809&lt;=0.45,"Pleasant","Hot")))</f>
        <v>Pleasant</v>
      </c>
      <c r="Q809">
        <v>0.6</v>
      </c>
      <c r="R809" t="str">
        <f>IF(Q809&lt;=0.25,"Low ",IF(Q809&lt;=0.5,"Moderate ",IF(Q809&lt;=0.75,"High ","Very High ")))</f>
        <v xml:space="preserve">High </v>
      </c>
      <c r="S809">
        <v>0.32840000000000003</v>
      </c>
      <c r="T809" t="str">
        <f>IF(S809&lt;=0.15,"Calm",IF(S809&lt;=0.3,"Light Wind",IF(S809&lt;=0.45,"Moderate Wind","Strong Wind")))</f>
        <v>Moderate Wind</v>
      </c>
      <c r="U809">
        <v>0</v>
      </c>
      <c r="V809">
        <v>20</v>
      </c>
      <c r="W809">
        <v>20</v>
      </c>
      <c r="X809" t="str">
        <f>IF(W809&lt;=75,"Low Demand",IF(W809&lt;=150,"Medium Demand",IF(W809&lt;=225,"High Demand","Very High Demand")))</f>
        <v>Low Demand</v>
      </c>
    </row>
    <row r="810" spans="1:24" x14ac:dyDescent="0.25">
      <c r="A810">
        <v>809</v>
      </c>
      <c r="B810" s="2">
        <v>40580</v>
      </c>
      <c r="C810">
        <v>1</v>
      </c>
      <c r="D810">
        <v>0</v>
      </c>
      <c r="E810">
        <v>2</v>
      </c>
      <c r="F810">
        <v>3</v>
      </c>
      <c r="G810" t="str">
        <f>IF(F810&lt;6,"Night",IF(F810&lt;12,"Morning",IF(F810&lt;18,"Afternoon","Evening")))</f>
        <v>Night</v>
      </c>
      <c r="H810">
        <v>0</v>
      </c>
      <c r="I810">
        <v>0</v>
      </c>
      <c r="J810" t="str">
        <f>CHOOSE(I810+1,"Monday","Tuesday","Wednesday","Thursday","Friday","Saturday","Sunday")</f>
        <v>Monday</v>
      </c>
      <c r="K810">
        <v>1</v>
      </c>
      <c r="L810" t="str">
        <f>CHOOSE(K810+1,"error","Clear","Misty","Rainy","Severe heater")</f>
        <v>Clear</v>
      </c>
      <c r="M810" s="1">
        <v>0.34</v>
      </c>
      <c r="N810" t="str">
        <f>IF(M810&lt;=0.2,"Low",IF(M810&lt;=0.4,"Mid","High"))</f>
        <v>Mid</v>
      </c>
      <c r="O810" s="1">
        <v>0.33329999999999999</v>
      </c>
      <c r="P810" t="str">
        <f>IF(O810&lt;=0.15,"Very Cold",IF(O810&lt;=0.3,"Cold",IF(O810&lt;=0.45,"Pleasant","Hot")))</f>
        <v>Pleasant</v>
      </c>
      <c r="Q810">
        <v>0.6</v>
      </c>
      <c r="R810" t="str">
        <f>IF(Q810&lt;=0.25,"Low ",IF(Q810&lt;=0.5,"Moderate ",IF(Q810&lt;=0.75,"High ","Very High ")))</f>
        <v xml:space="preserve">High </v>
      </c>
      <c r="S810">
        <v>8.9599999999999999E-2</v>
      </c>
      <c r="T810" t="str">
        <f>IF(S810&lt;=0.15,"Calm",IF(S810&lt;=0.3,"Light Wind",IF(S810&lt;=0.45,"Moderate Wind","Strong Wind")))</f>
        <v>Calm</v>
      </c>
      <c r="U810">
        <v>3</v>
      </c>
      <c r="V810">
        <v>10</v>
      </c>
      <c r="W810">
        <v>13</v>
      </c>
      <c r="X810" t="str">
        <f>IF(W810&lt;=75,"Low Demand",IF(W810&lt;=150,"Medium Demand",IF(W810&lt;=225,"High Demand","Very High Demand")))</f>
        <v>Low Demand</v>
      </c>
    </row>
    <row r="811" spans="1:24" x14ac:dyDescent="0.25">
      <c r="A811">
        <v>810</v>
      </c>
      <c r="B811" s="2">
        <v>40580</v>
      </c>
      <c r="C811">
        <v>1</v>
      </c>
      <c r="D811">
        <v>0</v>
      </c>
      <c r="E811">
        <v>2</v>
      </c>
      <c r="F811">
        <v>4</v>
      </c>
      <c r="G811" t="str">
        <f>IF(F811&lt;6,"Night",IF(F811&lt;12,"Morning",IF(F811&lt;18,"Afternoon","Evening")))</f>
        <v>Night</v>
      </c>
      <c r="H811">
        <v>0</v>
      </c>
      <c r="I811">
        <v>0</v>
      </c>
      <c r="J811" t="str">
        <f>CHOOSE(I811+1,"Monday","Tuesday","Wednesday","Thursday","Friday","Saturday","Sunday")</f>
        <v>Monday</v>
      </c>
      <c r="K811">
        <v>1</v>
      </c>
      <c r="L811" t="str">
        <f>CHOOSE(K811+1,"error","Clear","Misty","Rainy","Severe heater")</f>
        <v>Clear</v>
      </c>
      <c r="M811" s="1">
        <v>0.34</v>
      </c>
      <c r="N811" t="str">
        <f>IF(M811&lt;=0.2,"Low",IF(M811&lt;=0.4,"Mid","High"))</f>
        <v>Mid</v>
      </c>
      <c r="O811" s="1">
        <v>0.36359999999999998</v>
      </c>
      <c r="P811" t="str">
        <f>IF(O811&lt;=0.15,"Very Cold",IF(O811&lt;=0.3,"Cold",IF(O811&lt;=0.45,"Pleasant","Hot")))</f>
        <v>Pleasant</v>
      </c>
      <c r="Q811">
        <v>0.6</v>
      </c>
      <c r="R811" t="str">
        <f>IF(Q811&lt;=0.25,"Low ",IF(Q811&lt;=0.5,"Moderate ",IF(Q811&lt;=0.75,"High ","Very High ")))</f>
        <v xml:space="preserve">High </v>
      </c>
      <c r="S811">
        <v>0.35820000000000002</v>
      </c>
      <c r="T811" t="str">
        <f>IF(S811&lt;=0.15,"Calm",IF(S811&lt;=0.3,"Light Wind",IF(S811&lt;=0.45,"Moderate Wind","Strong Wind")))</f>
        <v>Moderate Wind</v>
      </c>
      <c r="U811">
        <v>0</v>
      </c>
      <c r="V811">
        <v>2</v>
      </c>
      <c r="W811">
        <v>2</v>
      </c>
      <c r="X811" t="str">
        <f>IF(W811&lt;=75,"Low Demand",IF(W811&lt;=150,"Medium Demand",IF(W811&lt;=225,"High Demand","Very High Demand")))</f>
        <v>Low Demand</v>
      </c>
    </row>
    <row r="812" spans="1:24" x14ac:dyDescent="0.25">
      <c r="A812">
        <v>811</v>
      </c>
      <c r="B812" s="2">
        <v>40580</v>
      </c>
      <c r="C812">
        <v>1</v>
      </c>
      <c r="D812">
        <v>0</v>
      </c>
      <c r="E812">
        <v>2</v>
      </c>
      <c r="F812">
        <v>5</v>
      </c>
      <c r="G812" t="str">
        <f>IF(F812&lt;6,"Night",IF(F812&lt;12,"Morning",IF(F812&lt;18,"Afternoon","Evening")))</f>
        <v>Night</v>
      </c>
      <c r="H812">
        <v>0</v>
      </c>
      <c r="I812">
        <v>0</v>
      </c>
      <c r="J812" t="str">
        <f>CHOOSE(I812+1,"Monday","Tuesday","Wednesday","Thursday","Friday","Saturday","Sunday")</f>
        <v>Monday</v>
      </c>
      <c r="K812">
        <v>1</v>
      </c>
      <c r="L812" t="str">
        <f>CHOOSE(K812+1,"error","Clear","Misty","Rainy","Severe heater")</f>
        <v>Clear</v>
      </c>
      <c r="M812" s="1">
        <v>0.34</v>
      </c>
      <c r="N812" t="str">
        <f>IF(M812&lt;=0.2,"Low",IF(M812&lt;=0.4,"Mid","High"))</f>
        <v>Mid</v>
      </c>
      <c r="O812" s="1">
        <v>0.34849999999999998</v>
      </c>
      <c r="P812" t="str">
        <f>IF(O812&lt;=0.15,"Very Cold",IF(O812&lt;=0.3,"Cold",IF(O812&lt;=0.45,"Pleasant","Hot")))</f>
        <v>Pleasant</v>
      </c>
      <c r="Q812">
        <v>0.6</v>
      </c>
      <c r="R812" t="str">
        <f>IF(Q812&lt;=0.25,"Low ",IF(Q812&lt;=0.5,"Moderate ",IF(Q812&lt;=0.75,"High ","Very High ")))</f>
        <v xml:space="preserve">High </v>
      </c>
      <c r="S812">
        <v>0.22389999999999999</v>
      </c>
      <c r="T812" t="str">
        <f>IF(S812&lt;=0.15,"Calm",IF(S812&lt;=0.3,"Light Wind",IF(S812&lt;=0.45,"Moderate Wind","Strong Wind")))</f>
        <v>Light Wind</v>
      </c>
      <c r="U812">
        <v>0</v>
      </c>
      <c r="V812">
        <v>1</v>
      </c>
      <c r="W812">
        <v>1</v>
      </c>
      <c r="X812" t="str">
        <f>IF(W812&lt;=75,"Low Demand",IF(W812&lt;=150,"Medium Demand",IF(W812&lt;=225,"High Demand","Very High Demand")))</f>
        <v>Low Demand</v>
      </c>
    </row>
    <row r="813" spans="1:24" x14ac:dyDescent="0.25">
      <c r="A813">
        <v>812</v>
      </c>
      <c r="B813" s="2">
        <v>40580</v>
      </c>
      <c r="C813">
        <v>1</v>
      </c>
      <c r="D813">
        <v>0</v>
      </c>
      <c r="E813">
        <v>2</v>
      </c>
      <c r="F813">
        <v>6</v>
      </c>
      <c r="G813" t="str">
        <f>IF(F813&lt;6,"Night",IF(F813&lt;12,"Morning",IF(F813&lt;18,"Afternoon","Evening")))</f>
        <v>Morning</v>
      </c>
      <c r="H813">
        <v>0</v>
      </c>
      <c r="I813">
        <v>0</v>
      </c>
      <c r="J813" t="str">
        <f>CHOOSE(I813+1,"Monday","Tuesday","Wednesday","Thursday","Friday","Saturday","Sunday")</f>
        <v>Monday</v>
      </c>
      <c r="K813">
        <v>1</v>
      </c>
      <c r="L813" t="str">
        <f>CHOOSE(K813+1,"error","Clear","Misty","Rainy","Severe heater")</f>
        <v>Clear</v>
      </c>
      <c r="M813" s="1">
        <v>0.34</v>
      </c>
      <c r="N813" t="str">
        <f>IF(M813&lt;=0.2,"Low",IF(M813&lt;=0.4,"Mid","High"))</f>
        <v>Mid</v>
      </c>
      <c r="O813" s="1">
        <v>0.34849999999999998</v>
      </c>
      <c r="P813" t="str">
        <f>IF(O813&lt;=0.15,"Very Cold",IF(O813&lt;=0.3,"Cold",IF(O813&lt;=0.45,"Pleasant","Hot")))</f>
        <v>Pleasant</v>
      </c>
      <c r="Q813">
        <v>0.6</v>
      </c>
      <c r="R813" t="str">
        <f>IF(Q813&lt;=0.25,"Low ",IF(Q813&lt;=0.5,"Moderate ",IF(Q813&lt;=0.75,"High ","Very High ")))</f>
        <v xml:space="preserve">High </v>
      </c>
      <c r="S813">
        <v>0.22389999999999999</v>
      </c>
      <c r="T813" t="str">
        <f>IF(S813&lt;=0.15,"Calm",IF(S813&lt;=0.3,"Light Wind",IF(S813&lt;=0.45,"Moderate Wind","Strong Wind")))</f>
        <v>Light Wind</v>
      </c>
      <c r="U813">
        <v>0</v>
      </c>
      <c r="V813">
        <v>1</v>
      </c>
      <c r="W813">
        <v>1</v>
      </c>
      <c r="X813" t="str">
        <f>IF(W813&lt;=75,"Low Demand",IF(W813&lt;=150,"Medium Demand",IF(W813&lt;=225,"High Demand","Very High Demand")))</f>
        <v>Low Demand</v>
      </c>
    </row>
    <row r="814" spans="1:24" x14ac:dyDescent="0.25">
      <c r="A814">
        <v>813</v>
      </c>
      <c r="B814" s="2">
        <v>40580</v>
      </c>
      <c r="C814">
        <v>1</v>
      </c>
      <c r="D814">
        <v>0</v>
      </c>
      <c r="E814">
        <v>2</v>
      </c>
      <c r="F814">
        <v>7</v>
      </c>
      <c r="G814" t="str">
        <f>IF(F814&lt;6,"Night",IF(F814&lt;12,"Morning",IF(F814&lt;18,"Afternoon","Evening")))</f>
        <v>Morning</v>
      </c>
      <c r="H814">
        <v>0</v>
      </c>
      <c r="I814">
        <v>0</v>
      </c>
      <c r="J814" t="str">
        <f>CHOOSE(I814+1,"Monday","Tuesday","Wednesday","Thursday","Friday","Saturday","Sunday")</f>
        <v>Monday</v>
      </c>
      <c r="K814">
        <v>1</v>
      </c>
      <c r="L814" t="str">
        <f>CHOOSE(K814+1,"error","Clear","Misty","Rainy","Severe heater")</f>
        <v>Clear</v>
      </c>
      <c r="M814" s="1">
        <v>0.34</v>
      </c>
      <c r="N814" t="str">
        <f>IF(M814&lt;=0.2,"Low",IF(M814&lt;=0.4,"Mid","High"))</f>
        <v>Mid</v>
      </c>
      <c r="O814" s="1">
        <v>0.34849999999999998</v>
      </c>
      <c r="P814" t="str">
        <f>IF(O814&lt;=0.15,"Very Cold",IF(O814&lt;=0.3,"Cold",IF(O814&lt;=0.45,"Pleasant","Hot")))</f>
        <v>Pleasant</v>
      </c>
      <c r="Q814">
        <v>0.65</v>
      </c>
      <c r="R814" t="str">
        <f>IF(Q814&lt;=0.25,"Low ",IF(Q814&lt;=0.5,"Moderate ",IF(Q814&lt;=0.75,"High ","Very High ")))</f>
        <v xml:space="preserve">High </v>
      </c>
      <c r="S814">
        <v>0.16420000000000001</v>
      </c>
      <c r="T814" t="str">
        <f>IF(S814&lt;=0.15,"Calm",IF(S814&lt;=0.3,"Light Wind",IF(S814&lt;=0.45,"Moderate Wind","Strong Wind")))</f>
        <v>Light Wind</v>
      </c>
      <c r="U814">
        <v>0</v>
      </c>
      <c r="V814">
        <v>8</v>
      </c>
      <c r="W814">
        <v>8</v>
      </c>
      <c r="X814" t="str">
        <f>IF(W814&lt;=75,"Low Demand",IF(W814&lt;=150,"Medium Demand",IF(W814&lt;=225,"High Demand","Very High Demand")))</f>
        <v>Low Demand</v>
      </c>
    </row>
    <row r="815" spans="1:24" x14ac:dyDescent="0.25">
      <c r="A815">
        <v>814</v>
      </c>
      <c r="B815" s="2">
        <v>40580</v>
      </c>
      <c r="C815">
        <v>1</v>
      </c>
      <c r="D815">
        <v>0</v>
      </c>
      <c r="E815">
        <v>2</v>
      </c>
      <c r="F815">
        <v>8</v>
      </c>
      <c r="G815" t="str">
        <f>IF(F815&lt;6,"Night",IF(F815&lt;12,"Morning",IF(F815&lt;18,"Afternoon","Evening")))</f>
        <v>Morning</v>
      </c>
      <c r="H815">
        <v>0</v>
      </c>
      <c r="I815">
        <v>0</v>
      </c>
      <c r="J815" t="str">
        <f>CHOOSE(I815+1,"Monday","Tuesday","Wednesday","Thursday","Friday","Saturday","Sunday")</f>
        <v>Monday</v>
      </c>
      <c r="K815">
        <v>1</v>
      </c>
      <c r="L815" t="str">
        <f>CHOOSE(K815+1,"error","Clear","Misty","Rainy","Severe heater")</f>
        <v>Clear</v>
      </c>
      <c r="M815" s="1">
        <v>0.34</v>
      </c>
      <c r="N815" t="str">
        <f>IF(M815&lt;=0.2,"Low",IF(M815&lt;=0.4,"Mid","High"))</f>
        <v>Mid</v>
      </c>
      <c r="O815" s="1">
        <v>0.36359999999999998</v>
      </c>
      <c r="P815" t="str">
        <f>IF(O815&lt;=0.15,"Very Cold",IF(O815&lt;=0.3,"Cold",IF(O815&lt;=0.45,"Pleasant","Hot")))</f>
        <v>Pleasant</v>
      </c>
      <c r="Q815">
        <v>0.65</v>
      </c>
      <c r="R815" t="str">
        <f>IF(Q815&lt;=0.25,"Low ",IF(Q815&lt;=0.5,"Moderate ",IF(Q815&lt;=0.75,"High ","Very High ")))</f>
        <v xml:space="preserve">High </v>
      </c>
      <c r="S815">
        <v>0.1045</v>
      </c>
      <c r="T815" t="str">
        <f>IF(S815&lt;=0.15,"Calm",IF(S815&lt;=0.3,"Light Wind",IF(S815&lt;=0.45,"Moderate Wind","Strong Wind")))</f>
        <v>Calm</v>
      </c>
      <c r="U815">
        <v>2</v>
      </c>
      <c r="V815">
        <v>21</v>
      </c>
      <c r="W815">
        <v>23</v>
      </c>
      <c r="X815" t="str">
        <f>IF(W815&lt;=75,"Low Demand",IF(W815&lt;=150,"Medium Demand",IF(W815&lt;=225,"High Demand","Very High Demand")))</f>
        <v>Low Demand</v>
      </c>
    </row>
    <row r="816" spans="1:24" x14ac:dyDescent="0.25">
      <c r="A816">
        <v>815</v>
      </c>
      <c r="B816" s="2">
        <v>40580</v>
      </c>
      <c r="C816">
        <v>1</v>
      </c>
      <c r="D816">
        <v>0</v>
      </c>
      <c r="E816">
        <v>2</v>
      </c>
      <c r="F816">
        <v>9</v>
      </c>
      <c r="G816" t="str">
        <f>IF(F816&lt;6,"Night",IF(F816&lt;12,"Morning",IF(F816&lt;18,"Afternoon","Evening")))</f>
        <v>Morning</v>
      </c>
      <c r="H816">
        <v>0</v>
      </c>
      <c r="I816">
        <v>0</v>
      </c>
      <c r="J816" t="str">
        <f>CHOOSE(I816+1,"Monday","Tuesday","Wednesday","Thursday","Friday","Saturday","Sunday")</f>
        <v>Monday</v>
      </c>
      <c r="K816">
        <v>1</v>
      </c>
      <c r="L816" t="str">
        <f>CHOOSE(K816+1,"error","Clear","Misty","Rainy","Severe heater")</f>
        <v>Clear</v>
      </c>
      <c r="M816" s="1">
        <v>0.3</v>
      </c>
      <c r="N816" t="str">
        <f>IF(M816&lt;=0.2,"Low",IF(M816&lt;=0.4,"Mid","High"))</f>
        <v>Mid</v>
      </c>
      <c r="O816" s="1">
        <v>0.30299999999999999</v>
      </c>
      <c r="P816" t="str">
        <f>IF(O816&lt;=0.15,"Very Cold",IF(O816&lt;=0.3,"Cold",IF(O816&lt;=0.45,"Pleasant","Hot")))</f>
        <v>Pleasant</v>
      </c>
      <c r="Q816">
        <v>0.56000000000000005</v>
      </c>
      <c r="R816" t="str">
        <f>IF(Q816&lt;=0.25,"Low ",IF(Q816&lt;=0.5,"Moderate ",IF(Q816&lt;=0.75,"High ","Very High ")))</f>
        <v xml:space="preserve">High </v>
      </c>
      <c r="S816">
        <v>0.1045</v>
      </c>
      <c r="T816" t="str">
        <f>IF(S816&lt;=0.15,"Calm",IF(S816&lt;=0.3,"Light Wind",IF(S816&lt;=0.45,"Moderate Wind","Strong Wind")))</f>
        <v>Calm</v>
      </c>
      <c r="U816">
        <v>7</v>
      </c>
      <c r="V816">
        <v>38</v>
      </c>
      <c r="W816">
        <v>45</v>
      </c>
      <c r="X816" t="str">
        <f>IF(W816&lt;=75,"Low Demand",IF(W816&lt;=150,"Medium Demand",IF(W816&lt;=225,"High Demand","Very High Demand")))</f>
        <v>Low Demand</v>
      </c>
    </row>
    <row r="817" spans="1:24" x14ac:dyDescent="0.25">
      <c r="A817">
        <v>816</v>
      </c>
      <c r="B817" s="2">
        <v>40580</v>
      </c>
      <c r="C817">
        <v>1</v>
      </c>
      <c r="D817">
        <v>0</v>
      </c>
      <c r="E817">
        <v>2</v>
      </c>
      <c r="F817">
        <v>10</v>
      </c>
      <c r="G817" t="str">
        <f>IF(F817&lt;6,"Night",IF(F817&lt;12,"Morning",IF(F817&lt;18,"Afternoon","Evening")))</f>
        <v>Morning</v>
      </c>
      <c r="H817">
        <v>0</v>
      </c>
      <c r="I817">
        <v>0</v>
      </c>
      <c r="J817" t="str">
        <f>CHOOSE(I817+1,"Monday","Tuesday","Wednesday","Thursday","Friday","Saturday","Sunday")</f>
        <v>Monday</v>
      </c>
      <c r="K817">
        <v>1</v>
      </c>
      <c r="L817" t="str">
        <f>CHOOSE(K817+1,"error","Clear","Misty","Rainy","Severe heater")</f>
        <v>Clear</v>
      </c>
      <c r="M817" s="1">
        <v>0.28000000000000003</v>
      </c>
      <c r="N817" t="str">
        <f>IF(M817&lt;=0.2,"Low",IF(M817&lt;=0.4,"Mid","High"))</f>
        <v>Mid</v>
      </c>
      <c r="O817" s="1">
        <v>0.28789999999999999</v>
      </c>
      <c r="P817" t="str">
        <f>IF(O817&lt;=0.15,"Very Cold",IF(O817&lt;=0.3,"Cold",IF(O817&lt;=0.45,"Pleasant","Hot")))</f>
        <v>Cold</v>
      </c>
      <c r="Q817">
        <v>0.52</v>
      </c>
      <c r="R817" t="str">
        <f>IF(Q817&lt;=0.25,"Low ",IF(Q817&lt;=0.5,"Moderate ",IF(Q817&lt;=0.75,"High ","Very High ")))</f>
        <v xml:space="preserve">High </v>
      </c>
      <c r="S817">
        <v>0.25369999999999998</v>
      </c>
      <c r="T817" t="str">
        <f>IF(S817&lt;=0.15,"Calm",IF(S817&lt;=0.3,"Light Wind",IF(S817&lt;=0.45,"Moderate Wind","Strong Wind")))</f>
        <v>Light Wind</v>
      </c>
      <c r="U817">
        <v>15</v>
      </c>
      <c r="V817">
        <v>74</v>
      </c>
      <c r="W817">
        <v>89</v>
      </c>
      <c r="X817" t="str">
        <f>IF(W817&lt;=75,"Low Demand",IF(W817&lt;=150,"Medium Demand",IF(W817&lt;=225,"High Demand","Very High Demand")))</f>
        <v>Medium Demand</v>
      </c>
    </row>
    <row r="818" spans="1:24" x14ac:dyDescent="0.25">
      <c r="A818">
        <v>817</v>
      </c>
      <c r="B818" s="2">
        <v>40580</v>
      </c>
      <c r="C818">
        <v>1</v>
      </c>
      <c r="D818">
        <v>0</v>
      </c>
      <c r="E818">
        <v>2</v>
      </c>
      <c r="F818">
        <v>11</v>
      </c>
      <c r="G818" t="str">
        <f>IF(F818&lt;6,"Night",IF(F818&lt;12,"Morning",IF(F818&lt;18,"Afternoon","Evening")))</f>
        <v>Morning</v>
      </c>
      <c r="H818">
        <v>0</v>
      </c>
      <c r="I818">
        <v>0</v>
      </c>
      <c r="J818" t="str">
        <f>CHOOSE(I818+1,"Monday","Tuesday","Wednesday","Thursday","Friday","Saturday","Sunday")</f>
        <v>Monday</v>
      </c>
      <c r="K818">
        <v>1</v>
      </c>
      <c r="L818" t="str">
        <f>CHOOSE(K818+1,"error","Clear","Misty","Rainy","Severe heater")</f>
        <v>Clear</v>
      </c>
      <c r="M818" s="1">
        <v>0.28000000000000003</v>
      </c>
      <c r="N818" t="str">
        <f>IF(M818&lt;=0.2,"Low",IF(M818&lt;=0.4,"Mid","High"))</f>
        <v>Mid</v>
      </c>
      <c r="O818" s="1">
        <v>0.28789999999999999</v>
      </c>
      <c r="P818" t="str">
        <f>IF(O818&lt;=0.15,"Very Cold",IF(O818&lt;=0.3,"Cold",IF(O818&lt;=0.45,"Pleasant","Hot")))</f>
        <v>Cold</v>
      </c>
      <c r="Q818">
        <v>0.49</v>
      </c>
      <c r="R818" t="str">
        <f>IF(Q818&lt;=0.25,"Low ",IF(Q818&lt;=0.5,"Moderate ",IF(Q818&lt;=0.75,"High ","Very High ")))</f>
        <v xml:space="preserve">Moderate </v>
      </c>
      <c r="S818">
        <v>0.25369999999999998</v>
      </c>
      <c r="T818" t="str">
        <f>IF(S818&lt;=0.15,"Calm",IF(S818&lt;=0.3,"Light Wind",IF(S818&lt;=0.45,"Moderate Wind","Strong Wind")))</f>
        <v>Light Wind</v>
      </c>
      <c r="U818">
        <v>28</v>
      </c>
      <c r="V818">
        <v>89</v>
      </c>
      <c r="W818">
        <v>117</v>
      </c>
      <c r="X818" t="str">
        <f>IF(W818&lt;=75,"Low Demand",IF(W818&lt;=150,"Medium Demand",IF(W818&lt;=225,"High Demand","Very High Demand")))</f>
        <v>Medium Demand</v>
      </c>
    </row>
    <row r="819" spans="1:24" x14ac:dyDescent="0.25">
      <c r="A819">
        <v>818</v>
      </c>
      <c r="B819" s="2">
        <v>40580</v>
      </c>
      <c r="C819">
        <v>1</v>
      </c>
      <c r="D819">
        <v>0</v>
      </c>
      <c r="E819">
        <v>2</v>
      </c>
      <c r="F819">
        <v>12</v>
      </c>
      <c r="G819" t="str">
        <f>IF(F819&lt;6,"Night",IF(F819&lt;12,"Morning",IF(F819&lt;18,"Afternoon","Evening")))</f>
        <v>Afternoon</v>
      </c>
      <c r="H819">
        <v>0</v>
      </c>
      <c r="I819">
        <v>0</v>
      </c>
      <c r="J819" t="str">
        <f>CHOOSE(I819+1,"Monday","Tuesday","Wednesday","Thursday","Friday","Saturday","Sunday")</f>
        <v>Monday</v>
      </c>
      <c r="K819">
        <v>1</v>
      </c>
      <c r="L819" t="str">
        <f>CHOOSE(K819+1,"error","Clear","Misty","Rainy","Severe heater")</f>
        <v>Clear</v>
      </c>
      <c r="M819" s="1">
        <v>0.26</v>
      </c>
      <c r="N819" t="str">
        <f>IF(M819&lt;=0.2,"Low",IF(M819&lt;=0.4,"Mid","High"))</f>
        <v>Mid</v>
      </c>
      <c r="O819" s="1">
        <v>0.30299999999999999</v>
      </c>
      <c r="P819" t="str">
        <f>IF(O819&lt;=0.15,"Very Cold",IF(O819&lt;=0.3,"Cold",IF(O819&lt;=0.45,"Pleasant","Hot")))</f>
        <v>Pleasant</v>
      </c>
      <c r="Q819">
        <v>0.46</v>
      </c>
      <c r="R819" t="str">
        <f>IF(Q819&lt;=0.25,"Low ",IF(Q819&lt;=0.5,"Moderate ",IF(Q819&lt;=0.75,"High ","Very High ")))</f>
        <v xml:space="preserve">Moderate </v>
      </c>
      <c r="S819">
        <v>0</v>
      </c>
      <c r="T819" t="str">
        <f>IF(S819&lt;=0.15,"Calm",IF(S819&lt;=0.3,"Light Wind",IF(S819&lt;=0.45,"Moderate Wind","Strong Wind")))</f>
        <v>Calm</v>
      </c>
      <c r="U819">
        <v>48</v>
      </c>
      <c r="V819">
        <v>126</v>
      </c>
      <c r="W819">
        <v>174</v>
      </c>
      <c r="X819" t="str">
        <f>IF(W819&lt;=75,"Low Demand",IF(W819&lt;=150,"Medium Demand",IF(W819&lt;=225,"High Demand","Very High Demand")))</f>
        <v>High Demand</v>
      </c>
    </row>
    <row r="820" spans="1:24" x14ac:dyDescent="0.25">
      <c r="A820">
        <v>819</v>
      </c>
      <c r="B820" s="2">
        <v>40580</v>
      </c>
      <c r="C820">
        <v>1</v>
      </c>
      <c r="D820">
        <v>0</v>
      </c>
      <c r="E820">
        <v>2</v>
      </c>
      <c r="F820">
        <v>13</v>
      </c>
      <c r="G820" t="str">
        <f>IF(F820&lt;6,"Night",IF(F820&lt;12,"Morning",IF(F820&lt;18,"Afternoon","Evening")))</f>
        <v>Afternoon</v>
      </c>
      <c r="H820">
        <v>0</v>
      </c>
      <c r="I820">
        <v>0</v>
      </c>
      <c r="J820" t="str">
        <f>CHOOSE(I820+1,"Monday","Tuesday","Wednesday","Thursday","Friday","Saturday","Sunday")</f>
        <v>Monday</v>
      </c>
      <c r="K820">
        <v>1</v>
      </c>
      <c r="L820" t="str">
        <f>CHOOSE(K820+1,"error","Clear","Misty","Rainy","Severe heater")</f>
        <v>Clear</v>
      </c>
      <c r="M820" s="1">
        <v>0.26</v>
      </c>
      <c r="N820" t="str">
        <f>IF(M820&lt;=0.2,"Low",IF(M820&lt;=0.4,"Mid","High"))</f>
        <v>Mid</v>
      </c>
      <c r="O820" s="1">
        <v>0.30299999999999999</v>
      </c>
      <c r="P820" t="str">
        <f>IF(O820&lt;=0.15,"Very Cold",IF(O820&lt;=0.3,"Cold",IF(O820&lt;=0.45,"Pleasant","Hot")))</f>
        <v>Pleasant</v>
      </c>
      <c r="Q820">
        <v>0.46</v>
      </c>
      <c r="R820" t="str">
        <f>IF(Q820&lt;=0.25,"Low ",IF(Q820&lt;=0.5,"Moderate ",IF(Q820&lt;=0.75,"High ","Very High ")))</f>
        <v xml:space="preserve">Moderate </v>
      </c>
      <c r="S820">
        <v>0</v>
      </c>
      <c r="T820" t="str">
        <f>IF(S820&lt;=0.15,"Calm",IF(S820&lt;=0.3,"Light Wind",IF(S820&lt;=0.45,"Moderate Wind","Strong Wind")))</f>
        <v>Calm</v>
      </c>
      <c r="U820">
        <v>47</v>
      </c>
      <c r="V820">
        <v>135</v>
      </c>
      <c r="W820">
        <v>182</v>
      </c>
      <c r="X820" t="str">
        <f>IF(W820&lt;=75,"Low Demand",IF(W820&lt;=150,"Medium Demand",IF(W820&lt;=225,"High Demand","Very High Demand")))</f>
        <v>High Demand</v>
      </c>
    </row>
    <row r="821" spans="1:24" x14ac:dyDescent="0.25">
      <c r="A821">
        <v>820</v>
      </c>
      <c r="B821" s="2">
        <v>40580</v>
      </c>
      <c r="C821">
        <v>1</v>
      </c>
      <c r="D821">
        <v>0</v>
      </c>
      <c r="E821">
        <v>2</v>
      </c>
      <c r="F821">
        <v>14</v>
      </c>
      <c r="G821" t="str">
        <f>IF(F821&lt;6,"Night",IF(F821&lt;12,"Morning",IF(F821&lt;18,"Afternoon","Evening")))</f>
        <v>Afternoon</v>
      </c>
      <c r="H821">
        <v>0</v>
      </c>
      <c r="I821">
        <v>0</v>
      </c>
      <c r="J821" t="str">
        <f>CHOOSE(I821+1,"Monday","Tuesday","Wednesday","Thursday","Friday","Saturday","Sunday")</f>
        <v>Monday</v>
      </c>
      <c r="K821">
        <v>1</v>
      </c>
      <c r="L821" t="str">
        <f>CHOOSE(K821+1,"error","Clear","Misty","Rainy","Severe heater")</f>
        <v>Clear</v>
      </c>
      <c r="M821" s="1">
        <v>0.24</v>
      </c>
      <c r="N821" t="str">
        <f>IF(M821&lt;=0.2,"Low",IF(M821&lt;=0.4,"Mid","High"))</f>
        <v>Mid</v>
      </c>
      <c r="O821" s="1">
        <v>0.28789999999999999</v>
      </c>
      <c r="P821" t="str">
        <f>IF(O821&lt;=0.15,"Very Cold",IF(O821&lt;=0.3,"Cold",IF(O821&lt;=0.45,"Pleasant","Hot")))</f>
        <v>Cold</v>
      </c>
      <c r="Q821">
        <v>0.46</v>
      </c>
      <c r="R821" t="str">
        <f>IF(Q821&lt;=0.25,"Low ",IF(Q821&lt;=0.5,"Moderate ",IF(Q821&lt;=0.75,"High ","Very High ")))</f>
        <v xml:space="preserve">Moderate </v>
      </c>
      <c r="S821">
        <v>8.9599999999999999E-2</v>
      </c>
      <c r="T821" t="str">
        <f>IF(S821&lt;=0.15,"Calm",IF(S821&lt;=0.3,"Light Wind",IF(S821&lt;=0.45,"Moderate Wind","Strong Wind")))</f>
        <v>Calm</v>
      </c>
      <c r="U821">
        <v>47</v>
      </c>
      <c r="V821">
        <v>114</v>
      </c>
      <c r="W821">
        <v>161</v>
      </c>
      <c r="X821" t="str">
        <f>IF(W821&lt;=75,"Low Demand",IF(W821&lt;=150,"Medium Demand",IF(W821&lt;=225,"High Demand","Very High Demand")))</f>
        <v>High Demand</v>
      </c>
    </row>
    <row r="822" spans="1:24" x14ac:dyDescent="0.25">
      <c r="A822">
        <v>821</v>
      </c>
      <c r="B822" s="2">
        <v>40580</v>
      </c>
      <c r="C822">
        <v>1</v>
      </c>
      <c r="D822">
        <v>0</v>
      </c>
      <c r="E822">
        <v>2</v>
      </c>
      <c r="F822">
        <v>15</v>
      </c>
      <c r="G822" t="str">
        <f>IF(F822&lt;6,"Night",IF(F822&lt;12,"Morning",IF(F822&lt;18,"Afternoon","Evening")))</f>
        <v>Afternoon</v>
      </c>
      <c r="H822">
        <v>0</v>
      </c>
      <c r="I822">
        <v>0</v>
      </c>
      <c r="J822" t="str">
        <f>CHOOSE(I822+1,"Monday","Tuesday","Wednesday","Thursday","Friday","Saturday","Sunday")</f>
        <v>Monday</v>
      </c>
      <c r="K822">
        <v>1</v>
      </c>
      <c r="L822" t="str">
        <f>CHOOSE(K822+1,"error","Clear","Misty","Rainy","Severe heater")</f>
        <v>Clear</v>
      </c>
      <c r="M822" s="1">
        <v>0.24</v>
      </c>
      <c r="N822" t="str">
        <f>IF(M822&lt;=0.2,"Low",IF(M822&lt;=0.4,"Mid","High"))</f>
        <v>Mid</v>
      </c>
      <c r="O822" s="1">
        <v>0.28789999999999999</v>
      </c>
      <c r="P822" t="str">
        <f>IF(O822&lt;=0.15,"Very Cold",IF(O822&lt;=0.3,"Cold",IF(O822&lt;=0.45,"Pleasant","Hot")))</f>
        <v>Cold</v>
      </c>
      <c r="Q822">
        <v>0.46</v>
      </c>
      <c r="R822" t="str">
        <f>IF(Q822&lt;=0.25,"Low ",IF(Q822&lt;=0.5,"Moderate ",IF(Q822&lt;=0.75,"High ","Very High ")))</f>
        <v xml:space="preserve">Moderate </v>
      </c>
      <c r="S822">
        <v>8.9599999999999999E-2</v>
      </c>
      <c r="T822" t="str">
        <f>IF(S822&lt;=0.15,"Calm",IF(S822&lt;=0.3,"Light Wind",IF(S822&lt;=0.45,"Moderate Wind","Strong Wind")))</f>
        <v>Calm</v>
      </c>
      <c r="U822">
        <v>52</v>
      </c>
      <c r="V822">
        <v>130</v>
      </c>
      <c r="W822">
        <v>182</v>
      </c>
      <c r="X822" t="str">
        <f>IF(W822&lt;=75,"Low Demand",IF(W822&lt;=150,"Medium Demand",IF(W822&lt;=225,"High Demand","Very High Demand")))</f>
        <v>High Demand</v>
      </c>
    </row>
    <row r="823" spans="1:24" x14ac:dyDescent="0.25">
      <c r="A823">
        <v>822</v>
      </c>
      <c r="B823" s="2">
        <v>40580</v>
      </c>
      <c r="C823">
        <v>1</v>
      </c>
      <c r="D823">
        <v>0</v>
      </c>
      <c r="E823">
        <v>2</v>
      </c>
      <c r="F823">
        <v>16</v>
      </c>
      <c r="G823" t="str">
        <f>IF(F823&lt;6,"Night",IF(F823&lt;12,"Morning",IF(F823&lt;18,"Afternoon","Evening")))</f>
        <v>Afternoon</v>
      </c>
      <c r="H823">
        <v>0</v>
      </c>
      <c r="I823">
        <v>0</v>
      </c>
      <c r="J823" t="str">
        <f>CHOOSE(I823+1,"Monday","Tuesday","Wednesday","Thursday","Friday","Saturday","Sunday")</f>
        <v>Monday</v>
      </c>
      <c r="K823">
        <v>1</v>
      </c>
      <c r="L823" t="str">
        <f>CHOOSE(K823+1,"error","Clear","Misty","Rainy","Severe heater")</f>
        <v>Clear</v>
      </c>
      <c r="M823" s="1">
        <v>0.22</v>
      </c>
      <c r="N823" t="str">
        <f>IF(M823&lt;=0.2,"Low",IF(M823&lt;=0.4,"Mid","High"))</f>
        <v>Mid</v>
      </c>
      <c r="O823" s="1">
        <v>0.2727</v>
      </c>
      <c r="P823" t="str">
        <f>IF(O823&lt;=0.15,"Very Cold",IF(O823&lt;=0.3,"Cold",IF(O823&lt;=0.45,"Pleasant","Hot")))</f>
        <v>Cold</v>
      </c>
      <c r="Q823">
        <v>0.49</v>
      </c>
      <c r="R823" t="str">
        <f>IF(Q823&lt;=0.25,"Low ",IF(Q823&lt;=0.5,"Moderate ",IF(Q823&lt;=0.75,"High ","Very High ")))</f>
        <v xml:space="preserve">Moderate </v>
      </c>
      <c r="S823">
        <v>0.1045</v>
      </c>
      <c r="T823" t="str">
        <f>IF(S823&lt;=0.15,"Calm",IF(S823&lt;=0.3,"Light Wind",IF(S823&lt;=0.45,"Moderate Wind","Strong Wind")))</f>
        <v>Calm</v>
      </c>
      <c r="U823">
        <v>42</v>
      </c>
      <c r="V823">
        <v>115</v>
      </c>
      <c r="W823">
        <v>157</v>
      </c>
      <c r="X823" t="str">
        <f>IF(W823&lt;=75,"Low Demand",IF(W823&lt;=150,"Medium Demand",IF(W823&lt;=225,"High Demand","Very High Demand")))</f>
        <v>High Demand</v>
      </c>
    </row>
    <row r="824" spans="1:24" x14ac:dyDescent="0.25">
      <c r="A824">
        <v>823</v>
      </c>
      <c r="B824" s="2">
        <v>40580</v>
      </c>
      <c r="C824">
        <v>1</v>
      </c>
      <c r="D824">
        <v>0</v>
      </c>
      <c r="E824">
        <v>2</v>
      </c>
      <c r="F824">
        <v>17</v>
      </c>
      <c r="G824" t="str">
        <f>IF(F824&lt;6,"Night",IF(F824&lt;12,"Morning",IF(F824&lt;18,"Afternoon","Evening")))</f>
        <v>Afternoon</v>
      </c>
      <c r="H824">
        <v>0</v>
      </c>
      <c r="I824">
        <v>0</v>
      </c>
      <c r="J824" t="str">
        <f>CHOOSE(I824+1,"Monday","Tuesday","Wednesday","Thursday","Friday","Saturday","Sunday")</f>
        <v>Monday</v>
      </c>
      <c r="K824">
        <v>1</v>
      </c>
      <c r="L824" t="str">
        <f>CHOOSE(K824+1,"error","Clear","Misty","Rainy","Severe heater")</f>
        <v>Clear</v>
      </c>
      <c r="M824" s="1">
        <v>0.2</v>
      </c>
      <c r="N824" t="str">
        <f>IF(M824&lt;=0.2,"Low",IF(M824&lt;=0.4,"Mid","High"))</f>
        <v>Low</v>
      </c>
      <c r="O824" s="1">
        <v>0.2576</v>
      </c>
      <c r="P824" t="str">
        <f>IF(O824&lt;=0.15,"Very Cold",IF(O824&lt;=0.3,"Cold",IF(O824&lt;=0.45,"Pleasant","Hot")))</f>
        <v>Cold</v>
      </c>
      <c r="Q824">
        <v>0.46</v>
      </c>
      <c r="R824" t="str">
        <f>IF(Q824&lt;=0.25,"Low ",IF(Q824&lt;=0.5,"Moderate ",IF(Q824&lt;=0.75,"High ","Very High ")))</f>
        <v xml:space="preserve">Moderate </v>
      </c>
      <c r="S824">
        <v>0</v>
      </c>
      <c r="T824" t="str">
        <f>IF(S824&lt;=0.15,"Calm",IF(S824&lt;=0.3,"Light Wind",IF(S824&lt;=0.45,"Moderate Wind","Strong Wind")))</f>
        <v>Calm</v>
      </c>
      <c r="U824">
        <v>24</v>
      </c>
      <c r="V824">
        <v>97</v>
      </c>
      <c r="W824">
        <v>121</v>
      </c>
      <c r="X824" t="str">
        <f>IF(W824&lt;=75,"Low Demand",IF(W824&lt;=150,"Medium Demand",IF(W824&lt;=225,"High Demand","Very High Demand")))</f>
        <v>Medium Demand</v>
      </c>
    </row>
    <row r="825" spans="1:24" x14ac:dyDescent="0.25">
      <c r="A825">
        <v>824</v>
      </c>
      <c r="B825" s="2">
        <v>40580</v>
      </c>
      <c r="C825">
        <v>1</v>
      </c>
      <c r="D825">
        <v>0</v>
      </c>
      <c r="E825">
        <v>2</v>
      </c>
      <c r="F825">
        <v>18</v>
      </c>
      <c r="G825" t="str">
        <f>IF(F825&lt;6,"Night",IF(F825&lt;12,"Morning",IF(F825&lt;18,"Afternoon","Evening")))</f>
        <v>Evening</v>
      </c>
      <c r="H825">
        <v>0</v>
      </c>
      <c r="I825">
        <v>0</v>
      </c>
      <c r="J825" t="str">
        <f>CHOOSE(I825+1,"Monday","Tuesday","Wednesday","Thursday","Friday","Saturday","Sunday")</f>
        <v>Monday</v>
      </c>
      <c r="K825">
        <v>1</v>
      </c>
      <c r="L825" t="str">
        <f>CHOOSE(K825+1,"error","Clear","Misty","Rainy","Severe heater")</f>
        <v>Clear</v>
      </c>
      <c r="M825" s="1">
        <v>0.2</v>
      </c>
      <c r="N825" t="str">
        <f>IF(M825&lt;=0.2,"Low",IF(M825&lt;=0.4,"Mid","High"))</f>
        <v>Low</v>
      </c>
      <c r="O825" s="1">
        <v>0.2576</v>
      </c>
      <c r="P825" t="str">
        <f>IF(O825&lt;=0.15,"Very Cold",IF(O825&lt;=0.3,"Cold",IF(O825&lt;=0.45,"Pleasant","Hot")))</f>
        <v>Cold</v>
      </c>
      <c r="Q825">
        <v>0.56000000000000005</v>
      </c>
      <c r="R825" t="str">
        <f>IF(Q825&lt;=0.25,"Low ",IF(Q825&lt;=0.5,"Moderate ",IF(Q825&lt;=0.75,"High ","Very High ")))</f>
        <v xml:space="preserve">High </v>
      </c>
      <c r="S825">
        <v>0.16420000000000001</v>
      </c>
      <c r="T825" t="str">
        <f>IF(S825&lt;=0.15,"Calm",IF(S825&lt;=0.3,"Light Wind",IF(S825&lt;=0.45,"Moderate Wind","Strong Wind")))</f>
        <v>Light Wind</v>
      </c>
      <c r="U825">
        <v>13</v>
      </c>
      <c r="V825">
        <v>65</v>
      </c>
      <c r="W825">
        <v>78</v>
      </c>
      <c r="X825" t="str">
        <f>IF(W825&lt;=75,"Low Demand",IF(W825&lt;=150,"Medium Demand",IF(W825&lt;=225,"High Demand","Very High Demand")))</f>
        <v>Medium Demand</v>
      </c>
    </row>
    <row r="826" spans="1:24" x14ac:dyDescent="0.25">
      <c r="A826">
        <v>825</v>
      </c>
      <c r="B826" s="2">
        <v>40580</v>
      </c>
      <c r="C826">
        <v>1</v>
      </c>
      <c r="D826">
        <v>0</v>
      </c>
      <c r="E826">
        <v>2</v>
      </c>
      <c r="F826">
        <v>19</v>
      </c>
      <c r="G826" t="str">
        <f>IF(F826&lt;6,"Night",IF(F826&lt;12,"Morning",IF(F826&lt;18,"Afternoon","Evening")))</f>
        <v>Evening</v>
      </c>
      <c r="H826">
        <v>0</v>
      </c>
      <c r="I826">
        <v>0</v>
      </c>
      <c r="J826" t="str">
        <f>CHOOSE(I826+1,"Monday","Tuesday","Wednesday","Thursday","Friday","Saturday","Sunday")</f>
        <v>Monday</v>
      </c>
      <c r="K826">
        <v>1</v>
      </c>
      <c r="L826" t="str">
        <f>CHOOSE(K826+1,"error","Clear","Misty","Rainy","Severe heater")</f>
        <v>Clear</v>
      </c>
      <c r="M826" s="1">
        <v>0.2</v>
      </c>
      <c r="N826" t="str">
        <f>IF(M826&lt;=0.2,"Low",IF(M826&lt;=0.4,"Mid","High"))</f>
        <v>Low</v>
      </c>
      <c r="O826" s="1">
        <v>0.2576</v>
      </c>
      <c r="P826" t="str">
        <f>IF(O826&lt;=0.15,"Very Cold",IF(O826&lt;=0.3,"Cold",IF(O826&lt;=0.45,"Pleasant","Hot")))</f>
        <v>Cold</v>
      </c>
      <c r="Q826">
        <v>0.61</v>
      </c>
      <c r="R826" t="str">
        <f>IF(Q826&lt;=0.25,"Low ",IF(Q826&lt;=0.5,"Moderate ",IF(Q826&lt;=0.75,"High ","Very High ")))</f>
        <v xml:space="preserve">High </v>
      </c>
      <c r="S826">
        <v>0.1343</v>
      </c>
      <c r="T826" t="str">
        <f>IF(S826&lt;=0.15,"Calm",IF(S826&lt;=0.3,"Light Wind",IF(S826&lt;=0.45,"Moderate Wind","Strong Wind")))</f>
        <v>Calm</v>
      </c>
      <c r="U826">
        <v>1</v>
      </c>
      <c r="V826">
        <v>20</v>
      </c>
      <c r="W826">
        <v>21</v>
      </c>
      <c r="X826" t="str">
        <f>IF(W826&lt;=75,"Low Demand",IF(W826&lt;=150,"Medium Demand",IF(W826&lt;=225,"High Demand","Very High Demand")))</f>
        <v>Low Demand</v>
      </c>
    </row>
    <row r="827" spans="1:24" x14ac:dyDescent="0.25">
      <c r="A827">
        <v>826</v>
      </c>
      <c r="B827" s="2">
        <v>40580</v>
      </c>
      <c r="C827">
        <v>1</v>
      </c>
      <c r="D827">
        <v>0</v>
      </c>
      <c r="E827">
        <v>2</v>
      </c>
      <c r="F827">
        <v>20</v>
      </c>
      <c r="G827" t="str">
        <f>IF(F827&lt;6,"Night",IF(F827&lt;12,"Morning",IF(F827&lt;18,"Afternoon","Evening")))</f>
        <v>Evening</v>
      </c>
      <c r="H827">
        <v>0</v>
      </c>
      <c r="I827">
        <v>0</v>
      </c>
      <c r="J827" t="str">
        <f>CHOOSE(I827+1,"Monday","Tuesday","Wednesday","Thursday","Friday","Saturday","Sunday")</f>
        <v>Monday</v>
      </c>
      <c r="K827">
        <v>1</v>
      </c>
      <c r="L827" t="str">
        <f>CHOOSE(K827+1,"error","Clear","Misty","Rainy","Severe heater")</f>
        <v>Clear</v>
      </c>
      <c r="M827" s="1">
        <v>0.2</v>
      </c>
      <c r="N827" t="str">
        <f>IF(M827&lt;=0.2,"Low",IF(M827&lt;=0.4,"Mid","High"))</f>
        <v>Low</v>
      </c>
      <c r="O827" s="1">
        <v>0.2576</v>
      </c>
      <c r="P827" t="str">
        <f>IF(O827&lt;=0.15,"Very Cold",IF(O827&lt;=0.3,"Cold",IF(O827&lt;=0.45,"Pleasant","Hot")))</f>
        <v>Cold</v>
      </c>
      <c r="Q827">
        <v>0.61</v>
      </c>
      <c r="R827" t="str">
        <f>IF(Q827&lt;=0.25,"Low ",IF(Q827&lt;=0.5,"Moderate ",IF(Q827&lt;=0.75,"High ","Very High ")))</f>
        <v xml:space="preserve">High </v>
      </c>
      <c r="S827">
        <v>0.1045</v>
      </c>
      <c r="T827" t="str">
        <f>IF(S827&lt;=0.15,"Calm",IF(S827&lt;=0.3,"Light Wind",IF(S827&lt;=0.45,"Moderate Wind","Strong Wind")))</f>
        <v>Calm</v>
      </c>
      <c r="U827">
        <v>5</v>
      </c>
      <c r="V827">
        <v>21</v>
      </c>
      <c r="W827">
        <v>26</v>
      </c>
      <c r="X827" t="str">
        <f>IF(W827&lt;=75,"Low Demand",IF(W827&lt;=150,"Medium Demand",IF(W827&lt;=225,"High Demand","Very High Demand")))</f>
        <v>Low Demand</v>
      </c>
    </row>
    <row r="828" spans="1:24" x14ac:dyDescent="0.25">
      <c r="A828">
        <v>827</v>
      </c>
      <c r="B828" s="2">
        <v>40580</v>
      </c>
      <c r="C828">
        <v>1</v>
      </c>
      <c r="D828">
        <v>0</v>
      </c>
      <c r="E828">
        <v>2</v>
      </c>
      <c r="F828">
        <v>21</v>
      </c>
      <c r="G828" t="str">
        <f>IF(F828&lt;6,"Night",IF(F828&lt;12,"Morning",IF(F828&lt;18,"Afternoon","Evening")))</f>
        <v>Evening</v>
      </c>
      <c r="H828">
        <v>0</v>
      </c>
      <c r="I828">
        <v>0</v>
      </c>
      <c r="J828" t="str">
        <f>CHOOSE(I828+1,"Monday","Tuesday","Wednesday","Thursday","Friday","Saturday","Sunday")</f>
        <v>Monday</v>
      </c>
      <c r="K828">
        <v>1</v>
      </c>
      <c r="L828" t="str">
        <f>CHOOSE(K828+1,"error","Clear","Misty","Rainy","Severe heater")</f>
        <v>Clear</v>
      </c>
      <c r="M828" s="1">
        <v>0.18</v>
      </c>
      <c r="N828" t="str">
        <f>IF(M828&lt;=0.2,"Low",IF(M828&lt;=0.4,"Mid","High"))</f>
        <v>Low</v>
      </c>
      <c r="O828" s="1">
        <v>0.2424</v>
      </c>
      <c r="P828" t="str">
        <f>IF(O828&lt;=0.15,"Very Cold",IF(O828&lt;=0.3,"Cold",IF(O828&lt;=0.45,"Pleasant","Hot")))</f>
        <v>Cold</v>
      </c>
      <c r="Q828">
        <v>0.6</v>
      </c>
      <c r="R828" t="str">
        <f>IF(Q828&lt;=0.25,"Low ",IF(Q828&lt;=0.5,"Moderate ",IF(Q828&lt;=0.75,"High ","Very High ")))</f>
        <v xml:space="preserve">High </v>
      </c>
      <c r="S828">
        <v>0</v>
      </c>
      <c r="T828" t="str">
        <f>IF(S828&lt;=0.15,"Calm",IF(S828&lt;=0.3,"Light Wind",IF(S828&lt;=0.45,"Moderate Wind","Strong Wind")))</f>
        <v>Calm</v>
      </c>
      <c r="U828">
        <v>5</v>
      </c>
      <c r="V828">
        <v>22</v>
      </c>
      <c r="W828">
        <v>27</v>
      </c>
      <c r="X828" t="str">
        <f>IF(W828&lt;=75,"Low Demand",IF(W828&lt;=150,"Medium Demand",IF(W828&lt;=225,"High Demand","Very High Demand")))</f>
        <v>Low Demand</v>
      </c>
    </row>
    <row r="829" spans="1:24" x14ac:dyDescent="0.25">
      <c r="A829">
        <v>828</v>
      </c>
      <c r="B829" s="2">
        <v>40580</v>
      </c>
      <c r="C829">
        <v>1</v>
      </c>
      <c r="D829">
        <v>0</v>
      </c>
      <c r="E829">
        <v>2</v>
      </c>
      <c r="F829">
        <v>22</v>
      </c>
      <c r="G829" t="str">
        <f>IF(F829&lt;6,"Night",IF(F829&lt;12,"Morning",IF(F829&lt;18,"Afternoon","Evening")))</f>
        <v>Evening</v>
      </c>
      <c r="H829">
        <v>0</v>
      </c>
      <c r="I829">
        <v>0</v>
      </c>
      <c r="J829" t="str">
        <f>CHOOSE(I829+1,"Monday","Tuesday","Wednesday","Thursday","Friday","Saturday","Sunday")</f>
        <v>Monday</v>
      </c>
      <c r="K829">
        <v>1</v>
      </c>
      <c r="L829" t="str">
        <f>CHOOSE(K829+1,"error","Clear","Misty","Rainy","Severe heater")</f>
        <v>Clear</v>
      </c>
      <c r="M829" s="1">
        <v>0.18</v>
      </c>
      <c r="N829" t="str">
        <f>IF(M829&lt;=0.2,"Low",IF(M829&lt;=0.4,"Mid","High"))</f>
        <v>Low</v>
      </c>
      <c r="O829" s="1">
        <v>0.2424</v>
      </c>
      <c r="P829" t="str">
        <f>IF(O829&lt;=0.15,"Very Cold",IF(O829&lt;=0.3,"Cold",IF(O829&lt;=0.45,"Pleasant","Hot")))</f>
        <v>Cold</v>
      </c>
      <c r="Q829">
        <v>0.6</v>
      </c>
      <c r="R829" t="str">
        <f>IF(Q829&lt;=0.25,"Low ",IF(Q829&lt;=0.5,"Moderate ",IF(Q829&lt;=0.75,"High ","Very High ")))</f>
        <v xml:space="preserve">High </v>
      </c>
      <c r="S829">
        <v>0</v>
      </c>
      <c r="T829" t="str">
        <f>IF(S829&lt;=0.15,"Calm",IF(S829&lt;=0.3,"Light Wind",IF(S829&lt;=0.45,"Moderate Wind","Strong Wind")))</f>
        <v>Calm</v>
      </c>
      <c r="U829">
        <v>5</v>
      </c>
      <c r="V829">
        <v>57</v>
      </c>
      <c r="W829">
        <v>62</v>
      </c>
      <c r="X829" t="str">
        <f>IF(W829&lt;=75,"Low Demand",IF(W829&lt;=150,"Medium Demand",IF(W829&lt;=225,"High Demand","Very High Demand")))</f>
        <v>Low Demand</v>
      </c>
    </row>
    <row r="830" spans="1:24" x14ac:dyDescent="0.25">
      <c r="A830">
        <v>829</v>
      </c>
      <c r="B830" s="2">
        <v>40580</v>
      </c>
      <c r="C830">
        <v>1</v>
      </c>
      <c r="D830">
        <v>0</v>
      </c>
      <c r="E830">
        <v>2</v>
      </c>
      <c r="F830">
        <v>23</v>
      </c>
      <c r="G830" t="str">
        <f>IF(F830&lt;6,"Night",IF(F830&lt;12,"Morning",IF(F830&lt;18,"Afternoon","Evening")))</f>
        <v>Evening</v>
      </c>
      <c r="H830">
        <v>0</v>
      </c>
      <c r="I830">
        <v>0</v>
      </c>
      <c r="J830" t="str">
        <f>CHOOSE(I830+1,"Monday","Tuesday","Wednesday","Thursday","Friday","Saturday","Sunday")</f>
        <v>Monday</v>
      </c>
      <c r="K830">
        <v>1</v>
      </c>
      <c r="L830" t="str">
        <f>CHOOSE(K830+1,"error","Clear","Misty","Rainy","Severe heater")</f>
        <v>Clear</v>
      </c>
      <c r="M830" s="1">
        <v>0.16</v>
      </c>
      <c r="N830" t="str">
        <f>IF(M830&lt;=0.2,"Low",IF(M830&lt;=0.4,"Mid","High"))</f>
        <v>Low</v>
      </c>
      <c r="O830" s="1">
        <v>0.2273</v>
      </c>
      <c r="P830" t="str">
        <f>IF(O830&lt;=0.15,"Very Cold",IF(O830&lt;=0.3,"Cold",IF(O830&lt;=0.45,"Pleasant","Hot")))</f>
        <v>Cold</v>
      </c>
      <c r="Q830">
        <v>0.65</v>
      </c>
      <c r="R830" t="str">
        <f>IF(Q830&lt;=0.25,"Low ",IF(Q830&lt;=0.5,"Moderate ",IF(Q830&lt;=0.75,"High ","Very High ")))</f>
        <v xml:space="preserve">High </v>
      </c>
      <c r="S830">
        <v>0</v>
      </c>
      <c r="T830" t="str">
        <f>IF(S830&lt;=0.15,"Calm",IF(S830&lt;=0.3,"Light Wind",IF(S830&lt;=0.45,"Moderate Wind","Strong Wind")))</f>
        <v>Calm</v>
      </c>
      <c r="U830">
        <v>4</v>
      </c>
      <c r="V830">
        <v>26</v>
      </c>
      <c r="W830">
        <v>30</v>
      </c>
      <c r="X830" t="str">
        <f>IF(W830&lt;=75,"Low Demand",IF(W830&lt;=150,"Medium Demand",IF(W830&lt;=225,"High Demand","Very High Demand")))</f>
        <v>Low Demand</v>
      </c>
    </row>
    <row r="831" spans="1:24" x14ac:dyDescent="0.25">
      <c r="A831">
        <v>830</v>
      </c>
      <c r="B831" s="2">
        <v>40581</v>
      </c>
      <c r="C831">
        <v>1</v>
      </c>
      <c r="D831">
        <v>0</v>
      </c>
      <c r="E831">
        <v>2</v>
      </c>
      <c r="F831">
        <v>0</v>
      </c>
      <c r="G831" t="str">
        <f>IF(F831&lt;6,"Night",IF(F831&lt;12,"Morning",IF(F831&lt;18,"Afternoon","Evening")))</f>
        <v>Night</v>
      </c>
      <c r="H831">
        <v>0</v>
      </c>
      <c r="I831">
        <v>1</v>
      </c>
      <c r="J831" t="str">
        <f>CHOOSE(I831+1,"Monday","Tuesday","Wednesday","Thursday","Friday","Saturday","Sunday")</f>
        <v>Tuesday</v>
      </c>
      <c r="K831">
        <v>1</v>
      </c>
      <c r="L831" t="str">
        <f>CHOOSE(K831+1,"error","Clear","Misty","Rainy","Severe heater")</f>
        <v>Clear</v>
      </c>
      <c r="M831" s="1">
        <v>0.22</v>
      </c>
      <c r="N831" t="str">
        <f>IF(M831&lt;=0.2,"Low",IF(M831&lt;=0.4,"Mid","High"))</f>
        <v>Mid</v>
      </c>
      <c r="O831" s="1">
        <v>0.2727</v>
      </c>
      <c r="P831" t="str">
        <f>IF(O831&lt;=0.15,"Very Cold",IF(O831&lt;=0.3,"Cold",IF(O831&lt;=0.45,"Pleasant","Hot")))</f>
        <v>Cold</v>
      </c>
      <c r="Q831">
        <v>0.65</v>
      </c>
      <c r="R831" t="str">
        <f>IF(Q831&lt;=0.25,"Low ",IF(Q831&lt;=0.5,"Moderate ",IF(Q831&lt;=0.75,"High ","Very High ")))</f>
        <v xml:space="preserve">High </v>
      </c>
      <c r="S831">
        <v>0</v>
      </c>
      <c r="T831" t="str">
        <f>IF(S831&lt;=0.15,"Calm",IF(S831&lt;=0.3,"Light Wind",IF(S831&lt;=0.45,"Moderate Wind","Strong Wind")))</f>
        <v>Calm</v>
      </c>
      <c r="U831">
        <v>1</v>
      </c>
      <c r="V831">
        <v>14</v>
      </c>
      <c r="W831">
        <v>15</v>
      </c>
      <c r="X831" t="str">
        <f>IF(W831&lt;=75,"Low Demand",IF(W831&lt;=150,"Medium Demand",IF(W831&lt;=225,"High Demand","Very High Demand")))</f>
        <v>Low Demand</v>
      </c>
    </row>
    <row r="832" spans="1:24" x14ac:dyDescent="0.25">
      <c r="A832">
        <v>831</v>
      </c>
      <c r="B832" s="2">
        <v>40581</v>
      </c>
      <c r="C832">
        <v>1</v>
      </c>
      <c r="D832">
        <v>0</v>
      </c>
      <c r="E832">
        <v>2</v>
      </c>
      <c r="F832">
        <v>1</v>
      </c>
      <c r="G832" t="str">
        <f>IF(F832&lt;6,"Night",IF(F832&lt;12,"Morning",IF(F832&lt;18,"Afternoon","Evening")))</f>
        <v>Night</v>
      </c>
      <c r="H832">
        <v>0</v>
      </c>
      <c r="I832">
        <v>1</v>
      </c>
      <c r="J832" t="str">
        <f>CHOOSE(I832+1,"Monday","Tuesday","Wednesday","Thursday","Friday","Saturday","Sunday")</f>
        <v>Tuesday</v>
      </c>
      <c r="K832">
        <v>1</v>
      </c>
      <c r="L832" t="str">
        <f>CHOOSE(K832+1,"error","Clear","Misty","Rainy","Severe heater")</f>
        <v>Clear</v>
      </c>
      <c r="M832" s="1">
        <v>0.24</v>
      </c>
      <c r="N832" t="str">
        <f>IF(M832&lt;=0.2,"Low",IF(M832&lt;=0.4,"Mid","High"))</f>
        <v>Mid</v>
      </c>
      <c r="O832" s="1">
        <v>0.2576</v>
      </c>
      <c r="P832" t="str">
        <f>IF(O832&lt;=0.15,"Very Cold",IF(O832&lt;=0.3,"Cold",IF(O832&lt;=0.45,"Pleasant","Hot")))</f>
        <v>Cold</v>
      </c>
      <c r="Q832">
        <v>0.75</v>
      </c>
      <c r="R832" t="str">
        <f>IF(Q832&lt;=0.25,"Low ",IF(Q832&lt;=0.5,"Moderate ",IF(Q832&lt;=0.75,"High ","Very High ")))</f>
        <v xml:space="preserve">High </v>
      </c>
      <c r="S832">
        <v>0</v>
      </c>
      <c r="T832" t="str">
        <f>IF(S832&lt;=0.15,"Calm",IF(S832&lt;=0.3,"Light Wind",IF(S832&lt;=0.45,"Moderate Wind","Strong Wind")))</f>
        <v>Calm</v>
      </c>
      <c r="U832">
        <v>1</v>
      </c>
      <c r="V832">
        <v>4</v>
      </c>
      <c r="W832">
        <v>5</v>
      </c>
      <c r="X832" t="str">
        <f>IF(W832&lt;=75,"Low Demand",IF(W832&lt;=150,"Medium Demand",IF(W832&lt;=225,"High Demand","Very High Demand")))</f>
        <v>Low Demand</v>
      </c>
    </row>
    <row r="833" spans="1:24" x14ac:dyDescent="0.25">
      <c r="A833">
        <v>832</v>
      </c>
      <c r="B833" s="2">
        <v>40581</v>
      </c>
      <c r="C833">
        <v>1</v>
      </c>
      <c r="D833">
        <v>0</v>
      </c>
      <c r="E833">
        <v>2</v>
      </c>
      <c r="F833">
        <v>2</v>
      </c>
      <c r="G833" t="str">
        <f>IF(F833&lt;6,"Night",IF(F833&lt;12,"Morning",IF(F833&lt;18,"Afternoon","Evening")))</f>
        <v>Night</v>
      </c>
      <c r="H833">
        <v>0</v>
      </c>
      <c r="I833">
        <v>1</v>
      </c>
      <c r="J833" t="str">
        <f>CHOOSE(I833+1,"Monday","Tuesday","Wednesday","Thursday","Friday","Saturday","Sunday")</f>
        <v>Tuesday</v>
      </c>
      <c r="K833">
        <v>1</v>
      </c>
      <c r="L833" t="str">
        <f>CHOOSE(K833+1,"error","Clear","Misty","Rainy","Severe heater")</f>
        <v>Clear</v>
      </c>
      <c r="M833" s="1">
        <v>0.3</v>
      </c>
      <c r="N833" t="str">
        <f>IF(M833&lt;=0.2,"Low",IF(M833&lt;=0.4,"Mid","High"))</f>
        <v>Mid</v>
      </c>
      <c r="O833" s="1">
        <v>0.31819999999999998</v>
      </c>
      <c r="P833" t="str">
        <f>IF(O833&lt;=0.15,"Very Cold",IF(O833&lt;=0.3,"Cold",IF(O833&lt;=0.45,"Pleasant","Hot")))</f>
        <v>Pleasant</v>
      </c>
      <c r="Q833">
        <v>0.8</v>
      </c>
      <c r="R833" t="str">
        <f>IF(Q833&lt;=0.25,"Low ",IF(Q833&lt;=0.5,"Moderate ",IF(Q833&lt;=0.75,"High ","Very High ")))</f>
        <v xml:space="preserve">Very High </v>
      </c>
      <c r="S833">
        <v>0</v>
      </c>
      <c r="T833" t="str">
        <f>IF(S833&lt;=0.15,"Calm",IF(S833&lt;=0.3,"Light Wind",IF(S833&lt;=0.45,"Moderate Wind","Strong Wind")))</f>
        <v>Calm</v>
      </c>
      <c r="U833">
        <v>0</v>
      </c>
      <c r="V833">
        <v>3</v>
      </c>
      <c r="W833">
        <v>3</v>
      </c>
      <c r="X833" t="str">
        <f>IF(W833&lt;=75,"Low Demand",IF(W833&lt;=150,"Medium Demand",IF(W833&lt;=225,"High Demand","Very High Demand")))</f>
        <v>Low Demand</v>
      </c>
    </row>
    <row r="834" spans="1:24" x14ac:dyDescent="0.25">
      <c r="A834">
        <v>833</v>
      </c>
      <c r="B834" s="2">
        <v>40581</v>
      </c>
      <c r="C834">
        <v>1</v>
      </c>
      <c r="D834">
        <v>0</v>
      </c>
      <c r="E834">
        <v>2</v>
      </c>
      <c r="F834">
        <v>3</v>
      </c>
      <c r="G834" t="str">
        <f>IF(F834&lt;6,"Night",IF(F834&lt;12,"Morning",IF(F834&lt;18,"Afternoon","Evening")))</f>
        <v>Night</v>
      </c>
      <c r="H834">
        <v>0</v>
      </c>
      <c r="I834">
        <v>1</v>
      </c>
      <c r="J834" t="str">
        <f>CHOOSE(I834+1,"Monday","Tuesday","Wednesday","Thursday","Friday","Saturday","Sunday")</f>
        <v>Tuesday</v>
      </c>
      <c r="K834">
        <v>1</v>
      </c>
      <c r="L834" t="str">
        <f>CHOOSE(K834+1,"error","Clear","Misty","Rainy","Severe heater")</f>
        <v>Clear</v>
      </c>
      <c r="M834" s="1">
        <v>0.32</v>
      </c>
      <c r="N834" t="str">
        <f>IF(M834&lt;=0.2,"Low",IF(M834&lt;=0.4,"Mid","High"))</f>
        <v>Mid</v>
      </c>
      <c r="O834" s="1">
        <v>0.34849999999999998</v>
      </c>
      <c r="P834" t="str">
        <f>IF(O834&lt;=0.15,"Very Cold",IF(O834&lt;=0.3,"Cold",IF(O834&lt;=0.45,"Pleasant","Hot")))</f>
        <v>Pleasant</v>
      </c>
      <c r="Q834">
        <v>0.86</v>
      </c>
      <c r="R834" t="str">
        <f>IF(Q834&lt;=0.25,"Low ",IF(Q834&lt;=0.5,"Moderate ",IF(Q834&lt;=0.75,"High ","Very High ")))</f>
        <v xml:space="preserve">Very High </v>
      </c>
      <c r="S834">
        <v>0</v>
      </c>
      <c r="T834" t="str">
        <f>IF(S834&lt;=0.15,"Calm",IF(S834&lt;=0.3,"Light Wind",IF(S834&lt;=0.45,"Moderate Wind","Strong Wind")))</f>
        <v>Calm</v>
      </c>
      <c r="U834">
        <v>0</v>
      </c>
      <c r="V834">
        <v>1</v>
      </c>
      <c r="W834">
        <v>1</v>
      </c>
      <c r="X834" t="str">
        <f>IF(W834&lt;=75,"Low Demand",IF(W834&lt;=150,"Medium Demand",IF(W834&lt;=225,"High Demand","Very High Demand")))</f>
        <v>Low Demand</v>
      </c>
    </row>
    <row r="835" spans="1:24" x14ac:dyDescent="0.25">
      <c r="A835">
        <v>834</v>
      </c>
      <c r="B835" s="2">
        <v>40581</v>
      </c>
      <c r="C835">
        <v>1</v>
      </c>
      <c r="D835">
        <v>0</v>
      </c>
      <c r="E835">
        <v>2</v>
      </c>
      <c r="F835">
        <v>4</v>
      </c>
      <c r="G835" t="str">
        <f>IF(F835&lt;6,"Night",IF(F835&lt;12,"Morning",IF(F835&lt;18,"Afternoon","Evening")))</f>
        <v>Night</v>
      </c>
      <c r="H835">
        <v>0</v>
      </c>
      <c r="I835">
        <v>1</v>
      </c>
      <c r="J835" t="str">
        <f>CHOOSE(I835+1,"Monday","Tuesday","Wednesday","Thursday","Friday","Saturday","Sunday")</f>
        <v>Tuesday</v>
      </c>
      <c r="K835">
        <v>1</v>
      </c>
      <c r="L835" t="str">
        <f>CHOOSE(K835+1,"error","Clear","Misty","Rainy","Severe heater")</f>
        <v>Clear</v>
      </c>
      <c r="M835" s="1">
        <v>0.36</v>
      </c>
      <c r="N835" t="str">
        <f>IF(M835&lt;=0.2,"Low",IF(M835&lt;=0.4,"Mid","High"))</f>
        <v>Mid</v>
      </c>
      <c r="O835" s="1">
        <v>0.36359999999999998</v>
      </c>
      <c r="P835" t="str">
        <f>IF(O835&lt;=0.15,"Very Cold",IF(O835&lt;=0.3,"Cold",IF(O835&lt;=0.45,"Pleasant","Hot")))</f>
        <v>Pleasant</v>
      </c>
      <c r="Q835">
        <v>0.86</v>
      </c>
      <c r="R835" t="str">
        <f>IF(Q835&lt;=0.25,"Low ",IF(Q835&lt;=0.5,"Moderate ",IF(Q835&lt;=0.75,"High ","Very High ")))</f>
        <v xml:space="preserve">Very High </v>
      </c>
      <c r="S835">
        <v>0</v>
      </c>
      <c r="T835" t="str">
        <f>IF(S835&lt;=0.15,"Calm",IF(S835&lt;=0.3,"Light Wind",IF(S835&lt;=0.45,"Moderate Wind","Strong Wind")))</f>
        <v>Calm</v>
      </c>
      <c r="U835">
        <v>1</v>
      </c>
      <c r="V835">
        <v>1</v>
      </c>
      <c r="W835">
        <v>2</v>
      </c>
      <c r="X835" t="str">
        <f>IF(W835&lt;=75,"Low Demand",IF(W835&lt;=150,"Medium Demand",IF(W835&lt;=225,"High Demand","Very High Demand")))</f>
        <v>Low Demand</v>
      </c>
    </row>
    <row r="836" spans="1:24" x14ac:dyDescent="0.25">
      <c r="A836">
        <v>835</v>
      </c>
      <c r="B836" s="2">
        <v>40581</v>
      </c>
      <c r="C836">
        <v>1</v>
      </c>
      <c r="D836">
        <v>0</v>
      </c>
      <c r="E836">
        <v>2</v>
      </c>
      <c r="F836">
        <v>5</v>
      </c>
      <c r="G836" t="str">
        <f>IF(F836&lt;6,"Night",IF(F836&lt;12,"Morning",IF(F836&lt;18,"Afternoon","Evening")))</f>
        <v>Night</v>
      </c>
      <c r="H836">
        <v>0</v>
      </c>
      <c r="I836">
        <v>1</v>
      </c>
      <c r="J836" t="str">
        <f>CHOOSE(I836+1,"Monday","Tuesday","Wednesday","Thursday","Friday","Saturday","Sunday")</f>
        <v>Tuesday</v>
      </c>
      <c r="K836">
        <v>1</v>
      </c>
      <c r="L836" t="str">
        <f>CHOOSE(K836+1,"error","Clear","Misty","Rainy","Severe heater")</f>
        <v>Clear</v>
      </c>
      <c r="M836" s="1">
        <v>0.36</v>
      </c>
      <c r="N836" t="str">
        <f>IF(M836&lt;=0.2,"Low",IF(M836&lt;=0.4,"Mid","High"))</f>
        <v>Mid</v>
      </c>
      <c r="O836" s="1">
        <v>0.36359999999999998</v>
      </c>
      <c r="P836" t="str">
        <f>IF(O836&lt;=0.15,"Very Cold",IF(O836&lt;=0.3,"Cold",IF(O836&lt;=0.45,"Pleasant","Hot")))</f>
        <v>Pleasant</v>
      </c>
      <c r="Q836">
        <v>0.86</v>
      </c>
      <c r="R836" t="str">
        <f>IF(Q836&lt;=0.25,"Low ",IF(Q836&lt;=0.5,"Moderate ",IF(Q836&lt;=0.75,"High ","Very High ")))</f>
        <v xml:space="preserve">Very High </v>
      </c>
      <c r="S836">
        <v>0</v>
      </c>
      <c r="T836" t="str">
        <f>IF(S836&lt;=0.15,"Calm",IF(S836&lt;=0.3,"Light Wind",IF(S836&lt;=0.45,"Moderate Wind","Strong Wind")))</f>
        <v>Calm</v>
      </c>
      <c r="U836">
        <v>1</v>
      </c>
      <c r="V836">
        <v>9</v>
      </c>
      <c r="W836">
        <v>10</v>
      </c>
      <c r="X836" t="str">
        <f>IF(W836&lt;=75,"Low Demand",IF(W836&lt;=150,"Medium Demand",IF(W836&lt;=225,"High Demand","Very High Demand")))</f>
        <v>Low Demand</v>
      </c>
    </row>
    <row r="837" spans="1:24" x14ac:dyDescent="0.25">
      <c r="A837">
        <v>836</v>
      </c>
      <c r="B837" s="2">
        <v>40581</v>
      </c>
      <c r="C837">
        <v>1</v>
      </c>
      <c r="D837">
        <v>0</v>
      </c>
      <c r="E837">
        <v>2</v>
      </c>
      <c r="F837">
        <v>6</v>
      </c>
      <c r="G837" t="str">
        <f>IF(F837&lt;6,"Night",IF(F837&lt;12,"Morning",IF(F837&lt;18,"Afternoon","Evening")))</f>
        <v>Morning</v>
      </c>
      <c r="H837">
        <v>0</v>
      </c>
      <c r="I837">
        <v>1</v>
      </c>
      <c r="J837" t="str">
        <f>CHOOSE(I837+1,"Monday","Tuesday","Wednesday","Thursday","Friday","Saturday","Sunday")</f>
        <v>Tuesday</v>
      </c>
      <c r="K837">
        <v>1</v>
      </c>
      <c r="L837" t="str">
        <f>CHOOSE(K837+1,"error","Clear","Misty","Rainy","Severe heater")</f>
        <v>Clear</v>
      </c>
      <c r="M837" s="1">
        <v>0.38</v>
      </c>
      <c r="N837" t="str">
        <f>IF(M837&lt;=0.2,"Low",IF(M837&lt;=0.4,"Mid","High"))</f>
        <v>Mid</v>
      </c>
      <c r="O837" s="1">
        <v>0.39389999999999997</v>
      </c>
      <c r="P837" t="str">
        <f>IF(O837&lt;=0.15,"Very Cold",IF(O837&lt;=0.3,"Cold",IF(O837&lt;=0.45,"Pleasant","Hot")))</f>
        <v>Pleasant</v>
      </c>
      <c r="Q837">
        <v>0.93</v>
      </c>
      <c r="R837" t="str">
        <f>IF(Q837&lt;=0.25,"Low ",IF(Q837&lt;=0.5,"Moderate ",IF(Q837&lt;=0.75,"High ","Very High ")))</f>
        <v xml:space="preserve">Very High </v>
      </c>
      <c r="S837">
        <v>0</v>
      </c>
      <c r="T837" t="str">
        <f>IF(S837&lt;=0.15,"Calm",IF(S837&lt;=0.3,"Light Wind",IF(S837&lt;=0.45,"Moderate Wind","Strong Wind")))</f>
        <v>Calm</v>
      </c>
      <c r="U837">
        <v>1</v>
      </c>
      <c r="V837">
        <v>29</v>
      </c>
      <c r="W837">
        <v>30</v>
      </c>
      <c r="X837" t="str">
        <f>IF(W837&lt;=75,"Low Demand",IF(W837&lt;=150,"Medium Demand",IF(W837&lt;=225,"High Demand","Very High Demand")))</f>
        <v>Low Demand</v>
      </c>
    </row>
    <row r="838" spans="1:24" x14ac:dyDescent="0.25">
      <c r="A838">
        <v>837</v>
      </c>
      <c r="B838" s="2">
        <v>40581</v>
      </c>
      <c r="C838">
        <v>1</v>
      </c>
      <c r="D838">
        <v>0</v>
      </c>
      <c r="E838">
        <v>2</v>
      </c>
      <c r="F838">
        <v>7</v>
      </c>
      <c r="G838" t="str">
        <f>IF(F838&lt;6,"Night",IF(F838&lt;12,"Morning",IF(F838&lt;18,"Afternoon","Evening")))</f>
        <v>Morning</v>
      </c>
      <c r="H838">
        <v>0</v>
      </c>
      <c r="I838">
        <v>1</v>
      </c>
      <c r="J838" t="str">
        <f>CHOOSE(I838+1,"Monday","Tuesday","Wednesday","Thursday","Friday","Saturday","Sunday")</f>
        <v>Tuesday</v>
      </c>
      <c r="K838">
        <v>1</v>
      </c>
      <c r="L838" t="str">
        <f>CHOOSE(K838+1,"error","Clear","Misty","Rainy","Severe heater")</f>
        <v>Clear</v>
      </c>
      <c r="M838" s="1">
        <v>0.36</v>
      </c>
      <c r="N838" t="str">
        <f>IF(M838&lt;=0.2,"Low",IF(M838&lt;=0.4,"Mid","High"))</f>
        <v>Mid</v>
      </c>
      <c r="O838" s="1">
        <v>0.34849999999999998</v>
      </c>
      <c r="P838" t="str">
        <f>IF(O838&lt;=0.15,"Very Cold",IF(O838&lt;=0.3,"Cold",IF(O838&lt;=0.45,"Pleasant","Hot")))</f>
        <v>Pleasant</v>
      </c>
      <c r="Q838">
        <v>0.86</v>
      </c>
      <c r="R838" t="str">
        <f>IF(Q838&lt;=0.25,"Low ",IF(Q838&lt;=0.5,"Moderate ",IF(Q838&lt;=0.75,"High ","Very High ")))</f>
        <v xml:space="preserve">Very High </v>
      </c>
      <c r="S838">
        <v>0</v>
      </c>
      <c r="T838" t="str">
        <f>IF(S838&lt;=0.15,"Calm",IF(S838&lt;=0.3,"Light Wind",IF(S838&lt;=0.45,"Moderate Wind","Strong Wind")))</f>
        <v>Calm</v>
      </c>
      <c r="U838">
        <v>6</v>
      </c>
      <c r="V838">
        <v>89</v>
      </c>
      <c r="W838">
        <v>95</v>
      </c>
      <c r="X838" t="str">
        <f>IF(W838&lt;=75,"Low Demand",IF(W838&lt;=150,"Medium Demand",IF(W838&lt;=225,"High Demand","Very High Demand")))</f>
        <v>Medium Demand</v>
      </c>
    </row>
    <row r="839" spans="1:24" x14ac:dyDescent="0.25">
      <c r="A839">
        <v>838</v>
      </c>
      <c r="B839" s="2">
        <v>40581</v>
      </c>
      <c r="C839">
        <v>1</v>
      </c>
      <c r="D839">
        <v>0</v>
      </c>
      <c r="E839">
        <v>2</v>
      </c>
      <c r="F839">
        <v>8</v>
      </c>
      <c r="G839" t="str">
        <f>IF(F839&lt;6,"Night",IF(F839&lt;12,"Morning",IF(F839&lt;18,"Afternoon","Evening")))</f>
        <v>Morning</v>
      </c>
      <c r="H839">
        <v>0</v>
      </c>
      <c r="I839">
        <v>1</v>
      </c>
      <c r="J839" t="str">
        <f>CHOOSE(I839+1,"Monday","Tuesday","Wednesday","Thursday","Friday","Saturday","Sunday")</f>
        <v>Tuesday</v>
      </c>
      <c r="K839">
        <v>2</v>
      </c>
      <c r="L839" t="str">
        <f>CHOOSE(K839+1,"error","Clear","Misty","Rainy","Severe heater")</f>
        <v>Misty</v>
      </c>
      <c r="M839" s="1">
        <v>0.32</v>
      </c>
      <c r="N839" t="str">
        <f>IF(M839&lt;=0.2,"Low",IF(M839&lt;=0.4,"Mid","High"))</f>
        <v>Mid</v>
      </c>
      <c r="O839" s="1">
        <v>0.31819999999999998</v>
      </c>
      <c r="P839" t="str">
        <f>IF(O839&lt;=0.15,"Very Cold",IF(O839&lt;=0.3,"Cold",IF(O839&lt;=0.45,"Pleasant","Hot")))</f>
        <v>Pleasant</v>
      </c>
      <c r="Q839">
        <v>1</v>
      </c>
      <c r="R839" t="str">
        <f>IF(Q839&lt;=0.25,"Low ",IF(Q839&lt;=0.5,"Moderate ",IF(Q839&lt;=0.75,"High ","Very High ")))</f>
        <v xml:space="preserve">Very High </v>
      </c>
      <c r="S839">
        <v>0</v>
      </c>
      <c r="T839" t="str">
        <f>IF(S839&lt;=0.15,"Calm",IF(S839&lt;=0.3,"Light Wind",IF(S839&lt;=0.45,"Moderate Wind","Strong Wind")))</f>
        <v>Calm</v>
      </c>
      <c r="U839">
        <v>7</v>
      </c>
      <c r="V839">
        <v>223</v>
      </c>
      <c r="W839">
        <v>230</v>
      </c>
      <c r="X839" t="str">
        <f>IF(W839&lt;=75,"Low Demand",IF(W839&lt;=150,"Medium Demand",IF(W839&lt;=225,"High Demand","Very High Demand")))</f>
        <v>Very High Demand</v>
      </c>
    </row>
    <row r="840" spans="1:24" x14ac:dyDescent="0.25">
      <c r="A840">
        <v>839</v>
      </c>
      <c r="B840" s="2">
        <v>40581</v>
      </c>
      <c r="C840">
        <v>1</v>
      </c>
      <c r="D840">
        <v>0</v>
      </c>
      <c r="E840">
        <v>2</v>
      </c>
      <c r="F840">
        <v>9</v>
      </c>
      <c r="G840" t="str">
        <f>IF(F840&lt;6,"Night",IF(F840&lt;12,"Morning",IF(F840&lt;18,"Afternoon","Evening")))</f>
        <v>Morning</v>
      </c>
      <c r="H840">
        <v>0</v>
      </c>
      <c r="I840">
        <v>1</v>
      </c>
      <c r="J840" t="str">
        <f>CHOOSE(I840+1,"Monday","Tuesday","Wednesday","Thursday","Friday","Saturday","Sunday")</f>
        <v>Tuesday</v>
      </c>
      <c r="K840">
        <v>1</v>
      </c>
      <c r="L840" t="str">
        <f>CHOOSE(K840+1,"error","Clear","Misty","Rainy","Severe heater")</f>
        <v>Clear</v>
      </c>
      <c r="M840" s="1">
        <v>0.34</v>
      </c>
      <c r="N840" t="str">
        <f>IF(M840&lt;=0.2,"Low",IF(M840&lt;=0.4,"Mid","High"))</f>
        <v>Mid</v>
      </c>
      <c r="O840" s="1">
        <v>0.33329999999999999</v>
      </c>
      <c r="P840" t="str">
        <f>IF(O840&lt;=0.15,"Very Cold",IF(O840&lt;=0.3,"Cold",IF(O840&lt;=0.45,"Pleasant","Hot")))</f>
        <v>Pleasant</v>
      </c>
      <c r="Q840">
        <v>0.8</v>
      </c>
      <c r="R840" t="str">
        <f>IF(Q840&lt;=0.25,"Low ",IF(Q840&lt;=0.5,"Moderate ",IF(Q840&lt;=0.75,"High ","Very High ")))</f>
        <v xml:space="preserve">Very High </v>
      </c>
      <c r="S840">
        <v>0</v>
      </c>
      <c r="T840" t="str">
        <f>IF(S840&lt;=0.15,"Calm",IF(S840&lt;=0.3,"Light Wind",IF(S840&lt;=0.45,"Moderate Wind","Strong Wind")))</f>
        <v>Calm</v>
      </c>
      <c r="U840">
        <v>3</v>
      </c>
      <c r="V840">
        <v>115</v>
      </c>
      <c r="W840">
        <v>118</v>
      </c>
      <c r="X840" t="str">
        <f>IF(W840&lt;=75,"Low Demand",IF(W840&lt;=150,"Medium Demand",IF(W840&lt;=225,"High Demand","Very High Demand")))</f>
        <v>Medium Demand</v>
      </c>
    </row>
    <row r="841" spans="1:24" x14ac:dyDescent="0.25">
      <c r="A841">
        <v>840</v>
      </c>
      <c r="B841" s="2">
        <v>40581</v>
      </c>
      <c r="C841">
        <v>1</v>
      </c>
      <c r="D841">
        <v>0</v>
      </c>
      <c r="E841">
        <v>2</v>
      </c>
      <c r="F841">
        <v>10</v>
      </c>
      <c r="G841" t="str">
        <f>IF(F841&lt;6,"Night",IF(F841&lt;12,"Morning",IF(F841&lt;18,"Afternoon","Evening")))</f>
        <v>Morning</v>
      </c>
      <c r="H841">
        <v>0</v>
      </c>
      <c r="I841">
        <v>1</v>
      </c>
      <c r="J841" t="str">
        <f>CHOOSE(I841+1,"Monday","Tuesday","Wednesday","Thursday","Friday","Saturday","Sunday")</f>
        <v>Tuesday</v>
      </c>
      <c r="K841">
        <v>1</v>
      </c>
      <c r="L841" t="str">
        <f>CHOOSE(K841+1,"error","Clear","Misty","Rainy","Severe heater")</f>
        <v>Clear</v>
      </c>
      <c r="M841" s="1">
        <v>0.32</v>
      </c>
      <c r="N841" t="str">
        <f>IF(M841&lt;=0.2,"Low",IF(M841&lt;=0.4,"Mid","High"))</f>
        <v>Mid</v>
      </c>
      <c r="O841" s="1">
        <v>0.34849999999999998</v>
      </c>
      <c r="P841" t="str">
        <f>IF(O841&lt;=0.15,"Very Cold",IF(O841&lt;=0.3,"Cold",IF(O841&lt;=0.45,"Pleasant","Hot")))</f>
        <v>Pleasant</v>
      </c>
      <c r="Q841">
        <v>0.75</v>
      </c>
      <c r="R841" t="str">
        <f>IF(Q841&lt;=0.25,"Low ",IF(Q841&lt;=0.5,"Moderate ",IF(Q841&lt;=0.75,"High ","Very High ")))</f>
        <v xml:space="preserve">High </v>
      </c>
      <c r="S841">
        <v>0.1045</v>
      </c>
      <c r="T841" t="str">
        <f>IF(S841&lt;=0.15,"Calm",IF(S841&lt;=0.3,"Light Wind",IF(S841&lt;=0.45,"Moderate Wind","Strong Wind")))</f>
        <v>Calm</v>
      </c>
      <c r="U841">
        <v>6</v>
      </c>
      <c r="V841">
        <v>49</v>
      </c>
      <c r="W841">
        <v>55</v>
      </c>
      <c r="X841" t="str">
        <f>IF(W841&lt;=75,"Low Demand",IF(W841&lt;=150,"Medium Demand",IF(W841&lt;=225,"High Demand","Very High Demand")))</f>
        <v>Low Demand</v>
      </c>
    </row>
    <row r="842" spans="1:24" x14ac:dyDescent="0.25">
      <c r="A842">
        <v>841</v>
      </c>
      <c r="B842" s="2">
        <v>40581</v>
      </c>
      <c r="C842">
        <v>1</v>
      </c>
      <c r="D842">
        <v>0</v>
      </c>
      <c r="E842">
        <v>2</v>
      </c>
      <c r="F842">
        <v>11</v>
      </c>
      <c r="G842" t="str">
        <f>IF(F842&lt;6,"Night",IF(F842&lt;12,"Morning",IF(F842&lt;18,"Afternoon","Evening")))</f>
        <v>Morning</v>
      </c>
      <c r="H842">
        <v>0</v>
      </c>
      <c r="I842">
        <v>1</v>
      </c>
      <c r="J842" t="str">
        <f>CHOOSE(I842+1,"Monday","Tuesday","Wednesday","Thursday","Friday","Saturday","Sunday")</f>
        <v>Tuesday</v>
      </c>
      <c r="K842">
        <v>1</v>
      </c>
      <c r="L842" t="str">
        <f>CHOOSE(K842+1,"error","Clear","Misty","Rainy","Severe heater")</f>
        <v>Clear</v>
      </c>
      <c r="M842" s="1">
        <v>0.32</v>
      </c>
      <c r="N842" t="str">
        <f>IF(M842&lt;=0.2,"Low",IF(M842&lt;=0.4,"Mid","High"))</f>
        <v>Mid</v>
      </c>
      <c r="O842" s="1">
        <v>0.33329999999999999</v>
      </c>
      <c r="P842" t="str">
        <f>IF(O842&lt;=0.15,"Very Cold",IF(O842&lt;=0.3,"Cold",IF(O842&lt;=0.45,"Pleasant","Hot")))</f>
        <v>Pleasant</v>
      </c>
      <c r="Q842">
        <v>0.65</v>
      </c>
      <c r="R842" t="str">
        <f>IF(Q842&lt;=0.25,"Low ",IF(Q842&lt;=0.5,"Moderate ",IF(Q842&lt;=0.75,"High ","Very High ")))</f>
        <v xml:space="preserve">High </v>
      </c>
      <c r="S842">
        <v>8.9599999999999999E-2</v>
      </c>
      <c r="T842" t="str">
        <f>IF(S842&lt;=0.15,"Calm",IF(S842&lt;=0.3,"Light Wind",IF(S842&lt;=0.45,"Moderate Wind","Strong Wind")))</f>
        <v>Calm</v>
      </c>
      <c r="U842">
        <v>11</v>
      </c>
      <c r="V842">
        <v>36</v>
      </c>
      <c r="W842">
        <v>47</v>
      </c>
      <c r="X842" t="str">
        <f>IF(W842&lt;=75,"Low Demand",IF(W842&lt;=150,"Medium Demand",IF(W842&lt;=225,"High Demand","Very High Demand")))</f>
        <v>Low Demand</v>
      </c>
    </row>
    <row r="843" spans="1:24" x14ac:dyDescent="0.25">
      <c r="A843">
        <v>842</v>
      </c>
      <c r="B843" s="2">
        <v>40581</v>
      </c>
      <c r="C843">
        <v>1</v>
      </c>
      <c r="D843">
        <v>0</v>
      </c>
      <c r="E843">
        <v>2</v>
      </c>
      <c r="F843">
        <v>12</v>
      </c>
      <c r="G843" t="str">
        <f>IF(F843&lt;6,"Night",IF(F843&lt;12,"Morning",IF(F843&lt;18,"Afternoon","Evening")))</f>
        <v>Afternoon</v>
      </c>
      <c r="H843">
        <v>0</v>
      </c>
      <c r="I843">
        <v>1</v>
      </c>
      <c r="J843" t="str">
        <f>CHOOSE(I843+1,"Monday","Tuesday","Wednesday","Thursday","Friday","Saturday","Sunday")</f>
        <v>Tuesday</v>
      </c>
      <c r="K843">
        <v>2</v>
      </c>
      <c r="L843" t="str">
        <f>CHOOSE(K843+1,"error","Clear","Misty","Rainy","Severe heater")</f>
        <v>Misty</v>
      </c>
      <c r="M843" s="1">
        <v>0.32</v>
      </c>
      <c r="N843" t="str">
        <f>IF(M843&lt;=0.2,"Low",IF(M843&lt;=0.4,"Mid","High"))</f>
        <v>Mid</v>
      </c>
      <c r="O843" s="1">
        <v>0.34849999999999998</v>
      </c>
      <c r="P843" t="str">
        <f>IF(O843&lt;=0.15,"Very Cold",IF(O843&lt;=0.3,"Cold",IF(O843&lt;=0.45,"Pleasant","Hot")))</f>
        <v>Pleasant</v>
      </c>
      <c r="Q843">
        <v>0.62</v>
      </c>
      <c r="R843" t="str">
        <f>IF(Q843&lt;=0.25,"Low ",IF(Q843&lt;=0.5,"Moderate ",IF(Q843&lt;=0.75,"High ","Very High ")))</f>
        <v xml:space="preserve">High </v>
      </c>
      <c r="S843">
        <v>0</v>
      </c>
      <c r="T843" t="str">
        <f>IF(S843&lt;=0.15,"Calm",IF(S843&lt;=0.3,"Light Wind",IF(S843&lt;=0.45,"Moderate Wind","Strong Wind")))</f>
        <v>Calm</v>
      </c>
      <c r="U843">
        <v>7</v>
      </c>
      <c r="V843">
        <v>59</v>
      </c>
      <c r="W843">
        <v>66</v>
      </c>
      <c r="X843" t="str">
        <f>IF(W843&lt;=75,"Low Demand",IF(W843&lt;=150,"Medium Demand",IF(W843&lt;=225,"High Demand","Very High Demand")))</f>
        <v>Low Demand</v>
      </c>
    </row>
    <row r="844" spans="1:24" x14ac:dyDescent="0.25">
      <c r="A844">
        <v>843</v>
      </c>
      <c r="B844" s="2">
        <v>40581</v>
      </c>
      <c r="C844">
        <v>1</v>
      </c>
      <c r="D844">
        <v>0</v>
      </c>
      <c r="E844">
        <v>2</v>
      </c>
      <c r="F844">
        <v>13</v>
      </c>
      <c r="G844" t="str">
        <f>IF(F844&lt;6,"Night",IF(F844&lt;12,"Morning",IF(F844&lt;18,"Afternoon","Evening")))</f>
        <v>Afternoon</v>
      </c>
      <c r="H844">
        <v>0</v>
      </c>
      <c r="I844">
        <v>1</v>
      </c>
      <c r="J844" t="str">
        <f>CHOOSE(I844+1,"Monday","Tuesday","Wednesday","Thursday","Friday","Saturday","Sunday")</f>
        <v>Tuesday</v>
      </c>
      <c r="K844">
        <v>2</v>
      </c>
      <c r="L844" t="str">
        <f>CHOOSE(K844+1,"error","Clear","Misty","Rainy","Severe heater")</f>
        <v>Misty</v>
      </c>
      <c r="M844" s="1">
        <v>0.28000000000000003</v>
      </c>
      <c r="N844" t="str">
        <f>IF(M844&lt;=0.2,"Low",IF(M844&lt;=0.4,"Mid","High"))</f>
        <v>Mid</v>
      </c>
      <c r="O844" s="1">
        <v>0.30299999999999999</v>
      </c>
      <c r="P844" t="str">
        <f>IF(O844&lt;=0.15,"Very Cold",IF(O844&lt;=0.3,"Cold",IF(O844&lt;=0.45,"Pleasant","Hot")))</f>
        <v>Pleasant</v>
      </c>
      <c r="Q844">
        <v>0.56999999999999995</v>
      </c>
      <c r="R844" t="str">
        <f>IF(Q844&lt;=0.25,"Low ",IF(Q844&lt;=0.5,"Moderate ",IF(Q844&lt;=0.75,"High ","Very High ")))</f>
        <v xml:space="preserve">High </v>
      </c>
      <c r="S844">
        <v>8.9599999999999999E-2</v>
      </c>
      <c r="T844" t="str">
        <f>IF(S844&lt;=0.15,"Calm",IF(S844&lt;=0.3,"Light Wind",IF(S844&lt;=0.45,"Moderate Wind","Strong Wind")))</f>
        <v>Calm</v>
      </c>
      <c r="U844">
        <v>10</v>
      </c>
      <c r="V844">
        <v>54</v>
      </c>
      <c r="W844">
        <v>64</v>
      </c>
      <c r="X844" t="str">
        <f>IF(W844&lt;=75,"Low Demand",IF(W844&lt;=150,"Medium Demand",IF(W844&lt;=225,"High Demand","Very High Demand")))</f>
        <v>Low Demand</v>
      </c>
    </row>
    <row r="845" spans="1:24" x14ac:dyDescent="0.25">
      <c r="A845">
        <v>844</v>
      </c>
      <c r="B845" s="2">
        <v>40581</v>
      </c>
      <c r="C845">
        <v>1</v>
      </c>
      <c r="D845">
        <v>0</v>
      </c>
      <c r="E845">
        <v>2</v>
      </c>
      <c r="F845">
        <v>14</v>
      </c>
      <c r="G845" t="str">
        <f>IF(F845&lt;6,"Night",IF(F845&lt;12,"Morning",IF(F845&lt;18,"Afternoon","Evening")))</f>
        <v>Afternoon</v>
      </c>
      <c r="H845">
        <v>0</v>
      </c>
      <c r="I845">
        <v>1</v>
      </c>
      <c r="J845" t="str">
        <f>CHOOSE(I845+1,"Monday","Tuesday","Wednesday","Thursday","Friday","Saturday","Sunday")</f>
        <v>Tuesday</v>
      </c>
      <c r="K845">
        <v>2</v>
      </c>
      <c r="L845" t="str">
        <f>CHOOSE(K845+1,"error","Clear","Misty","Rainy","Severe heater")</f>
        <v>Misty</v>
      </c>
      <c r="M845" s="1">
        <v>0.3</v>
      </c>
      <c r="N845" t="str">
        <f>IF(M845&lt;=0.2,"Low",IF(M845&lt;=0.4,"Mid","High"))</f>
        <v>Mid</v>
      </c>
      <c r="O845" s="1">
        <v>0.33329999999999999</v>
      </c>
      <c r="P845" t="str">
        <f>IF(O845&lt;=0.15,"Very Cold",IF(O845&lt;=0.3,"Cold",IF(O845&lt;=0.45,"Pleasant","Hot")))</f>
        <v>Pleasant</v>
      </c>
      <c r="Q845">
        <v>0.56999999999999995</v>
      </c>
      <c r="R845" t="str">
        <f>IF(Q845&lt;=0.25,"Low ",IF(Q845&lt;=0.5,"Moderate ",IF(Q845&lt;=0.75,"High ","Very High ")))</f>
        <v xml:space="preserve">High </v>
      </c>
      <c r="S845">
        <v>8.9599999999999999E-2</v>
      </c>
      <c r="T845" t="str">
        <f>IF(S845&lt;=0.15,"Calm",IF(S845&lt;=0.3,"Light Wind",IF(S845&lt;=0.45,"Moderate Wind","Strong Wind")))</f>
        <v>Calm</v>
      </c>
      <c r="U845">
        <v>8</v>
      </c>
      <c r="V845">
        <v>52</v>
      </c>
      <c r="W845">
        <v>60</v>
      </c>
      <c r="X845" t="str">
        <f>IF(W845&lt;=75,"Low Demand",IF(W845&lt;=150,"Medium Demand",IF(W845&lt;=225,"High Demand","Very High Demand")))</f>
        <v>Low Demand</v>
      </c>
    </row>
    <row r="846" spans="1:24" x14ac:dyDescent="0.25">
      <c r="A846">
        <v>845</v>
      </c>
      <c r="B846" s="2">
        <v>40581</v>
      </c>
      <c r="C846">
        <v>1</v>
      </c>
      <c r="D846">
        <v>0</v>
      </c>
      <c r="E846">
        <v>2</v>
      </c>
      <c r="F846">
        <v>15</v>
      </c>
      <c r="G846" t="str">
        <f>IF(F846&lt;6,"Night",IF(F846&lt;12,"Morning",IF(F846&lt;18,"Afternoon","Evening")))</f>
        <v>Afternoon</v>
      </c>
      <c r="H846">
        <v>0</v>
      </c>
      <c r="I846">
        <v>1</v>
      </c>
      <c r="J846" t="str">
        <f>CHOOSE(I846+1,"Monday","Tuesday","Wednesday","Thursday","Friday","Saturday","Sunday")</f>
        <v>Tuesday</v>
      </c>
      <c r="K846">
        <v>2</v>
      </c>
      <c r="L846" t="str">
        <f>CHOOSE(K846+1,"error","Clear","Misty","Rainy","Severe heater")</f>
        <v>Misty</v>
      </c>
      <c r="M846" s="1">
        <v>0.28000000000000003</v>
      </c>
      <c r="N846" t="str">
        <f>IF(M846&lt;=0.2,"Low",IF(M846&lt;=0.4,"Mid","High"))</f>
        <v>Mid</v>
      </c>
      <c r="O846" s="1">
        <v>0.31819999999999998</v>
      </c>
      <c r="P846" t="str">
        <f>IF(O846&lt;=0.15,"Very Cold",IF(O846&lt;=0.3,"Cold",IF(O846&lt;=0.45,"Pleasant","Hot")))</f>
        <v>Pleasant</v>
      </c>
      <c r="Q846">
        <v>0.54</v>
      </c>
      <c r="R846" t="str">
        <f>IF(Q846&lt;=0.25,"Low ",IF(Q846&lt;=0.5,"Moderate ",IF(Q846&lt;=0.75,"High ","Very High ")))</f>
        <v xml:space="preserve">High </v>
      </c>
      <c r="S846">
        <v>8.9599999999999999E-2</v>
      </c>
      <c r="T846" t="str">
        <f>IF(S846&lt;=0.15,"Calm",IF(S846&lt;=0.3,"Light Wind",IF(S846&lt;=0.45,"Moderate Wind","Strong Wind")))</f>
        <v>Calm</v>
      </c>
      <c r="U846">
        <v>4</v>
      </c>
      <c r="V846">
        <v>46</v>
      </c>
      <c r="W846">
        <v>50</v>
      </c>
      <c r="X846" t="str">
        <f>IF(W846&lt;=75,"Low Demand",IF(W846&lt;=150,"Medium Demand",IF(W846&lt;=225,"High Demand","Very High Demand")))</f>
        <v>Low Demand</v>
      </c>
    </row>
    <row r="847" spans="1:24" x14ac:dyDescent="0.25">
      <c r="A847">
        <v>846</v>
      </c>
      <c r="B847" s="2">
        <v>40581</v>
      </c>
      <c r="C847">
        <v>1</v>
      </c>
      <c r="D847">
        <v>0</v>
      </c>
      <c r="E847">
        <v>2</v>
      </c>
      <c r="F847">
        <v>16</v>
      </c>
      <c r="G847" t="str">
        <f>IF(F847&lt;6,"Night",IF(F847&lt;12,"Morning",IF(F847&lt;18,"Afternoon","Evening")))</f>
        <v>Afternoon</v>
      </c>
      <c r="H847">
        <v>0</v>
      </c>
      <c r="I847">
        <v>1</v>
      </c>
      <c r="J847" t="str">
        <f>CHOOSE(I847+1,"Monday","Tuesday","Wednesday","Thursday","Friday","Saturday","Sunday")</f>
        <v>Tuesday</v>
      </c>
      <c r="K847">
        <v>2</v>
      </c>
      <c r="L847" t="str">
        <f>CHOOSE(K847+1,"error","Clear","Misty","Rainy","Severe heater")</f>
        <v>Misty</v>
      </c>
      <c r="M847" s="1">
        <v>0.28000000000000003</v>
      </c>
      <c r="N847" t="str">
        <f>IF(M847&lt;=0.2,"Low",IF(M847&lt;=0.4,"Mid","High"))</f>
        <v>Mid</v>
      </c>
      <c r="O847" s="1">
        <v>0.31819999999999998</v>
      </c>
      <c r="P847" t="str">
        <f>IF(O847&lt;=0.15,"Very Cold",IF(O847&lt;=0.3,"Cold",IF(O847&lt;=0.45,"Pleasant","Hot")))</f>
        <v>Pleasant</v>
      </c>
      <c r="Q847">
        <v>0.56999999999999995</v>
      </c>
      <c r="R847" t="str">
        <f>IF(Q847&lt;=0.25,"Low ",IF(Q847&lt;=0.5,"Moderate ",IF(Q847&lt;=0.75,"High ","Very High ")))</f>
        <v xml:space="preserve">High </v>
      </c>
      <c r="S847">
        <v>0.1343</v>
      </c>
      <c r="T847" t="str">
        <f>IF(S847&lt;=0.15,"Calm",IF(S847&lt;=0.3,"Light Wind",IF(S847&lt;=0.45,"Moderate Wind","Strong Wind")))</f>
        <v>Calm</v>
      </c>
      <c r="U847">
        <v>16</v>
      </c>
      <c r="V847">
        <v>98</v>
      </c>
      <c r="W847">
        <v>114</v>
      </c>
      <c r="X847" t="str">
        <f>IF(W847&lt;=75,"Low Demand",IF(W847&lt;=150,"Medium Demand",IF(W847&lt;=225,"High Demand","Very High Demand")))</f>
        <v>Medium Demand</v>
      </c>
    </row>
    <row r="848" spans="1:24" x14ac:dyDescent="0.25">
      <c r="A848">
        <v>847</v>
      </c>
      <c r="B848" s="2">
        <v>40581</v>
      </c>
      <c r="C848">
        <v>1</v>
      </c>
      <c r="D848">
        <v>0</v>
      </c>
      <c r="E848">
        <v>2</v>
      </c>
      <c r="F848">
        <v>17</v>
      </c>
      <c r="G848" t="str">
        <f>IF(F848&lt;6,"Night",IF(F848&lt;12,"Morning",IF(F848&lt;18,"Afternoon","Evening")))</f>
        <v>Afternoon</v>
      </c>
      <c r="H848">
        <v>0</v>
      </c>
      <c r="I848">
        <v>1</v>
      </c>
      <c r="J848" t="str">
        <f>CHOOSE(I848+1,"Monday","Tuesday","Wednesday","Thursday","Friday","Saturday","Sunday")</f>
        <v>Tuesday</v>
      </c>
      <c r="K848">
        <v>2</v>
      </c>
      <c r="L848" t="str">
        <f>CHOOSE(K848+1,"error","Clear","Misty","Rainy","Severe heater")</f>
        <v>Misty</v>
      </c>
      <c r="M848" s="1">
        <v>0.26</v>
      </c>
      <c r="N848" t="str">
        <f>IF(M848&lt;=0.2,"Low",IF(M848&lt;=0.4,"Mid","High"))</f>
        <v>Mid</v>
      </c>
      <c r="O848" s="1">
        <v>0.2727</v>
      </c>
      <c r="P848" t="str">
        <f>IF(O848&lt;=0.15,"Very Cold",IF(O848&lt;=0.3,"Cold",IF(O848&lt;=0.45,"Pleasant","Hot")))</f>
        <v>Cold</v>
      </c>
      <c r="Q848">
        <v>0.7</v>
      </c>
      <c r="R848" t="str">
        <f>IF(Q848&lt;=0.25,"Low ",IF(Q848&lt;=0.5,"Moderate ",IF(Q848&lt;=0.75,"High ","Very High ")))</f>
        <v xml:space="preserve">High </v>
      </c>
      <c r="S848">
        <v>0.16420000000000001</v>
      </c>
      <c r="T848" t="str">
        <f>IF(S848&lt;=0.15,"Calm",IF(S848&lt;=0.3,"Light Wind",IF(S848&lt;=0.45,"Moderate Wind","Strong Wind")))</f>
        <v>Light Wind</v>
      </c>
      <c r="U848">
        <v>9</v>
      </c>
      <c r="V848">
        <v>207</v>
      </c>
      <c r="W848">
        <v>216</v>
      </c>
      <c r="X848" t="str">
        <f>IF(W848&lt;=75,"Low Demand",IF(W848&lt;=150,"Medium Demand",IF(W848&lt;=225,"High Demand","Very High Demand")))</f>
        <v>High Demand</v>
      </c>
    </row>
    <row r="849" spans="1:24" x14ac:dyDescent="0.25">
      <c r="A849">
        <v>848</v>
      </c>
      <c r="B849" s="2">
        <v>40581</v>
      </c>
      <c r="C849">
        <v>1</v>
      </c>
      <c r="D849">
        <v>0</v>
      </c>
      <c r="E849">
        <v>2</v>
      </c>
      <c r="F849">
        <v>18</v>
      </c>
      <c r="G849" t="str">
        <f>IF(F849&lt;6,"Night",IF(F849&lt;12,"Morning",IF(F849&lt;18,"Afternoon","Evening")))</f>
        <v>Evening</v>
      </c>
      <c r="H849">
        <v>0</v>
      </c>
      <c r="I849">
        <v>1</v>
      </c>
      <c r="J849" t="str">
        <f>CHOOSE(I849+1,"Monday","Tuesday","Wednesday","Thursday","Friday","Saturday","Sunday")</f>
        <v>Tuesday</v>
      </c>
      <c r="K849">
        <v>2</v>
      </c>
      <c r="L849" t="str">
        <f>CHOOSE(K849+1,"error","Clear","Misty","Rainy","Severe heater")</f>
        <v>Misty</v>
      </c>
      <c r="M849" s="1">
        <v>0.28000000000000003</v>
      </c>
      <c r="N849" t="str">
        <f>IF(M849&lt;=0.2,"Low",IF(M849&lt;=0.4,"Mid","High"))</f>
        <v>Mid</v>
      </c>
      <c r="O849" s="1">
        <v>0.2727</v>
      </c>
      <c r="P849" t="str">
        <f>IF(O849&lt;=0.15,"Very Cold",IF(O849&lt;=0.3,"Cold",IF(O849&lt;=0.45,"Pleasant","Hot")))</f>
        <v>Cold</v>
      </c>
      <c r="Q849">
        <v>0.66</v>
      </c>
      <c r="R849" t="str">
        <f>IF(Q849&lt;=0.25,"Low ",IF(Q849&lt;=0.5,"Moderate ",IF(Q849&lt;=0.75,"High ","Very High ")))</f>
        <v xml:space="preserve">High </v>
      </c>
      <c r="S849">
        <v>0.1343</v>
      </c>
      <c r="T849" t="str">
        <f>IF(S849&lt;=0.15,"Calm",IF(S849&lt;=0.3,"Light Wind",IF(S849&lt;=0.45,"Moderate Wind","Strong Wind")))</f>
        <v>Calm</v>
      </c>
      <c r="U849">
        <v>5</v>
      </c>
      <c r="V849">
        <v>170</v>
      </c>
      <c r="W849">
        <v>175</v>
      </c>
      <c r="X849" t="str">
        <f>IF(W849&lt;=75,"Low Demand",IF(W849&lt;=150,"Medium Demand",IF(W849&lt;=225,"High Demand","Very High Demand")))</f>
        <v>High Demand</v>
      </c>
    </row>
    <row r="850" spans="1:24" x14ac:dyDescent="0.25">
      <c r="A850">
        <v>849</v>
      </c>
      <c r="B850" s="2">
        <v>40581</v>
      </c>
      <c r="C850">
        <v>1</v>
      </c>
      <c r="D850">
        <v>0</v>
      </c>
      <c r="E850">
        <v>2</v>
      </c>
      <c r="F850">
        <v>19</v>
      </c>
      <c r="G850" t="str">
        <f>IF(F850&lt;6,"Night",IF(F850&lt;12,"Morning",IF(F850&lt;18,"Afternoon","Evening")))</f>
        <v>Evening</v>
      </c>
      <c r="H850">
        <v>0</v>
      </c>
      <c r="I850">
        <v>1</v>
      </c>
      <c r="J850" t="str">
        <f>CHOOSE(I850+1,"Monday","Tuesday","Wednesday","Thursday","Friday","Saturday","Sunday")</f>
        <v>Tuesday</v>
      </c>
      <c r="K850">
        <v>2</v>
      </c>
      <c r="L850" t="str">
        <f>CHOOSE(K850+1,"error","Clear","Misty","Rainy","Severe heater")</f>
        <v>Misty</v>
      </c>
      <c r="M850" s="1">
        <v>0.26</v>
      </c>
      <c r="N850" t="str">
        <f>IF(M850&lt;=0.2,"Low",IF(M850&lt;=0.4,"Mid","High"))</f>
        <v>Mid</v>
      </c>
      <c r="O850" s="1">
        <v>0.2576</v>
      </c>
      <c r="P850" t="str">
        <f>IF(O850&lt;=0.15,"Very Cold",IF(O850&lt;=0.3,"Cold",IF(O850&lt;=0.45,"Pleasant","Hot")))</f>
        <v>Cold</v>
      </c>
      <c r="Q850">
        <v>0.7</v>
      </c>
      <c r="R850" t="str">
        <f>IF(Q850&lt;=0.25,"Low ",IF(Q850&lt;=0.5,"Moderate ",IF(Q850&lt;=0.75,"High ","Very High ")))</f>
        <v xml:space="preserve">High </v>
      </c>
      <c r="S850">
        <v>0</v>
      </c>
      <c r="T850" t="str">
        <f>IF(S850&lt;=0.15,"Calm",IF(S850&lt;=0.3,"Light Wind",IF(S850&lt;=0.45,"Moderate Wind","Strong Wind")))</f>
        <v>Calm</v>
      </c>
      <c r="U850">
        <v>5</v>
      </c>
      <c r="V850">
        <v>123</v>
      </c>
      <c r="W850">
        <v>128</v>
      </c>
      <c r="X850" t="str">
        <f>IF(W850&lt;=75,"Low Demand",IF(W850&lt;=150,"Medium Demand",IF(W850&lt;=225,"High Demand","Very High Demand")))</f>
        <v>Medium Demand</v>
      </c>
    </row>
    <row r="851" spans="1:24" x14ac:dyDescent="0.25">
      <c r="A851">
        <v>850</v>
      </c>
      <c r="B851" s="2">
        <v>40581</v>
      </c>
      <c r="C851">
        <v>1</v>
      </c>
      <c r="D851">
        <v>0</v>
      </c>
      <c r="E851">
        <v>2</v>
      </c>
      <c r="F851">
        <v>20</v>
      </c>
      <c r="G851" t="str">
        <f>IF(F851&lt;6,"Night",IF(F851&lt;12,"Morning",IF(F851&lt;18,"Afternoon","Evening")))</f>
        <v>Evening</v>
      </c>
      <c r="H851">
        <v>0</v>
      </c>
      <c r="I851">
        <v>1</v>
      </c>
      <c r="J851" t="str">
        <f>CHOOSE(I851+1,"Monday","Tuesday","Wednesday","Thursday","Friday","Saturday","Sunday")</f>
        <v>Tuesday</v>
      </c>
      <c r="K851">
        <v>2</v>
      </c>
      <c r="L851" t="str">
        <f>CHOOSE(K851+1,"error","Clear","Misty","Rainy","Severe heater")</f>
        <v>Misty</v>
      </c>
      <c r="M851" s="1">
        <v>0.26</v>
      </c>
      <c r="N851" t="str">
        <f>IF(M851&lt;=0.2,"Low",IF(M851&lt;=0.4,"Mid","High"))</f>
        <v>Mid</v>
      </c>
      <c r="O851" s="1">
        <v>0.2273</v>
      </c>
      <c r="P851" t="str">
        <f>IF(O851&lt;=0.15,"Very Cold",IF(O851&lt;=0.3,"Cold",IF(O851&lt;=0.45,"Pleasant","Hot")))</f>
        <v>Cold</v>
      </c>
      <c r="Q851">
        <v>0.7</v>
      </c>
      <c r="R851" t="str">
        <f>IF(Q851&lt;=0.25,"Low ",IF(Q851&lt;=0.5,"Moderate ",IF(Q851&lt;=0.75,"High ","Very High ")))</f>
        <v xml:space="preserve">High </v>
      </c>
      <c r="S851">
        <v>0.1045</v>
      </c>
      <c r="T851" t="str">
        <f>IF(S851&lt;=0.15,"Calm",IF(S851&lt;=0.3,"Light Wind",IF(S851&lt;=0.45,"Moderate Wind","Strong Wind")))</f>
        <v>Calm</v>
      </c>
      <c r="U851">
        <v>6</v>
      </c>
      <c r="V851">
        <v>82</v>
      </c>
      <c r="W851">
        <v>88</v>
      </c>
      <c r="X851" t="str">
        <f>IF(W851&lt;=75,"Low Demand",IF(W851&lt;=150,"Medium Demand",IF(W851&lt;=225,"High Demand","Very High Demand")))</f>
        <v>Medium Demand</v>
      </c>
    </row>
    <row r="852" spans="1:24" x14ac:dyDescent="0.25">
      <c r="A852">
        <v>851</v>
      </c>
      <c r="B852" s="2">
        <v>40581</v>
      </c>
      <c r="C852">
        <v>1</v>
      </c>
      <c r="D852">
        <v>0</v>
      </c>
      <c r="E852">
        <v>2</v>
      </c>
      <c r="F852">
        <v>21</v>
      </c>
      <c r="G852" t="str">
        <f>IF(F852&lt;6,"Night",IF(F852&lt;12,"Morning",IF(F852&lt;18,"Afternoon","Evening")))</f>
        <v>Evening</v>
      </c>
      <c r="H852">
        <v>0</v>
      </c>
      <c r="I852">
        <v>1</v>
      </c>
      <c r="J852" t="str">
        <f>CHOOSE(I852+1,"Monday","Tuesday","Wednesday","Thursday","Friday","Saturday","Sunday")</f>
        <v>Tuesday</v>
      </c>
      <c r="K852">
        <v>1</v>
      </c>
      <c r="L852" t="str">
        <f>CHOOSE(K852+1,"error","Clear","Misty","Rainy","Severe heater")</f>
        <v>Clear</v>
      </c>
      <c r="M852" s="1">
        <v>0.26</v>
      </c>
      <c r="N852" t="str">
        <f>IF(M852&lt;=0.2,"Low",IF(M852&lt;=0.4,"Mid","High"))</f>
        <v>Mid</v>
      </c>
      <c r="O852" s="1">
        <v>0.2273</v>
      </c>
      <c r="P852" t="str">
        <f>IF(O852&lt;=0.15,"Very Cold",IF(O852&lt;=0.3,"Cold",IF(O852&lt;=0.45,"Pleasant","Hot")))</f>
        <v>Cold</v>
      </c>
      <c r="Q852">
        <v>0.7</v>
      </c>
      <c r="R852" t="str">
        <f>IF(Q852&lt;=0.25,"Low ",IF(Q852&lt;=0.5,"Moderate ",IF(Q852&lt;=0.75,"High ","Very High ")))</f>
        <v xml:space="preserve">High </v>
      </c>
      <c r="S852">
        <v>0</v>
      </c>
      <c r="T852" t="str">
        <f>IF(S852&lt;=0.15,"Calm",IF(S852&lt;=0.3,"Light Wind",IF(S852&lt;=0.45,"Moderate Wind","Strong Wind")))</f>
        <v>Calm</v>
      </c>
      <c r="U852">
        <v>3</v>
      </c>
      <c r="V852">
        <v>75</v>
      </c>
      <c r="W852">
        <v>78</v>
      </c>
      <c r="X852" t="str">
        <f>IF(W852&lt;=75,"Low Demand",IF(W852&lt;=150,"Medium Demand",IF(W852&lt;=225,"High Demand","Very High Demand")))</f>
        <v>Medium Demand</v>
      </c>
    </row>
    <row r="853" spans="1:24" x14ac:dyDescent="0.25">
      <c r="A853">
        <v>852</v>
      </c>
      <c r="B853" s="2">
        <v>40581</v>
      </c>
      <c r="C853">
        <v>1</v>
      </c>
      <c r="D853">
        <v>0</v>
      </c>
      <c r="E853">
        <v>2</v>
      </c>
      <c r="F853">
        <v>22</v>
      </c>
      <c r="G853" t="str">
        <f>IF(F853&lt;6,"Night",IF(F853&lt;12,"Morning",IF(F853&lt;18,"Afternoon","Evening")))</f>
        <v>Evening</v>
      </c>
      <c r="H853">
        <v>0</v>
      </c>
      <c r="I853">
        <v>1</v>
      </c>
      <c r="J853" t="str">
        <f>CHOOSE(I853+1,"Monday","Tuesday","Wednesday","Thursday","Friday","Saturday","Sunday")</f>
        <v>Tuesday</v>
      </c>
      <c r="K853">
        <v>1</v>
      </c>
      <c r="L853" t="str">
        <f>CHOOSE(K853+1,"error","Clear","Misty","Rainy","Severe heater")</f>
        <v>Clear</v>
      </c>
      <c r="M853" s="1">
        <v>0.24</v>
      </c>
      <c r="N853" t="str">
        <f>IF(M853&lt;=0.2,"Low",IF(M853&lt;=0.4,"Mid","High"))</f>
        <v>Mid</v>
      </c>
      <c r="O853" s="1">
        <v>0.19700000000000001</v>
      </c>
      <c r="P853" t="str">
        <f>IF(O853&lt;=0.15,"Very Cold",IF(O853&lt;=0.3,"Cold",IF(O853&lt;=0.45,"Pleasant","Hot")))</f>
        <v>Cold</v>
      </c>
      <c r="Q853">
        <v>0.81</v>
      </c>
      <c r="R853" t="str">
        <f>IF(Q853&lt;=0.25,"Low ",IF(Q853&lt;=0.5,"Moderate ",IF(Q853&lt;=0.75,"High ","Very High ")))</f>
        <v xml:space="preserve">Very High </v>
      </c>
      <c r="S853">
        <v>8.9599999999999999E-2</v>
      </c>
      <c r="T853" t="str">
        <f>IF(S853&lt;=0.15,"Calm",IF(S853&lt;=0.3,"Light Wind",IF(S853&lt;=0.45,"Moderate Wind","Strong Wind")))</f>
        <v>Calm</v>
      </c>
      <c r="U853">
        <v>3</v>
      </c>
      <c r="V853">
        <v>34</v>
      </c>
      <c r="W853">
        <v>37</v>
      </c>
      <c r="X853" t="str">
        <f>IF(W853&lt;=75,"Low Demand",IF(W853&lt;=150,"Medium Demand",IF(W853&lt;=225,"High Demand","Very High Demand")))</f>
        <v>Low Demand</v>
      </c>
    </row>
    <row r="854" spans="1:24" x14ac:dyDescent="0.25">
      <c r="A854">
        <v>853</v>
      </c>
      <c r="B854" s="2">
        <v>40581</v>
      </c>
      <c r="C854">
        <v>1</v>
      </c>
      <c r="D854">
        <v>0</v>
      </c>
      <c r="E854">
        <v>2</v>
      </c>
      <c r="F854">
        <v>23</v>
      </c>
      <c r="G854" t="str">
        <f>IF(F854&lt;6,"Night",IF(F854&lt;12,"Morning",IF(F854&lt;18,"Afternoon","Evening")))</f>
        <v>Evening</v>
      </c>
      <c r="H854">
        <v>0</v>
      </c>
      <c r="I854">
        <v>1</v>
      </c>
      <c r="J854" t="str">
        <f>CHOOSE(I854+1,"Monday","Tuesday","Wednesday","Thursday","Friday","Saturday","Sunday")</f>
        <v>Tuesday</v>
      </c>
      <c r="K854">
        <v>2</v>
      </c>
      <c r="L854" t="str">
        <f>CHOOSE(K854+1,"error","Clear","Misty","Rainy","Severe heater")</f>
        <v>Misty</v>
      </c>
      <c r="M854" s="1">
        <v>0.24</v>
      </c>
      <c r="N854" t="str">
        <f>IF(M854&lt;=0.2,"Low",IF(M854&lt;=0.4,"Mid","High"))</f>
        <v>Mid</v>
      </c>
      <c r="O854" s="1">
        <v>0.19700000000000001</v>
      </c>
      <c r="P854" t="str">
        <f>IF(O854&lt;=0.15,"Very Cold",IF(O854&lt;=0.3,"Cold",IF(O854&lt;=0.45,"Pleasant","Hot")))</f>
        <v>Cold</v>
      </c>
      <c r="Q854">
        <v>0.81</v>
      </c>
      <c r="R854" t="str">
        <f>IF(Q854&lt;=0.25,"Low ",IF(Q854&lt;=0.5,"Moderate ",IF(Q854&lt;=0.75,"High ","Very High ")))</f>
        <v xml:space="preserve">Very High </v>
      </c>
      <c r="S854">
        <v>0</v>
      </c>
      <c r="T854" t="str">
        <f>IF(S854&lt;=0.15,"Calm",IF(S854&lt;=0.3,"Light Wind",IF(S854&lt;=0.45,"Moderate Wind","Strong Wind")))</f>
        <v>Calm</v>
      </c>
      <c r="U854">
        <v>6</v>
      </c>
      <c r="V854">
        <v>19</v>
      </c>
      <c r="W854">
        <v>25</v>
      </c>
      <c r="X854" t="str">
        <f>IF(W854&lt;=75,"Low Demand",IF(W854&lt;=150,"Medium Demand",IF(W854&lt;=225,"High Demand","Very High Demand")))</f>
        <v>Low Demand</v>
      </c>
    </row>
    <row r="855" spans="1:24" x14ac:dyDescent="0.25">
      <c r="A855">
        <v>854</v>
      </c>
      <c r="B855" s="2">
        <v>40582</v>
      </c>
      <c r="C855">
        <v>1</v>
      </c>
      <c r="D855">
        <v>0</v>
      </c>
      <c r="E855">
        <v>2</v>
      </c>
      <c r="F855">
        <v>0</v>
      </c>
      <c r="G855" t="str">
        <f>IF(F855&lt;6,"Night",IF(F855&lt;12,"Morning",IF(F855&lt;18,"Afternoon","Evening")))</f>
        <v>Night</v>
      </c>
      <c r="H855">
        <v>0</v>
      </c>
      <c r="I855">
        <v>2</v>
      </c>
      <c r="J855" t="str">
        <f>CHOOSE(I855+1,"Monday","Tuesday","Wednesday","Thursday","Friday","Saturday","Sunday")</f>
        <v>Wednesday</v>
      </c>
      <c r="K855">
        <v>2</v>
      </c>
      <c r="L855" t="str">
        <f>CHOOSE(K855+1,"error","Clear","Misty","Rainy","Severe heater")</f>
        <v>Misty</v>
      </c>
      <c r="M855" s="1">
        <v>0.24</v>
      </c>
      <c r="N855" t="str">
        <f>IF(M855&lt;=0.2,"Low",IF(M855&lt;=0.4,"Mid","High"))</f>
        <v>Mid</v>
      </c>
      <c r="O855" s="1">
        <v>0.19700000000000001</v>
      </c>
      <c r="P855" t="str">
        <f>IF(O855&lt;=0.15,"Very Cold",IF(O855&lt;=0.3,"Cold",IF(O855&lt;=0.45,"Pleasant","Hot")))</f>
        <v>Cold</v>
      </c>
      <c r="Q855">
        <v>0.87</v>
      </c>
      <c r="R855" t="str">
        <f>IF(Q855&lt;=0.25,"Low ",IF(Q855&lt;=0.5,"Moderate ",IF(Q855&lt;=0.75,"High ","Very High ")))</f>
        <v xml:space="preserve">Very High </v>
      </c>
      <c r="S855">
        <v>0</v>
      </c>
      <c r="T855" t="str">
        <f>IF(S855&lt;=0.15,"Calm",IF(S855&lt;=0.3,"Light Wind",IF(S855&lt;=0.45,"Moderate Wind","Strong Wind")))</f>
        <v>Calm</v>
      </c>
      <c r="U855">
        <v>4</v>
      </c>
      <c r="V855">
        <v>6</v>
      </c>
      <c r="W855">
        <v>10</v>
      </c>
      <c r="X855" t="str">
        <f>IF(W855&lt;=75,"Low Demand",IF(W855&lt;=150,"Medium Demand",IF(W855&lt;=225,"High Demand","Very High Demand")))</f>
        <v>Low Demand</v>
      </c>
    </row>
    <row r="856" spans="1:24" x14ac:dyDescent="0.25">
      <c r="A856">
        <v>855</v>
      </c>
      <c r="B856" s="2">
        <v>40582</v>
      </c>
      <c r="C856">
        <v>1</v>
      </c>
      <c r="D856">
        <v>0</v>
      </c>
      <c r="E856">
        <v>2</v>
      </c>
      <c r="F856">
        <v>1</v>
      </c>
      <c r="G856" t="str">
        <f>IF(F856&lt;6,"Night",IF(F856&lt;12,"Morning",IF(F856&lt;18,"Afternoon","Evening")))</f>
        <v>Night</v>
      </c>
      <c r="H856">
        <v>0</v>
      </c>
      <c r="I856">
        <v>2</v>
      </c>
      <c r="J856" t="str">
        <f>CHOOSE(I856+1,"Monday","Tuesday","Wednesday","Thursday","Friday","Saturday","Sunday")</f>
        <v>Wednesday</v>
      </c>
      <c r="K856">
        <v>2</v>
      </c>
      <c r="L856" t="str">
        <f>CHOOSE(K856+1,"error","Clear","Misty","Rainy","Severe heater")</f>
        <v>Misty</v>
      </c>
      <c r="M856" s="1">
        <v>0.22</v>
      </c>
      <c r="N856" t="str">
        <f>IF(M856&lt;=0.2,"Low",IF(M856&lt;=0.4,"Mid","High"))</f>
        <v>Mid</v>
      </c>
      <c r="O856" s="1">
        <v>0.18179999999999999</v>
      </c>
      <c r="P856" t="str">
        <f>IF(O856&lt;=0.15,"Very Cold",IF(O856&lt;=0.3,"Cold",IF(O856&lt;=0.45,"Pleasant","Hot")))</f>
        <v>Cold</v>
      </c>
      <c r="Q856">
        <v>0.87</v>
      </c>
      <c r="R856" t="str">
        <f>IF(Q856&lt;=0.25,"Low ",IF(Q856&lt;=0.5,"Moderate ",IF(Q856&lt;=0.75,"High ","Very High ")))</f>
        <v xml:space="preserve">Very High </v>
      </c>
      <c r="S856">
        <v>0</v>
      </c>
      <c r="T856" t="str">
        <f>IF(S856&lt;=0.15,"Calm",IF(S856&lt;=0.3,"Light Wind",IF(S856&lt;=0.45,"Moderate Wind","Strong Wind")))</f>
        <v>Calm</v>
      </c>
      <c r="U856">
        <v>0</v>
      </c>
      <c r="V856">
        <v>4</v>
      </c>
      <c r="W856">
        <v>4</v>
      </c>
      <c r="X856" t="str">
        <f>IF(W856&lt;=75,"Low Demand",IF(W856&lt;=150,"Medium Demand",IF(W856&lt;=225,"High Demand","Very High Demand")))</f>
        <v>Low Demand</v>
      </c>
    </row>
    <row r="857" spans="1:24" x14ac:dyDescent="0.25">
      <c r="A857">
        <v>856</v>
      </c>
      <c r="B857" s="2">
        <v>40582</v>
      </c>
      <c r="C857">
        <v>1</v>
      </c>
      <c r="D857">
        <v>0</v>
      </c>
      <c r="E857">
        <v>2</v>
      </c>
      <c r="F857">
        <v>2</v>
      </c>
      <c r="G857" t="str">
        <f>IF(F857&lt;6,"Night",IF(F857&lt;12,"Morning",IF(F857&lt;18,"Afternoon","Evening")))</f>
        <v>Night</v>
      </c>
      <c r="H857">
        <v>0</v>
      </c>
      <c r="I857">
        <v>2</v>
      </c>
      <c r="J857" t="str">
        <f>CHOOSE(I857+1,"Monday","Tuesday","Wednesday","Thursday","Friday","Saturday","Sunday")</f>
        <v>Wednesday</v>
      </c>
      <c r="K857">
        <v>2</v>
      </c>
      <c r="L857" t="str">
        <f>CHOOSE(K857+1,"error","Clear","Misty","Rainy","Severe heater")</f>
        <v>Misty</v>
      </c>
      <c r="M857" s="1">
        <v>0.22</v>
      </c>
      <c r="N857" t="str">
        <f>IF(M857&lt;=0.2,"Low",IF(M857&lt;=0.4,"Mid","High"))</f>
        <v>Mid</v>
      </c>
      <c r="O857" s="1">
        <v>0.18179999999999999</v>
      </c>
      <c r="P857" t="str">
        <f>IF(O857&lt;=0.15,"Very Cold",IF(O857&lt;=0.3,"Cold",IF(O857&lt;=0.45,"Pleasant","Hot")))</f>
        <v>Cold</v>
      </c>
      <c r="Q857">
        <v>0.93</v>
      </c>
      <c r="R857" t="str">
        <f>IF(Q857&lt;=0.25,"Low ",IF(Q857&lt;=0.5,"Moderate ",IF(Q857&lt;=0.75,"High ","Very High ")))</f>
        <v xml:space="preserve">Very High </v>
      </c>
      <c r="S857">
        <v>0.1045</v>
      </c>
      <c r="T857" t="str">
        <f>IF(S857&lt;=0.15,"Calm",IF(S857&lt;=0.3,"Light Wind",IF(S857&lt;=0.45,"Moderate Wind","Strong Wind")))</f>
        <v>Calm</v>
      </c>
      <c r="U857">
        <v>1</v>
      </c>
      <c r="V857">
        <v>1</v>
      </c>
      <c r="W857">
        <v>2</v>
      </c>
      <c r="X857" t="str">
        <f>IF(W857&lt;=75,"Low Demand",IF(W857&lt;=150,"Medium Demand",IF(W857&lt;=225,"High Demand","Very High Demand")))</f>
        <v>Low Demand</v>
      </c>
    </row>
    <row r="858" spans="1:24" x14ac:dyDescent="0.25">
      <c r="A858">
        <v>857</v>
      </c>
      <c r="B858" s="2">
        <v>40582</v>
      </c>
      <c r="C858">
        <v>1</v>
      </c>
      <c r="D858">
        <v>0</v>
      </c>
      <c r="E858">
        <v>2</v>
      </c>
      <c r="F858">
        <v>3</v>
      </c>
      <c r="G858" t="str">
        <f>IF(F858&lt;6,"Night",IF(F858&lt;12,"Morning",IF(F858&lt;18,"Afternoon","Evening")))</f>
        <v>Night</v>
      </c>
      <c r="H858">
        <v>0</v>
      </c>
      <c r="I858">
        <v>2</v>
      </c>
      <c r="J858" t="str">
        <f>CHOOSE(I858+1,"Monday","Tuesday","Wednesday","Thursday","Friday","Saturday","Sunday")</f>
        <v>Wednesday</v>
      </c>
      <c r="K858">
        <v>3</v>
      </c>
      <c r="L858" t="str">
        <f>CHOOSE(K858+1,"error","Clear","Misty","Rainy","Severe heater")</f>
        <v>Rainy</v>
      </c>
      <c r="M858" s="1">
        <v>0.24</v>
      </c>
      <c r="N858" t="str">
        <f>IF(M858&lt;=0.2,"Low",IF(M858&lt;=0.4,"Mid","High"))</f>
        <v>Mid</v>
      </c>
      <c r="O858" s="1">
        <v>0.19700000000000001</v>
      </c>
      <c r="P858" t="str">
        <f>IF(O858&lt;=0.15,"Very Cold",IF(O858&lt;=0.3,"Cold",IF(O858&lt;=0.45,"Pleasant","Hot")))</f>
        <v>Cold</v>
      </c>
      <c r="Q858">
        <v>0.93</v>
      </c>
      <c r="R858" t="str">
        <f>IF(Q858&lt;=0.25,"Low ",IF(Q858&lt;=0.5,"Moderate ",IF(Q858&lt;=0.75,"High ","Very High ")))</f>
        <v xml:space="preserve">Very High </v>
      </c>
      <c r="S858">
        <v>0.16420000000000001</v>
      </c>
      <c r="T858" t="str">
        <f>IF(S858&lt;=0.15,"Calm",IF(S858&lt;=0.3,"Light Wind",IF(S858&lt;=0.45,"Moderate Wind","Strong Wind")))</f>
        <v>Light Wind</v>
      </c>
      <c r="U858">
        <v>0</v>
      </c>
      <c r="V858">
        <v>1</v>
      </c>
      <c r="W858">
        <v>1</v>
      </c>
      <c r="X858" t="str">
        <f>IF(W858&lt;=75,"Low Demand",IF(W858&lt;=150,"Medium Demand",IF(W858&lt;=225,"High Demand","Very High Demand")))</f>
        <v>Low Demand</v>
      </c>
    </row>
    <row r="859" spans="1:24" x14ac:dyDescent="0.25">
      <c r="A859">
        <v>858</v>
      </c>
      <c r="B859" s="2">
        <v>40582</v>
      </c>
      <c r="C859">
        <v>1</v>
      </c>
      <c r="D859">
        <v>0</v>
      </c>
      <c r="E859">
        <v>2</v>
      </c>
      <c r="F859">
        <v>4</v>
      </c>
      <c r="G859" t="str">
        <f>IF(F859&lt;6,"Night",IF(F859&lt;12,"Morning",IF(F859&lt;18,"Afternoon","Evening")))</f>
        <v>Night</v>
      </c>
      <c r="H859">
        <v>0</v>
      </c>
      <c r="I859">
        <v>2</v>
      </c>
      <c r="J859" t="str">
        <f>CHOOSE(I859+1,"Monday","Tuesday","Wednesday","Thursday","Friday","Saturday","Sunday")</f>
        <v>Wednesday</v>
      </c>
      <c r="K859">
        <v>1</v>
      </c>
      <c r="L859" t="str">
        <f>CHOOSE(K859+1,"error","Clear","Misty","Rainy","Severe heater")</f>
        <v>Clear</v>
      </c>
      <c r="M859" s="1">
        <v>0.24</v>
      </c>
      <c r="N859" t="str">
        <f>IF(M859&lt;=0.2,"Low",IF(M859&lt;=0.4,"Mid","High"))</f>
        <v>Mid</v>
      </c>
      <c r="O859" s="1">
        <v>0.19700000000000001</v>
      </c>
      <c r="P859" t="str">
        <f>IF(O859&lt;=0.15,"Very Cold",IF(O859&lt;=0.3,"Cold",IF(O859&lt;=0.45,"Pleasant","Hot")))</f>
        <v>Cold</v>
      </c>
      <c r="Q859">
        <v>0.93</v>
      </c>
      <c r="R859" t="str">
        <f>IF(Q859&lt;=0.25,"Low ",IF(Q859&lt;=0.5,"Moderate ",IF(Q859&lt;=0.75,"High ","Very High ")))</f>
        <v xml:space="preserve">Very High </v>
      </c>
      <c r="S859">
        <v>0.16420000000000001</v>
      </c>
      <c r="T859" t="str">
        <f>IF(S859&lt;=0.15,"Calm",IF(S859&lt;=0.3,"Light Wind",IF(S859&lt;=0.45,"Moderate Wind","Strong Wind")))</f>
        <v>Light Wind</v>
      </c>
      <c r="U859">
        <v>0</v>
      </c>
      <c r="V859">
        <v>3</v>
      </c>
      <c r="W859">
        <v>3</v>
      </c>
      <c r="X859" t="str">
        <f>IF(W859&lt;=75,"Low Demand",IF(W859&lt;=150,"Medium Demand",IF(W859&lt;=225,"High Demand","Very High Demand")))</f>
        <v>Low Demand</v>
      </c>
    </row>
    <row r="860" spans="1:24" x14ac:dyDescent="0.25">
      <c r="A860">
        <v>859</v>
      </c>
      <c r="B860" s="2">
        <v>40582</v>
      </c>
      <c r="C860">
        <v>1</v>
      </c>
      <c r="D860">
        <v>0</v>
      </c>
      <c r="E860">
        <v>2</v>
      </c>
      <c r="F860">
        <v>5</v>
      </c>
      <c r="G860" t="str">
        <f>IF(F860&lt;6,"Night",IF(F860&lt;12,"Morning",IF(F860&lt;18,"Afternoon","Evening")))</f>
        <v>Night</v>
      </c>
      <c r="H860">
        <v>0</v>
      </c>
      <c r="I860">
        <v>2</v>
      </c>
      <c r="J860" t="str">
        <f>CHOOSE(I860+1,"Monday","Tuesday","Wednesday","Thursday","Friday","Saturday","Sunday")</f>
        <v>Wednesday</v>
      </c>
      <c r="K860">
        <v>1</v>
      </c>
      <c r="L860" t="str">
        <f>CHOOSE(K860+1,"error","Clear","Misty","Rainy","Severe heater")</f>
        <v>Clear</v>
      </c>
      <c r="M860" s="1">
        <v>0.22</v>
      </c>
      <c r="N860" t="str">
        <f>IF(M860&lt;=0.2,"Low",IF(M860&lt;=0.4,"Mid","High"))</f>
        <v>Mid</v>
      </c>
      <c r="O860" s="1">
        <v>0.19700000000000001</v>
      </c>
      <c r="P860" t="str">
        <f>IF(O860&lt;=0.15,"Very Cold",IF(O860&lt;=0.3,"Cold",IF(O860&lt;=0.45,"Pleasant","Hot")))</f>
        <v>Cold</v>
      </c>
      <c r="Q860">
        <v>0.81</v>
      </c>
      <c r="R860" t="str">
        <f>IF(Q860&lt;=0.25,"Low ",IF(Q860&lt;=0.5,"Moderate ",IF(Q860&lt;=0.75,"High ","Very High ")))</f>
        <v xml:space="preserve">Very High </v>
      </c>
      <c r="S860">
        <v>0.32840000000000003</v>
      </c>
      <c r="T860" t="str">
        <f>IF(S860&lt;=0.15,"Calm",IF(S860&lt;=0.3,"Light Wind",IF(S860&lt;=0.45,"Moderate Wind","Strong Wind")))</f>
        <v>Moderate Wind</v>
      </c>
      <c r="U860">
        <v>0</v>
      </c>
      <c r="V860">
        <v>2</v>
      </c>
      <c r="W860">
        <v>2</v>
      </c>
      <c r="X860" t="str">
        <f>IF(W860&lt;=75,"Low Demand",IF(W860&lt;=150,"Medium Demand",IF(W860&lt;=225,"High Demand","Very High Demand")))</f>
        <v>Low Demand</v>
      </c>
    </row>
    <row r="861" spans="1:24" x14ac:dyDescent="0.25">
      <c r="A861">
        <v>860</v>
      </c>
      <c r="B861" s="2">
        <v>40582</v>
      </c>
      <c r="C861">
        <v>1</v>
      </c>
      <c r="D861">
        <v>0</v>
      </c>
      <c r="E861">
        <v>2</v>
      </c>
      <c r="F861">
        <v>6</v>
      </c>
      <c r="G861" t="str">
        <f>IF(F861&lt;6,"Night",IF(F861&lt;12,"Morning",IF(F861&lt;18,"Afternoon","Evening")))</f>
        <v>Morning</v>
      </c>
      <c r="H861">
        <v>0</v>
      </c>
      <c r="I861">
        <v>2</v>
      </c>
      <c r="J861" t="str">
        <f>CHOOSE(I861+1,"Monday","Tuesday","Wednesday","Thursday","Friday","Saturday","Sunday")</f>
        <v>Wednesday</v>
      </c>
      <c r="K861">
        <v>1</v>
      </c>
      <c r="L861" t="str">
        <f>CHOOSE(K861+1,"error","Clear","Misty","Rainy","Severe heater")</f>
        <v>Clear</v>
      </c>
      <c r="M861" s="1">
        <v>0.22</v>
      </c>
      <c r="N861" t="str">
        <f>IF(M861&lt;=0.2,"Low",IF(M861&lt;=0.4,"Mid","High"))</f>
        <v>Mid</v>
      </c>
      <c r="O861" s="1">
        <v>0.19700000000000001</v>
      </c>
      <c r="P861" t="str">
        <f>IF(O861&lt;=0.15,"Very Cold",IF(O861&lt;=0.3,"Cold",IF(O861&lt;=0.45,"Pleasant","Hot")))</f>
        <v>Cold</v>
      </c>
      <c r="Q861">
        <v>0.7</v>
      </c>
      <c r="R861" t="str">
        <f>IF(Q861&lt;=0.25,"Low ",IF(Q861&lt;=0.5,"Moderate ",IF(Q861&lt;=0.75,"High ","Very High ")))</f>
        <v xml:space="preserve">High </v>
      </c>
      <c r="S861">
        <v>0.32840000000000003</v>
      </c>
      <c r="T861" t="str">
        <f>IF(S861&lt;=0.15,"Calm",IF(S861&lt;=0.3,"Light Wind",IF(S861&lt;=0.45,"Moderate Wind","Strong Wind")))</f>
        <v>Moderate Wind</v>
      </c>
      <c r="U861">
        <v>0</v>
      </c>
      <c r="V861">
        <v>39</v>
      </c>
      <c r="W861">
        <v>39</v>
      </c>
      <c r="X861" t="str">
        <f>IF(W861&lt;=75,"Low Demand",IF(W861&lt;=150,"Medium Demand",IF(W861&lt;=225,"High Demand","Very High Demand")))</f>
        <v>Low Demand</v>
      </c>
    </row>
    <row r="862" spans="1:24" x14ac:dyDescent="0.25">
      <c r="A862">
        <v>861</v>
      </c>
      <c r="B862" s="2">
        <v>40582</v>
      </c>
      <c r="C862">
        <v>1</v>
      </c>
      <c r="D862">
        <v>0</v>
      </c>
      <c r="E862">
        <v>2</v>
      </c>
      <c r="F862">
        <v>7</v>
      </c>
      <c r="G862" t="str">
        <f>IF(F862&lt;6,"Night",IF(F862&lt;12,"Morning",IF(F862&lt;18,"Afternoon","Evening")))</f>
        <v>Morning</v>
      </c>
      <c r="H862">
        <v>0</v>
      </c>
      <c r="I862">
        <v>2</v>
      </c>
      <c r="J862" t="str">
        <f>CHOOSE(I862+1,"Monday","Tuesday","Wednesday","Thursday","Friday","Saturday","Sunday")</f>
        <v>Wednesday</v>
      </c>
      <c r="K862">
        <v>1</v>
      </c>
      <c r="L862" t="str">
        <f>CHOOSE(K862+1,"error","Clear","Misty","Rainy","Severe heater")</f>
        <v>Clear</v>
      </c>
      <c r="M862" s="1">
        <v>0.22</v>
      </c>
      <c r="N862" t="str">
        <f>IF(M862&lt;=0.2,"Low",IF(M862&lt;=0.4,"Mid","High"))</f>
        <v>Mid</v>
      </c>
      <c r="O862" s="1">
        <v>0.18179999999999999</v>
      </c>
      <c r="P862" t="str">
        <f>IF(O862&lt;=0.15,"Very Cold",IF(O862&lt;=0.3,"Cold",IF(O862&lt;=0.45,"Pleasant","Hot")))</f>
        <v>Cold</v>
      </c>
      <c r="Q862">
        <v>0.65</v>
      </c>
      <c r="R862" t="str">
        <f>IF(Q862&lt;=0.25,"Low ",IF(Q862&lt;=0.5,"Moderate ",IF(Q862&lt;=0.75,"High ","Very High ")))</f>
        <v xml:space="preserve">High </v>
      </c>
      <c r="S862">
        <v>0.41789999999999999</v>
      </c>
      <c r="T862" t="str">
        <f>IF(S862&lt;=0.15,"Calm",IF(S862&lt;=0.3,"Light Wind",IF(S862&lt;=0.45,"Moderate Wind","Strong Wind")))</f>
        <v>Moderate Wind</v>
      </c>
      <c r="U862">
        <v>3</v>
      </c>
      <c r="V862">
        <v>97</v>
      </c>
      <c r="W862">
        <v>100</v>
      </c>
      <c r="X862" t="str">
        <f>IF(W862&lt;=75,"Low Demand",IF(W862&lt;=150,"Medium Demand",IF(W862&lt;=225,"High Demand","Very High Demand")))</f>
        <v>Medium Demand</v>
      </c>
    </row>
    <row r="863" spans="1:24" x14ac:dyDescent="0.25">
      <c r="A863">
        <v>862</v>
      </c>
      <c r="B863" s="2">
        <v>40582</v>
      </c>
      <c r="C863">
        <v>1</v>
      </c>
      <c r="D863">
        <v>0</v>
      </c>
      <c r="E863">
        <v>2</v>
      </c>
      <c r="F863">
        <v>8</v>
      </c>
      <c r="G863" t="str">
        <f>IF(F863&lt;6,"Night",IF(F863&lt;12,"Morning",IF(F863&lt;18,"Afternoon","Evening")))</f>
        <v>Morning</v>
      </c>
      <c r="H863">
        <v>0</v>
      </c>
      <c r="I863">
        <v>2</v>
      </c>
      <c r="J863" t="str">
        <f>CHOOSE(I863+1,"Monday","Tuesday","Wednesday","Thursday","Friday","Saturday","Sunday")</f>
        <v>Wednesday</v>
      </c>
      <c r="K863">
        <v>1</v>
      </c>
      <c r="L863" t="str">
        <f>CHOOSE(K863+1,"error","Clear","Misty","Rainy","Severe heater")</f>
        <v>Clear</v>
      </c>
      <c r="M863" s="1">
        <v>0.22</v>
      </c>
      <c r="N863" t="str">
        <f>IF(M863&lt;=0.2,"Low",IF(M863&lt;=0.4,"Mid","High"))</f>
        <v>Mid</v>
      </c>
      <c r="O863" s="1">
        <v>0.18179999999999999</v>
      </c>
      <c r="P863" t="str">
        <f>IF(O863&lt;=0.15,"Very Cold",IF(O863&lt;=0.3,"Cold",IF(O863&lt;=0.45,"Pleasant","Hot")))</f>
        <v>Cold</v>
      </c>
      <c r="Q863">
        <v>0.56000000000000005</v>
      </c>
      <c r="R863" t="str">
        <f>IF(Q863&lt;=0.25,"Low ",IF(Q863&lt;=0.5,"Moderate ",IF(Q863&lt;=0.75,"High ","Very High ")))</f>
        <v xml:space="preserve">High </v>
      </c>
      <c r="S863">
        <v>0.49249999999999999</v>
      </c>
      <c r="T863" t="str">
        <f>IF(S863&lt;=0.15,"Calm",IF(S863&lt;=0.3,"Light Wind",IF(S863&lt;=0.45,"Moderate Wind","Strong Wind")))</f>
        <v>Strong Wind</v>
      </c>
      <c r="U863">
        <v>7</v>
      </c>
      <c r="V863">
        <v>236</v>
      </c>
      <c r="W863">
        <v>243</v>
      </c>
      <c r="X863" t="str">
        <f>IF(W863&lt;=75,"Low Demand",IF(W863&lt;=150,"Medium Demand",IF(W863&lt;=225,"High Demand","Very High Demand")))</f>
        <v>Very High Demand</v>
      </c>
    </row>
    <row r="864" spans="1:24" x14ac:dyDescent="0.25">
      <c r="A864">
        <v>863</v>
      </c>
      <c r="B864" s="2">
        <v>40582</v>
      </c>
      <c r="C864">
        <v>1</v>
      </c>
      <c r="D864">
        <v>0</v>
      </c>
      <c r="E864">
        <v>2</v>
      </c>
      <c r="F864">
        <v>9</v>
      </c>
      <c r="G864" t="str">
        <f>IF(F864&lt;6,"Night",IF(F864&lt;12,"Morning",IF(F864&lt;18,"Afternoon","Evening")))</f>
        <v>Morning</v>
      </c>
      <c r="H864">
        <v>0</v>
      </c>
      <c r="I864">
        <v>2</v>
      </c>
      <c r="J864" t="str">
        <f>CHOOSE(I864+1,"Monday","Tuesday","Wednesday","Thursday","Friday","Saturday","Sunday")</f>
        <v>Wednesday</v>
      </c>
      <c r="K864">
        <v>1</v>
      </c>
      <c r="L864" t="str">
        <f>CHOOSE(K864+1,"error","Clear","Misty","Rainy","Severe heater")</f>
        <v>Clear</v>
      </c>
      <c r="M864" s="1">
        <v>0.2</v>
      </c>
      <c r="N864" t="str">
        <f>IF(M864&lt;=0.2,"Low",IF(M864&lt;=0.4,"Mid","High"))</f>
        <v>Low</v>
      </c>
      <c r="O864" s="1">
        <v>0.18179999999999999</v>
      </c>
      <c r="P864" t="str">
        <f>IF(O864&lt;=0.15,"Very Cold",IF(O864&lt;=0.3,"Cold",IF(O864&lt;=0.45,"Pleasant","Hot")))</f>
        <v>Cold</v>
      </c>
      <c r="Q864">
        <v>0.52</v>
      </c>
      <c r="R864" t="str">
        <f>IF(Q864&lt;=0.25,"Low ",IF(Q864&lt;=0.5,"Moderate ",IF(Q864&lt;=0.75,"High ","Very High ")))</f>
        <v xml:space="preserve">High </v>
      </c>
      <c r="S864">
        <v>0.49249999999999999</v>
      </c>
      <c r="T864" t="str">
        <f>IF(S864&lt;=0.15,"Calm",IF(S864&lt;=0.3,"Light Wind",IF(S864&lt;=0.45,"Moderate Wind","Strong Wind")))</f>
        <v>Strong Wind</v>
      </c>
      <c r="U864">
        <v>7</v>
      </c>
      <c r="V864">
        <v>128</v>
      </c>
      <c r="W864">
        <v>135</v>
      </c>
      <c r="X864" t="str">
        <f>IF(W864&lt;=75,"Low Demand",IF(W864&lt;=150,"Medium Demand",IF(W864&lt;=225,"High Demand","Very High Demand")))</f>
        <v>Medium Demand</v>
      </c>
    </row>
    <row r="865" spans="1:24" x14ac:dyDescent="0.25">
      <c r="A865">
        <v>864</v>
      </c>
      <c r="B865" s="2">
        <v>40582</v>
      </c>
      <c r="C865">
        <v>1</v>
      </c>
      <c r="D865">
        <v>0</v>
      </c>
      <c r="E865">
        <v>2</v>
      </c>
      <c r="F865">
        <v>10</v>
      </c>
      <c r="G865" t="str">
        <f>IF(F865&lt;6,"Night",IF(F865&lt;12,"Morning",IF(F865&lt;18,"Afternoon","Evening")))</f>
        <v>Morning</v>
      </c>
      <c r="H865">
        <v>0</v>
      </c>
      <c r="I865">
        <v>2</v>
      </c>
      <c r="J865" t="str">
        <f>CHOOSE(I865+1,"Monday","Tuesday","Wednesday","Thursday","Friday","Saturday","Sunday")</f>
        <v>Wednesday</v>
      </c>
      <c r="K865">
        <v>1</v>
      </c>
      <c r="L865" t="str">
        <f>CHOOSE(K865+1,"error","Clear","Misty","Rainy","Severe heater")</f>
        <v>Clear</v>
      </c>
      <c r="M865" s="1">
        <v>0.16</v>
      </c>
      <c r="N865" t="str">
        <f>IF(M865&lt;=0.2,"Low",IF(M865&lt;=0.4,"Mid","High"))</f>
        <v>Low</v>
      </c>
      <c r="O865" s="1">
        <v>0.1212</v>
      </c>
      <c r="P865" t="str">
        <f>IF(O865&lt;=0.15,"Very Cold",IF(O865&lt;=0.3,"Cold",IF(O865&lt;=0.45,"Pleasant","Hot")))</f>
        <v>Very Cold</v>
      </c>
      <c r="Q865">
        <v>0.47</v>
      </c>
      <c r="R865" t="str">
        <f>IF(Q865&lt;=0.25,"Low ",IF(Q865&lt;=0.5,"Moderate ",IF(Q865&lt;=0.75,"High ","Very High ")))</f>
        <v xml:space="preserve">Moderate </v>
      </c>
      <c r="S865">
        <v>0.55220000000000002</v>
      </c>
      <c r="T865" t="str">
        <f>IF(S865&lt;=0.15,"Calm",IF(S865&lt;=0.3,"Light Wind",IF(S865&lt;=0.45,"Moderate Wind","Strong Wind")))</f>
        <v>Strong Wind</v>
      </c>
      <c r="U865">
        <v>4</v>
      </c>
      <c r="V865">
        <v>44</v>
      </c>
      <c r="W865">
        <v>48</v>
      </c>
      <c r="X865" t="str">
        <f>IF(W865&lt;=75,"Low Demand",IF(W865&lt;=150,"Medium Demand",IF(W865&lt;=225,"High Demand","Very High Demand")))</f>
        <v>Low Demand</v>
      </c>
    </row>
    <row r="866" spans="1:24" x14ac:dyDescent="0.25">
      <c r="A866">
        <v>865</v>
      </c>
      <c r="B866" s="2">
        <v>40582</v>
      </c>
      <c r="C866">
        <v>1</v>
      </c>
      <c r="D866">
        <v>0</v>
      </c>
      <c r="E866">
        <v>2</v>
      </c>
      <c r="F866">
        <v>11</v>
      </c>
      <c r="G866" t="str">
        <f>IF(F866&lt;6,"Night",IF(F866&lt;12,"Morning",IF(F866&lt;18,"Afternoon","Evening")))</f>
        <v>Morning</v>
      </c>
      <c r="H866">
        <v>0</v>
      </c>
      <c r="I866">
        <v>2</v>
      </c>
      <c r="J866" t="str">
        <f>CHOOSE(I866+1,"Monday","Tuesday","Wednesday","Thursday","Friday","Saturday","Sunday")</f>
        <v>Wednesday</v>
      </c>
      <c r="K866">
        <v>1</v>
      </c>
      <c r="L866" t="str">
        <f>CHOOSE(K866+1,"error","Clear","Misty","Rainy","Severe heater")</f>
        <v>Clear</v>
      </c>
      <c r="M866" s="1">
        <v>0.16</v>
      </c>
      <c r="N866" t="str">
        <f>IF(M866&lt;=0.2,"Low",IF(M866&lt;=0.4,"Mid","High"))</f>
        <v>Low</v>
      </c>
      <c r="O866" s="1">
        <v>0.13639999999999999</v>
      </c>
      <c r="P866" t="str">
        <f>IF(O866&lt;=0.15,"Very Cold",IF(O866&lt;=0.3,"Cold",IF(O866&lt;=0.45,"Pleasant","Hot")))</f>
        <v>Very Cold</v>
      </c>
      <c r="Q866">
        <v>0.47</v>
      </c>
      <c r="R866" t="str">
        <f>IF(Q866&lt;=0.25,"Low ",IF(Q866&lt;=0.5,"Moderate ",IF(Q866&lt;=0.75,"High ","Very High ")))</f>
        <v xml:space="preserve">Moderate </v>
      </c>
      <c r="S866">
        <v>0.4627</v>
      </c>
      <c r="T866" t="str">
        <f>IF(S866&lt;=0.15,"Calm",IF(S866&lt;=0.3,"Light Wind",IF(S866&lt;=0.45,"Moderate Wind","Strong Wind")))</f>
        <v>Strong Wind</v>
      </c>
      <c r="U866">
        <v>1</v>
      </c>
      <c r="V866">
        <v>49</v>
      </c>
      <c r="W866">
        <v>50</v>
      </c>
      <c r="X866" t="str">
        <f>IF(W866&lt;=75,"Low Demand",IF(W866&lt;=150,"Medium Demand",IF(W866&lt;=225,"High Demand","Very High Demand")))</f>
        <v>Low Demand</v>
      </c>
    </row>
    <row r="867" spans="1:24" x14ac:dyDescent="0.25">
      <c r="A867">
        <v>866</v>
      </c>
      <c r="B867" s="2">
        <v>40582</v>
      </c>
      <c r="C867">
        <v>1</v>
      </c>
      <c r="D867">
        <v>0</v>
      </c>
      <c r="E867">
        <v>2</v>
      </c>
      <c r="F867">
        <v>12</v>
      </c>
      <c r="G867" t="str">
        <f>IF(F867&lt;6,"Night",IF(F867&lt;12,"Morning",IF(F867&lt;18,"Afternoon","Evening")))</f>
        <v>Afternoon</v>
      </c>
      <c r="H867">
        <v>0</v>
      </c>
      <c r="I867">
        <v>2</v>
      </c>
      <c r="J867" t="str">
        <f>CHOOSE(I867+1,"Monday","Tuesday","Wednesday","Thursday","Friday","Saturday","Sunday")</f>
        <v>Wednesday</v>
      </c>
      <c r="K867">
        <v>1</v>
      </c>
      <c r="L867" t="str">
        <f>CHOOSE(K867+1,"error","Clear","Misty","Rainy","Severe heater")</f>
        <v>Clear</v>
      </c>
      <c r="M867" s="1">
        <v>0.14000000000000001</v>
      </c>
      <c r="N867" t="str">
        <f>IF(M867&lt;=0.2,"Low",IF(M867&lt;=0.4,"Mid","High"))</f>
        <v>Low</v>
      </c>
      <c r="O867" s="1">
        <v>0.1061</v>
      </c>
      <c r="P867" t="str">
        <f>IF(O867&lt;=0.15,"Very Cold",IF(O867&lt;=0.3,"Cold",IF(O867&lt;=0.45,"Pleasant","Hot")))</f>
        <v>Very Cold</v>
      </c>
      <c r="Q867">
        <v>0.38</v>
      </c>
      <c r="R867" t="str">
        <f>IF(Q867&lt;=0.25,"Low ",IF(Q867&lt;=0.5,"Moderate ",IF(Q867&lt;=0.75,"High ","Very High ")))</f>
        <v xml:space="preserve">Moderate </v>
      </c>
      <c r="S867">
        <v>0.49249999999999999</v>
      </c>
      <c r="T867" t="str">
        <f>IF(S867&lt;=0.15,"Calm",IF(S867&lt;=0.3,"Light Wind",IF(S867&lt;=0.45,"Moderate Wind","Strong Wind")))</f>
        <v>Strong Wind</v>
      </c>
      <c r="U867">
        <v>2</v>
      </c>
      <c r="V867">
        <v>63</v>
      </c>
      <c r="W867">
        <v>65</v>
      </c>
      <c r="X867" t="str">
        <f>IF(W867&lt;=75,"Low Demand",IF(W867&lt;=150,"Medium Demand",IF(W867&lt;=225,"High Demand","Very High Demand")))</f>
        <v>Low Demand</v>
      </c>
    </row>
    <row r="868" spans="1:24" x14ac:dyDescent="0.25">
      <c r="A868">
        <v>867</v>
      </c>
      <c r="B868" s="2">
        <v>40582</v>
      </c>
      <c r="C868">
        <v>1</v>
      </c>
      <c r="D868">
        <v>0</v>
      </c>
      <c r="E868">
        <v>2</v>
      </c>
      <c r="F868">
        <v>13</v>
      </c>
      <c r="G868" t="str">
        <f>IF(F868&lt;6,"Night",IF(F868&lt;12,"Morning",IF(F868&lt;18,"Afternoon","Evening")))</f>
        <v>Afternoon</v>
      </c>
      <c r="H868">
        <v>0</v>
      </c>
      <c r="I868">
        <v>2</v>
      </c>
      <c r="J868" t="str">
        <f>CHOOSE(I868+1,"Monday","Tuesday","Wednesday","Thursday","Friday","Saturday","Sunday")</f>
        <v>Wednesday</v>
      </c>
      <c r="K868">
        <v>2</v>
      </c>
      <c r="L868" t="str">
        <f>CHOOSE(K868+1,"error","Clear","Misty","Rainy","Severe heater")</f>
        <v>Misty</v>
      </c>
      <c r="M868" s="1">
        <v>0.12</v>
      </c>
      <c r="N868" t="str">
        <f>IF(M868&lt;=0.2,"Low",IF(M868&lt;=0.4,"Mid","High"))</f>
        <v>Low</v>
      </c>
      <c r="O868" s="1">
        <v>0.1061</v>
      </c>
      <c r="P868" t="str">
        <f>IF(O868&lt;=0.15,"Very Cold",IF(O868&lt;=0.3,"Cold",IF(O868&lt;=0.45,"Pleasant","Hot")))</f>
        <v>Very Cold</v>
      </c>
      <c r="Q868">
        <v>0.32</v>
      </c>
      <c r="R868" t="str">
        <f>IF(Q868&lt;=0.25,"Low ",IF(Q868&lt;=0.5,"Moderate ",IF(Q868&lt;=0.75,"High ","Very High ")))</f>
        <v xml:space="preserve">Moderate </v>
      </c>
      <c r="S868">
        <v>0.44779999999999998</v>
      </c>
      <c r="T868" t="str">
        <f>IF(S868&lt;=0.15,"Calm",IF(S868&lt;=0.3,"Light Wind",IF(S868&lt;=0.45,"Moderate Wind","Strong Wind")))</f>
        <v>Moderate Wind</v>
      </c>
      <c r="U868">
        <v>2</v>
      </c>
      <c r="V868">
        <v>48</v>
      </c>
      <c r="W868">
        <v>50</v>
      </c>
      <c r="X868" t="str">
        <f>IF(W868&lt;=75,"Low Demand",IF(W868&lt;=150,"Medium Demand",IF(W868&lt;=225,"High Demand","Very High Demand")))</f>
        <v>Low Demand</v>
      </c>
    </row>
    <row r="869" spans="1:24" x14ac:dyDescent="0.25">
      <c r="A869">
        <v>868</v>
      </c>
      <c r="B869" s="2">
        <v>40582</v>
      </c>
      <c r="C869">
        <v>1</v>
      </c>
      <c r="D869">
        <v>0</v>
      </c>
      <c r="E869">
        <v>2</v>
      </c>
      <c r="F869">
        <v>14</v>
      </c>
      <c r="G869" t="str">
        <f>IF(F869&lt;6,"Night",IF(F869&lt;12,"Morning",IF(F869&lt;18,"Afternoon","Evening")))</f>
        <v>Afternoon</v>
      </c>
      <c r="H869">
        <v>0</v>
      </c>
      <c r="I869">
        <v>2</v>
      </c>
      <c r="J869" t="str">
        <f>CHOOSE(I869+1,"Monday","Tuesday","Wednesday","Thursday","Friday","Saturday","Sunday")</f>
        <v>Wednesday</v>
      </c>
      <c r="K869">
        <v>1</v>
      </c>
      <c r="L869" t="str">
        <f>CHOOSE(K869+1,"error","Clear","Misty","Rainy","Severe heater")</f>
        <v>Clear</v>
      </c>
      <c r="M869" s="1">
        <v>0.12</v>
      </c>
      <c r="N869" t="str">
        <f>IF(M869&lt;=0.2,"Low",IF(M869&lt;=0.4,"Mid","High"))</f>
        <v>Low</v>
      </c>
      <c r="O869" s="1">
        <v>0.1061</v>
      </c>
      <c r="P869" t="str">
        <f>IF(O869&lt;=0.15,"Very Cold",IF(O869&lt;=0.3,"Cold",IF(O869&lt;=0.45,"Pleasant","Hot")))</f>
        <v>Very Cold</v>
      </c>
      <c r="Q869">
        <v>0.37</v>
      </c>
      <c r="R869" t="str">
        <f>IF(Q869&lt;=0.25,"Low ",IF(Q869&lt;=0.5,"Moderate ",IF(Q869&lt;=0.75,"High ","Very High ")))</f>
        <v xml:space="preserve">Moderate </v>
      </c>
      <c r="S869">
        <v>0.41789999999999999</v>
      </c>
      <c r="T869" t="str">
        <f>IF(S869&lt;=0.15,"Calm",IF(S869&lt;=0.3,"Light Wind",IF(S869&lt;=0.45,"Moderate Wind","Strong Wind")))</f>
        <v>Moderate Wind</v>
      </c>
      <c r="U869">
        <v>3</v>
      </c>
      <c r="V869">
        <v>61</v>
      </c>
      <c r="W869">
        <v>64</v>
      </c>
      <c r="X869" t="str">
        <f>IF(W869&lt;=75,"Low Demand",IF(W869&lt;=150,"Medium Demand",IF(W869&lt;=225,"High Demand","Very High Demand")))</f>
        <v>Low Demand</v>
      </c>
    </row>
    <row r="870" spans="1:24" x14ac:dyDescent="0.25">
      <c r="A870">
        <v>869</v>
      </c>
      <c r="B870" s="2">
        <v>40582</v>
      </c>
      <c r="C870">
        <v>1</v>
      </c>
      <c r="D870">
        <v>0</v>
      </c>
      <c r="E870">
        <v>2</v>
      </c>
      <c r="F870">
        <v>15</v>
      </c>
      <c r="G870" t="str">
        <f>IF(F870&lt;6,"Night",IF(F870&lt;12,"Morning",IF(F870&lt;18,"Afternoon","Evening")))</f>
        <v>Afternoon</v>
      </c>
      <c r="H870">
        <v>0</v>
      </c>
      <c r="I870">
        <v>2</v>
      </c>
      <c r="J870" t="str">
        <f>CHOOSE(I870+1,"Monday","Tuesday","Wednesday","Thursday","Friday","Saturday","Sunday")</f>
        <v>Wednesday</v>
      </c>
      <c r="K870">
        <v>1</v>
      </c>
      <c r="L870" t="str">
        <f>CHOOSE(K870+1,"error","Clear","Misty","Rainy","Severe heater")</f>
        <v>Clear</v>
      </c>
      <c r="M870" s="1">
        <v>0.1</v>
      </c>
      <c r="N870" t="str">
        <f>IF(M870&lt;=0.2,"Low",IF(M870&lt;=0.4,"Mid","High"))</f>
        <v>Low</v>
      </c>
      <c r="O870" s="1">
        <v>7.5800000000000006E-2</v>
      </c>
      <c r="P870" t="str">
        <f>IF(O870&lt;=0.15,"Very Cold",IF(O870&lt;=0.3,"Cold",IF(O870&lt;=0.45,"Pleasant","Hot")))</f>
        <v>Very Cold</v>
      </c>
      <c r="Q870">
        <v>0.35</v>
      </c>
      <c r="R870" t="str">
        <f>IF(Q870&lt;=0.25,"Low ",IF(Q870&lt;=0.5,"Moderate ",IF(Q870&lt;=0.75,"High ","Very High ")))</f>
        <v xml:space="preserve">Moderate </v>
      </c>
      <c r="S870">
        <v>0.3881</v>
      </c>
      <c r="T870" t="str">
        <f>IF(S870&lt;=0.15,"Calm",IF(S870&lt;=0.3,"Light Wind",IF(S870&lt;=0.45,"Moderate Wind","Strong Wind")))</f>
        <v>Moderate Wind</v>
      </c>
      <c r="U870">
        <v>6</v>
      </c>
      <c r="V870">
        <v>45</v>
      </c>
      <c r="W870">
        <v>51</v>
      </c>
      <c r="X870" t="str">
        <f>IF(W870&lt;=75,"Low Demand",IF(W870&lt;=150,"Medium Demand",IF(W870&lt;=225,"High Demand","Very High Demand")))</f>
        <v>Low Demand</v>
      </c>
    </row>
    <row r="871" spans="1:24" x14ac:dyDescent="0.25">
      <c r="A871">
        <v>870</v>
      </c>
      <c r="B871" s="2">
        <v>40582</v>
      </c>
      <c r="C871">
        <v>1</v>
      </c>
      <c r="D871">
        <v>0</v>
      </c>
      <c r="E871">
        <v>2</v>
      </c>
      <c r="F871">
        <v>16</v>
      </c>
      <c r="G871" t="str">
        <f>IF(F871&lt;6,"Night",IF(F871&lt;12,"Morning",IF(F871&lt;18,"Afternoon","Evening")))</f>
        <v>Afternoon</v>
      </c>
      <c r="H871">
        <v>0</v>
      </c>
      <c r="I871">
        <v>2</v>
      </c>
      <c r="J871" t="str">
        <f>CHOOSE(I871+1,"Monday","Tuesday","Wednesday","Thursday","Friday","Saturday","Sunday")</f>
        <v>Wednesday</v>
      </c>
      <c r="K871">
        <v>1</v>
      </c>
      <c r="L871" t="str">
        <f>CHOOSE(K871+1,"error","Clear","Misty","Rainy","Severe heater")</f>
        <v>Clear</v>
      </c>
      <c r="M871" s="1">
        <v>0.1</v>
      </c>
      <c r="N871" t="str">
        <f>IF(M871&lt;=0.2,"Low",IF(M871&lt;=0.4,"Mid","High"))</f>
        <v>Low</v>
      </c>
      <c r="O871" s="1">
        <v>0.1061</v>
      </c>
      <c r="P871" t="str">
        <f>IF(O871&lt;=0.15,"Very Cold",IF(O871&lt;=0.3,"Cold",IF(O871&lt;=0.45,"Pleasant","Hot")))</f>
        <v>Very Cold</v>
      </c>
      <c r="Q871">
        <v>0.35</v>
      </c>
      <c r="R871" t="str">
        <f>IF(Q871&lt;=0.25,"Low ",IF(Q871&lt;=0.5,"Moderate ",IF(Q871&lt;=0.75,"High ","Very High ")))</f>
        <v xml:space="preserve">Moderate </v>
      </c>
      <c r="S871">
        <v>0.52239999999999998</v>
      </c>
      <c r="T871" t="str">
        <f>IF(S871&lt;=0.15,"Calm",IF(S871&lt;=0.3,"Light Wind",IF(S871&lt;=0.45,"Moderate Wind","Strong Wind")))</f>
        <v>Strong Wind</v>
      </c>
      <c r="U871">
        <v>4</v>
      </c>
      <c r="V871">
        <v>79</v>
      </c>
      <c r="W871">
        <v>83</v>
      </c>
      <c r="X871" t="str">
        <f>IF(W871&lt;=75,"Low Demand",IF(W871&lt;=150,"Medium Demand",IF(W871&lt;=225,"High Demand","Very High Demand")))</f>
        <v>Medium Demand</v>
      </c>
    </row>
    <row r="872" spans="1:24" x14ac:dyDescent="0.25">
      <c r="A872">
        <v>871</v>
      </c>
      <c r="B872" s="2">
        <v>40582</v>
      </c>
      <c r="C872">
        <v>1</v>
      </c>
      <c r="D872">
        <v>0</v>
      </c>
      <c r="E872">
        <v>2</v>
      </c>
      <c r="F872">
        <v>17</v>
      </c>
      <c r="G872" t="str">
        <f>IF(F872&lt;6,"Night",IF(F872&lt;12,"Morning",IF(F872&lt;18,"Afternoon","Evening")))</f>
        <v>Afternoon</v>
      </c>
      <c r="H872">
        <v>0</v>
      </c>
      <c r="I872">
        <v>2</v>
      </c>
      <c r="J872" t="str">
        <f>CHOOSE(I872+1,"Monday","Tuesday","Wednesday","Thursday","Friday","Saturday","Sunday")</f>
        <v>Wednesday</v>
      </c>
      <c r="K872">
        <v>1</v>
      </c>
      <c r="L872" t="str">
        <f>CHOOSE(K872+1,"error","Clear","Misty","Rainy","Severe heater")</f>
        <v>Clear</v>
      </c>
      <c r="M872" s="1">
        <v>0.08</v>
      </c>
      <c r="N872" t="str">
        <f>IF(M872&lt;=0.2,"Low",IF(M872&lt;=0.4,"Mid","High"))</f>
        <v>Low</v>
      </c>
      <c r="O872" s="1">
        <v>7.5800000000000006E-2</v>
      </c>
      <c r="P872" t="str">
        <f>IF(O872&lt;=0.15,"Very Cold",IF(O872&lt;=0.3,"Cold",IF(O872&lt;=0.45,"Pleasant","Hot")))</f>
        <v>Very Cold</v>
      </c>
      <c r="Q872">
        <v>0.32</v>
      </c>
      <c r="R872" t="str">
        <f>IF(Q872&lt;=0.25,"Low ",IF(Q872&lt;=0.5,"Moderate ",IF(Q872&lt;=0.75,"High ","Very High ")))</f>
        <v xml:space="preserve">Moderate </v>
      </c>
      <c r="S872">
        <v>0.58209999999999995</v>
      </c>
      <c r="T872" t="str">
        <f>IF(S872&lt;=0.15,"Calm",IF(S872&lt;=0.3,"Light Wind",IF(S872&lt;=0.45,"Moderate Wind","Strong Wind")))</f>
        <v>Strong Wind</v>
      </c>
      <c r="U872">
        <v>4</v>
      </c>
      <c r="V872">
        <v>172</v>
      </c>
      <c r="W872">
        <v>176</v>
      </c>
      <c r="X872" t="str">
        <f>IF(W872&lt;=75,"Low Demand",IF(W872&lt;=150,"Medium Demand",IF(W872&lt;=225,"High Demand","Very High Demand")))</f>
        <v>High Demand</v>
      </c>
    </row>
    <row r="873" spans="1:24" x14ac:dyDescent="0.25">
      <c r="A873">
        <v>872</v>
      </c>
      <c r="B873" s="2">
        <v>40582</v>
      </c>
      <c r="C873">
        <v>1</v>
      </c>
      <c r="D873">
        <v>0</v>
      </c>
      <c r="E873">
        <v>2</v>
      </c>
      <c r="F873">
        <v>18</v>
      </c>
      <c r="G873" t="str">
        <f>IF(F873&lt;6,"Night",IF(F873&lt;12,"Morning",IF(F873&lt;18,"Afternoon","Evening")))</f>
        <v>Evening</v>
      </c>
      <c r="H873">
        <v>0</v>
      </c>
      <c r="I873">
        <v>2</v>
      </c>
      <c r="J873" t="str">
        <f>CHOOSE(I873+1,"Monday","Tuesday","Wednesday","Thursday","Friday","Saturday","Sunday")</f>
        <v>Wednesday</v>
      </c>
      <c r="K873">
        <v>1</v>
      </c>
      <c r="L873" t="str">
        <f>CHOOSE(K873+1,"error","Clear","Misty","Rainy","Severe heater")</f>
        <v>Clear</v>
      </c>
      <c r="M873" s="1">
        <v>0.06</v>
      </c>
      <c r="N873" t="str">
        <f>IF(M873&lt;=0.2,"Low",IF(M873&lt;=0.4,"Mid","High"))</f>
        <v>Low</v>
      </c>
      <c r="O873" s="1">
        <v>7.5800000000000006E-2</v>
      </c>
      <c r="P873" t="str">
        <f>IF(O873&lt;=0.15,"Very Cold",IF(O873&lt;=0.3,"Cold",IF(O873&lt;=0.45,"Pleasant","Hot")))</f>
        <v>Very Cold</v>
      </c>
      <c r="Q873">
        <v>0.32</v>
      </c>
      <c r="R873" t="str">
        <f>IF(Q873&lt;=0.25,"Low ",IF(Q873&lt;=0.5,"Moderate ",IF(Q873&lt;=0.75,"High ","Very High ")))</f>
        <v xml:space="preserve">Moderate </v>
      </c>
      <c r="S873">
        <v>0.3881</v>
      </c>
      <c r="T873" t="str">
        <f>IF(S873&lt;=0.15,"Calm",IF(S873&lt;=0.3,"Light Wind",IF(S873&lt;=0.45,"Moderate Wind","Strong Wind")))</f>
        <v>Moderate Wind</v>
      </c>
      <c r="U873">
        <v>1</v>
      </c>
      <c r="V873">
        <v>151</v>
      </c>
      <c r="W873">
        <v>152</v>
      </c>
      <c r="X873" t="str">
        <f>IF(W873&lt;=75,"Low Demand",IF(W873&lt;=150,"Medium Demand",IF(W873&lt;=225,"High Demand","Very High Demand")))</f>
        <v>High Demand</v>
      </c>
    </row>
    <row r="874" spans="1:24" x14ac:dyDescent="0.25">
      <c r="A874">
        <v>873</v>
      </c>
      <c r="B874" s="2">
        <v>40582</v>
      </c>
      <c r="C874">
        <v>1</v>
      </c>
      <c r="D874">
        <v>0</v>
      </c>
      <c r="E874">
        <v>2</v>
      </c>
      <c r="F874">
        <v>19</v>
      </c>
      <c r="G874" t="str">
        <f>IF(F874&lt;6,"Night",IF(F874&lt;12,"Morning",IF(F874&lt;18,"Afternoon","Evening")))</f>
        <v>Evening</v>
      </c>
      <c r="H874">
        <v>0</v>
      </c>
      <c r="I874">
        <v>2</v>
      </c>
      <c r="J874" t="str">
        <f>CHOOSE(I874+1,"Monday","Tuesday","Wednesday","Thursday","Friday","Saturday","Sunday")</f>
        <v>Wednesday</v>
      </c>
      <c r="K874">
        <v>1</v>
      </c>
      <c r="L874" t="str">
        <f>CHOOSE(K874+1,"error","Clear","Misty","Rainy","Severe heater")</f>
        <v>Clear</v>
      </c>
      <c r="M874" s="1">
        <v>0.06</v>
      </c>
      <c r="N874" t="str">
        <f>IF(M874&lt;=0.2,"Low",IF(M874&lt;=0.4,"Mid","High"))</f>
        <v>Low</v>
      </c>
      <c r="O874" s="1">
        <v>0.1061</v>
      </c>
      <c r="P874" t="str">
        <f>IF(O874&lt;=0.15,"Very Cold",IF(O874&lt;=0.3,"Cold",IF(O874&lt;=0.45,"Pleasant","Hot")))</f>
        <v>Very Cold</v>
      </c>
      <c r="Q874">
        <v>0.4</v>
      </c>
      <c r="R874" t="str">
        <f>IF(Q874&lt;=0.25,"Low ",IF(Q874&lt;=0.5,"Moderate ",IF(Q874&lt;=0.75,"High ","Very High ")))</f>
        <v xml:space="preserve">Moderate </v>
      </c>
      <c r="S874">
        <v>0.4627</v>
      </c>
      <c r="T874" t="str">
        <f>IF(S874&lt;=0.15,"Calm",IF(S874&lt;=0.3,"Light Wind",IF(S874&lt;=0.45,"Moderate Wind","Strong Wind")))</f>
        <v>Strong Wind</v>
      </c>
      <c r="U874">
        <v>1</v>
      </c>
      <c r="V874">
        <v>100</v>
      </c>
      <c r="W874">
        <v>101</v>
      </c>
      <c r="X874" t="str">
        <f>IF(W874&lt;=75,"Low Demand",IF(W874&lt;=150,"Medium Demand",IF(W874&lt;=225,"High Demand","Very High Demand")))</f>
        <v>Medium Demand</v>
      </c>
    </row>
    <row r="875" spans="1:24" x14ac:dyDescent="0.25">
      <c r="A875">
        <v>874</v>
      </c>
      <c r="B875" s="2">
        <v>40582</v>
      </c>
      <c r="C875">
        <v>1</v>
      </c>
      <c r="D875">
        <v>0</v>
      </c>
      <c r="E875">
        <v>2</v>
      </c>
      <c r="F875">
        <v>20</v>
      </c>
      <c r="G875" t="str">
        <f>IF(F875&lt;6,"Night",IF(F875&lt;12,"Morning",IF(F875&lt;18,"Afternoon","Evening")))</f>
        <v>Evening</v>
      </c>
      <c r="H875">
        <v>0</v>
      </c>
      <c r="I875">
        <v>2</v>
      </c>
      <c r="J875" t="str">
        <f>CHOOSE(I875+1,"Monday","Tuesday","Wednesday","Thursday","Friday","Saturday","Sunday")</f>
        <v>Wednesday</v>
      </c>
      <c r="K875">
        <v>1</v>
      </c>
      <c r="L875" t="str">
        <f>CHOOSE(K875+1,"error","Clear","Misty","Rainy","Severe heater")</f>
        <v>Clear</v>
      </c>
      <c r="M875" s="1">
        <v>0.06</v>
      </c>
      <c r="N875" t="str">
        <f>IF(M875&lt;=0.2,"Low",IF(M875&lt;=0.4,"Mid","High"))</f>
        <v>Low</v>
      </c>
      <c r="O875" s="1">
        <v>0.1515</v>
      </c>
      <c r="P875" t="str">
        <f>IF(O875&lt;=0.15,"Very Cold",IF(O875&lt;=0.3,"Cold",IF(O875&lt;=0.45,"Pleasant","Hot")))</f>
        <v>Cold</v>
      </c>
      <c r="Q875">
        <v>0.4</v>
      </c>
      <c r="R875" t="str">
        <f>IF(Q875&lt;=0.25,"Low ",IF(Q875&lt;=0.5,"Moderate ",IF(Q875&lt;=0.75,"High ","Very High ")))</f>
        <v xml:space="preserve">Moderate </v>
      </c>
      <c r="S875">
        <v>0.32840000000000003</v>
      </c>
      <c r="T875" t="str">
        <f>IF(S875&lt;=0.15,"Calm",IF(S875&lt;=0.3,"Light Wind",IF(S875&lt;=0.45,"Moderate Wind","Strong Wind")))</f>
        <v>Moderate Wind</v>
      </c>
      <c r="U875">
        <v>3</v>
      </c>
      <c r="V875">
        <v>53</v>
      </c>
      <c r="W875">
        <v>56</v>
      </c>
      <c r="X875" t="str">
        <f>IF(W875&lt;=75,"Low Demand",IF(W875&lt;=150,"Medium Demand",IF(W875&lt;=225,"High Demand","Very High Demand")))</f>
        <v>Low Demand</v>
      </c>
    </row>
    <row r="876" spans="1:24" x14ac:dyDescent="0.25">
      <c r="A876">
        <v>875</v>
      </c>
      <c r="B876" s="2">
        <v>40582</v>
      </c>
      <c r="C876">
        <v>1</v>
      </c>
      <c r="D876">
        <v>0</v>
      </c>
      <c r="E876">
        <v>2</v>
      </c>
      <c r="F876">
        <v>21</v>
      </c>
      <c r="G876" t="str">
        <f>IF(F876&lt;6,"Night",IF(F876&lt;12,"Morning",IF(F876&lt;18,"Afternoon","Evening")))</f>
        <v>Evening</v>
      </c>
      <c r="H876">
        <v>0</v>
      </c>
      <c r="I876">
        <v>2</v>
      </c>
      <c r="J876" t="str">
        <f>CHOOSE(I876+1,"Monday","Tuesday","Wednesday","Thursday","Friday","Saturday","Sunday")</f>
        <v>Wednesday</v>
      </c>
      <c r="K876">
        <v>1</v>
      </c>
      <c r="L876" t="str">
        <f>CHOOSE(K876+1,"error","Clear","Misty","Rainy","Severe heater")</f>
        <v>Clear</v>
      </c>
      <c r="M876" s="1">
        <v>0.06</v>
      </c>
      <c r="N876" t="str">
        <f>IF(M876&lt;=0.2,"Low",IF(M876&lt;=0.4,"Mid","High"))</f>
        <v>Low</v>
      </c>
      <c r="O876" s="1">
        <v>0.1061</v>
      </c>
      <c r="P876" t="str">
        <f>IF(O876&lt;=0.15,"Very Cold",IF(O876&lt;=0.3,"Cold",IF(O876&lt;=0.45,"Pleasant","Hot")))</f>
        <v>Very Cold</v>
      </c>
      <c r="Q876">
        <v>0.33</v>
      </c>
      <c r="R876" t="str">
        <f>IF(Q876&lt;=0.25,"Low ",IF(Q876&lt;=0.5,"Moderate ",IF(Q876&lt;=0.75,"High ","Very High ")))</f>
        <v xml:space="preserve">Moderate </v>
      </c>
      <c r="S876">
        <v>0.4627</v>
      </c>
      <c r="T876" t="str">
        <f>IF(S876&lt;=0.15,"Calm",IF(S876&lt;=0.3,"Light Wind",IF(S876&lt;=0.45,"Moderate Wind","Strong Wind")))</f>
        <v>Strong Wind</v>
      </c>
      <c r="U876">
        <v>8</v>
      </c>
      <c r="V876">
        <v>46</v>
      </c>
      <c r="W876">
        <v>54</v>
      </c>
      <c r="X876" t="str">
        <f>IF(W876&lt;=75,"Low Demand",IF(W876&lt;=150,"Medium Demand",IF(W876&lt;=225,"High Demand","Very High Demand")))</f>
        <v>Low Demand</v>
      </c>
    </row>
    <row r="877" spans="1:24" x14ac:dyDescent="0.25">
      <c r="A877">
        <v>876</v>
      </c>
      <c r="B877" s="2">
        <v>40582</v>
      </c>
      <c r="C877">
        <v>1</v>
      </c>
      <c r="D877">
        <v>0</v>
      </c>
      <c r="E877">
        <v>2</v>
      </c>
      <c r="F877">
        <v>22</v>
      </c>
      <c r="G877" t="str">
        <f>IF(F877&lt;6,"Night",IF(F877&lt;12,"Morning",IF(F877&lt;18,"Afternoon","Evening")))</f>
        <v>Evening</v>
      </c>
      <c r="H877">
        <v>0</v>
      </c>
      <c r="I877">
        <v>2</v>
      </c>
      <c r="J877" t="str">
        <f>CHOOSE(I877+1,"Monday","Tuesday","Wednesday","Thursday","Friday","Saturday","Sunday")</f>
        <v>Wednesday</v>
      </c>
      <c r="K877">
        <v>1</v>
      </c>
      <c r="L877" t="str">
        <f>CHOOSE(K877+1,"error","Clear","Misty","Rainy","Severe heater")</f>
        <v>Clear</v>
      </c>
      <c r="M877" s="1">
        <v>0.1</v>
      </c>
      <c r="N877" t="str">
        <f>IF(M877&lt;=0.2,"Low",IF(M877&lt;=0.4,"Mid","High"))</f>
        <v>Low</v>
      </c>
      <c r="O877" s="1">
        <v>0.13639999999999999</v>
      </c>
      <c r="P877" t="str">
        <f>IF(O877&lt;=0.15,"Very Cold",IF(O877&lt;=0.3,"Cold",IF(O877&lt;=0.45,"Pleasant","Hot")))</f>
        <v>Very Cold</v>
      </c>
      <c r="Q877">
        <v>0.33</v>
      </c>
      <c r="R877" t="str">
        <f>IF(Q877&lt;=0.25,"Low ",IF(Q877&lt;=0.5,"Moderate ",IF(Q877&lt;=0.75,"High ","Very High ")))</f>
        <v xml:space="preserve">Moderate </v>
      </c>
      <c r="S877">
        <v>0.35820000000000002</v>
      </c>
      <c r="T877" t="str">
        <f>IF(S877&lt;=0.15,"Calm",IF(S877&lt;=0.3,"Light Wind",IF(S877&lt;=0.45,"Moderate Wind","Strong Wind")))</f>
        <v>Moderate Wind</v>
      </c>
      <c r="U877">
        <v>0</v>
      </c>
      <c r="V877">
        <v>29</v>
      </c>
      <c r="W877">
        <v>29</v>
      </c>
      <c r="X877" t="str">
        <f>IF(W877&lt;=75,"Low Demand",IF(W877&lt;=150,"Medium Demand",IF(W877&lt;=225,"High Demand","Very High Demand")))</f>
        <v>Low Demand</v>
      </c>
    </row>
    <row r="878" spans="1:24" x14ac:dyDescent="0.25">
      <c r="A878">
        <v>877</v>
      </c>
      <c r="B878" s="2">
        <v>40582</v>
      </c>
      <c r="C878">
        <v>1</v>
      </c>
      <c r="D878">
        <v>0</v>
      </c>
      <c r="E878">
        <v>2</v>
      </c>
      <c r="F878">
        <v>23</v>
      </c>
      <c r="G878" t="str">
        <f>IF(F878&lt;6,"Night",IF(F878&lt;12,"Morning",IF(F878&lt;18,"Afternoon","Evening")))</f>
        <v>Evening</v>
      </c>
      <c r="H878">
        <v>0</v>
      </c>
      <c r="I878">
        <v>2</v>
      </c>
      <c r="J878" t="str">
        <f>CHOOSE(I878+1,"Monday","Tuesday","Wednesday","Thursday","Friday","Saturday","Sunday")</f>
        <v>Wednesday</v>
      </c>
      <c r="K878">
        <v>1</v>
      </c>
      <c r="L878" t="str">
        <f>CHOOSE(K878+1,"error","Clear","Misty","Rainy","Severe heater")</f>
        <v>Clear</v>
      </c>
      <c r="M878" s="1">
        <v>0.12</v>
      </c>
      <c r="N878" t="str">
        <f>IF(M878&lt;=0.2,"Low",IF(M878&lt;=0.4,"Mid","High"))</f>
        <v>Low</v>
      </c>
      <c r="O878" s="1">
        <v>0.13639999999999999</v>
      </c>
      <c r="P878" t="str">
        <f>IF(O878&lt;=0.15,"Very Cold",IF(O878&lt;=0.3,"Cold",IF(O878&lt;=0.45,"Pleasant","Hot")))</f>
        <v>Very Cold</v>
      </c>
      <c r="Q878">
        <v>0.33</v>
      </c>
      <c r="R878" t="str">
        <f>IF(Q878&lt;=0.25,"Low ",IF(Q878&lt;=0.5,"Moderate ",IF(Q878&lt;=0.75,"High ","Very High ")))</f>
        <v xml:space="preserve">Moderate </v>
      </c>
      <c r="S878">
        <v>0.32840000000000003</v>
      </c>
      <c r="T878" t="str">
        <f>IF(S878&lt;=0.15,"Calm",IF(S878&lt;=0.3,"Light Wind",IF(S878&lt;=0.45,"Moderate Wind","Strong Wind")))</f>
        <v>Moderate Wind</v>
      </c>
      <c r="U878">
        <v>3</v>
      </c>
      <c r="V878">
        <v>9</v>
      </c>
      <c r="W878">
        <v>12</v>
      </c>
      <c r="X878" t="str">
        <f>IF(W878&lt;=75,"Low Demand",IF(W878&lt;=150,"Medium Demand",IF(W878&lt;=225,"High Demand","Very High Demand")))</f>
        <v>Low Demand</v>
      </c>
    </row>
    <row r="879" spans="1:24" x14ac:dyDescent="0.25">
      <c r="A879">
        <v>878</v>
      </c>
      <c r="B879" s="2">
        <v>40583</v>
      </c>
      <c r="C879">
        <v>1</v>
      </c>
      <c r="D879">
        <v>0</v>
      </c>
      <c r="E879">
        <v>2</v>
      </c>
      <c r="F879">
        <v>0</v>
      </c>
      <c r="G879" t="str">
        <f>IF(F879&lt;6,"Night",IF(F879&lt;12,"Morning",IF(F879&lt;18,"Afternoon","Evening")))</f>
        <v>Night</v>
      </c>
      <c r="H879">
        <v>0</v>
      </c>
      <c r="I879">
        <v>3</v>
      </c>
      <c r="J879" t="str">
        <f>CHOOSE(I879+1,"Monday","Tuesday","Wednesday","Thursday","Friday","Saturday","Sunday")</f>
        <v>Thursday</v>
      </c>
      <c r="K879">
        <v>1</v>
      </c>
      <c r="L879" t="str">
        <f>CHOOSE(K879+1,"error","Clear","Misty","Rainy","Severe heater")</f>
        <v>Clear</v>
      </c>
      <c r="M879" s="1">
        <v>0.14000000000000001</v>
      </c>
      <c r="N879" t="str">
        <f>IF(M879&lt;=0.2,"Low",IF(M879&lt;=0.4,"Mid","High"))</f>
        <v>Low</v>
      </c>
      <c r="O879" s="1">
        <v>0.18179999999999999</v>
      </c>
      <c r="P879" t="str">
        <f>IF(O879&lt;=0.15,"Very Cold",IF(O879&lt;=0.3,"Cold",IF(O879&lt;=0.45,"Pleasant","Hot")))</f>
        <v>Cold</v>
      </c>
      <c r="Q879">
        <v>0.36</v>
      </c>
      <c r="R879" t="str">
        <f>IF(Q879&lt;=0.25,"Low ",IF(Q879&lt;=0.5,"Moderate ",IF(Q879&lt;=0.75,"High ","Very High ")))</f>
        <v xml:space="preserve">Moderate </v>
      </c>
      <c r="S879">
        <v>0.35820000000000002</v>
      </c>
      <c r="T879" t="str">
        <f>IF(S879&lt;=0.15,"Calm",IF(S879&lt;=0.3,"Light Wind",IF(S879&lt;=0.45,"Moderate Wind","Strong Wind")))</f>
        <v>Moderate Wind</v>
      </c>
      <c r="U879">
        <v>0</v>
      </c>
      <c r="V879">
        <v>17</v>
      </c>
      <c r="W879">
        <v>17</v>
      </c>
      <c r="X879" t="str">
        <f>IF(W879&lt;=75,"Low Demand",IF(W879&lt;=150,"Medium Demand",IF(W879&lt;=225,"High Demand","Very High Demand")))</f>
        <v>Low Demand</v>
      </c>
    </row>
    <row r="880" spans="1:24" x14ac:dyDescent="0.25">
      <c r="A880">
        <v>879</v>
      </c>
      <c r="B880" s="2">
        <v>40583</v>
      </c>
      <c r="C880">
        <v>1</v>
      </c>
      <c r="D880">
        <v>0</v>
      </c>
      <c r="E880">
        <v>2</v>
      </c>
      <c r="F880">
        <v>1</v>
      </c>
      <c r="G880" t="str">
        <f>IF(F880&lt;6,"Night",IF(F880&lt;12,"Morning",IF(F880&lt;18,"Afternoon","Evening")))</f>
        <v>Night</v>
      </c>
      <c r="H880">
        <v>0</v>
      </c>
      <c r="I880">
        <v>3</v>
      </c>
      <c r="J880" t="str">
        <f>CHOOSE(I880+1,"Monday","Tuesday","Wednesday","Thursday","Friday","Saturday","Sunday")</f>
        <v>Thursday</v>
      </c>
      <c r="K880">
        <v>1</v>
      </c>
      <c r="L880" t="str">
        <f>CHOOSE(K880+1,"error","Clear","Misty","Rainy","Severe heater")</f>
        <v>Clear</v>
      </c>
      <c r="M880" s="1">
        <v>0.14000000000000001</v>
      </c>
      <c r="N880" t="str">
        <f>IF(M880&lt;=0.2,"Low",IF(M880&lt;=0.4,"Mid","High"))</f>
        <v>Low</v>
      </c>
      <c r="O880" s="1">
        <v>0.1515</v>
      </c>
      <c r="P880" t="str">
        <f>IF(O880&lt;=0.15,"Very Cold",IF(O880&lt;=0.3,"Cold",IF(O880&lt;=0.45,"Pleasant","Hot")))</f>
        <v>Cold</v>
      </c>
      <c r="Q880">
        <v>0.36</v>
      </c>
      <c r="R880" t="str">
        <f>IF(Q880&lt;=0.25,"Low ",IF(Q880&lt;=0.5,"Moderate ",IF(Q880&lt;=0.75,"High ","Very High ")))</f>
        <v xml:space="preserve">Moderate </v>
      </c>
      <c r="S880">
        <v>0.22389999999999999</v>
      </c>
      <c r="T880" t="str">
        <f>IF(S880&lt;=0.15,"Calm",IF(S880&lt;=0.3,"Light Wind",IF(S880&lt;=0.45,"Moderate Wind","Strong Wind")))</f>
        <v>Light Wind</v>
      </c>
      <c r="U880">
        <v>0</v>
      </c>
      <c r="V880">
        <v>7</v>
      </c>
      <c r="W880">
        <v>7</v>
      </c>
      <c r="X880" t="str">
        <f>IF(W880&lt;=75,"Low Demand",IF(W880&lt;=150,"Medium Demand",IF(W880&lt;=225,"High Demand","Very High Demand")))</f>
        <v>Low Demand</v>
      </c>
    </row>
    <row r="881" spans="1:24" x14ac:dyDescent="0.25">
      <c r="A881">
        <v>880</v>
      </c>
      <c r="B881" s="2">
        <v>40583</v>
      </c>
      <c r="C881">
        <v>1</v>
      </c>
      <c r="D881">
        <v>0</v>
      </c>
      <c r="E881">
        <v>2</v>
      </c>
      <c r="F881">
        <v>2</v>
      </c>
      <c r="G881" t="str">
        <f>IF(F881&lt;6,"Night",IF(F881&lt;12,"Morning",IF(F881&lt;18,"Afternoon","Evening")))</f>
        <v>Night</v>
      </c>
      <c r="H881">
        <v>0</v>
      </c>
      <c r="I881">
        <v>3</v>
      </c>
      <c r="J881" t="str">
        <f>CHOOSE(I881+1,"Monday","Tuesday","Wednesday","Thursday","Friday","Saturday","Sunday")</f>
        <v>Thursday</v>
      </c>
      <c r="K881">
        <v>1</v>
      </c>
      <c r="L881" t="str">
        <f>CHOOSE(K881+1,"error","Clear","Misty","Rainy","Severe heater")</f>
        <v>Clear</v>
      </c>
      <c r="M881" s="1">
        <v>0.18</v>
      </c>
      <c r="N881" t="str">
        <f>IF(M881&lt;=0.2,"Low",IF(M881&lt;=0.4,"Mid","High"))</f>
        <v>Low</v>
      </c>
      <c r="O881" s="1">
        <v>0.18179999999999999</v>
      </c>
      <c r="P881" t="str">
        <f>IF(O881&lt;=0.15,"Very Cold",IF(O881&lt;=0.3,"Cold",IF(O881&lt;=0.45,"Pleasant","Hot")))</f>
        <v>Cold</v>
      </c>
      <c r="Q881">
        <v>0.38</v>
      </c>
      <c r="R881" t="str">
        <f>IF(Q881&lt;=0.25,"Low ",IF(Q881&lt;=0.5,"Moderate ",IF(Q881&lt;=0.75,"High ","Very High ")))</f>
        <v xml:space="preserve">Moderate </v>
      </c>
      <c r="S881">
        <v>0.28360000000000002</v>
      </c>
      <c r="T881" t="str">
        <f>IF(S881&lt;=0.15,"Calm",IF(S881&lt;=0.3,"Light Wind",IF(S881&lt;=0.45,"Moderate Wind","Strong Wind")))</f>
        <v>Light Wind</v>
      </c>
      <c r="U881">
        <v>1</v>
      </c>
      <c r="V881">
        <v>2</v>
      </c>
      <c r="W881">
        <v>3</v>
      </c>
      <c r="X881" t="str">
        <f>IF(W881&lt;=75,"Low Demand",IF(W881&lt;=150,"Medium Demand",IF(W881&lt;=225,"High Demand","Very High Demand")))</f>
        <v>Low Demand</v>
      </c>
    </row>
    <row r="882" spans="1:24" x14ac:dyDescent="0.25">
      <c r="A882">
        <v>881</v>
      </c>
      <c r="B882" s="2">
        <v>40583</v>
      </c>
      <c r="C882">
        <v>1</v>
      </c>
      <c r="D882">
        <v>0</v>
      </c>
      <c r="E882">
        <v>2</v>
      </c>
      <c r="F882">
        <v>3</v>
      </c>
      <c r="G882" t="str">
        <f>IF(F882&lt;6,"Night",IF(F882&lt;12,"Morning",IF(F882&lt;18,"Afternoon","Evening")))</f>
        <v>Night</v>
      </c>
      <c r="H882">
        <v>0</v>
      </c>
      <c r="I882">
        <v>3</v>
      </c>
      <c r="J882" t="str">
        <f>CHOOSE(I882+1,"Monday","Tuesday","Wednesday","Thursday","Friday","Saturday","Sunday")</f>
        <v>Thursday</v>
      </c>
      <c r="K882">
        <v>1</v>
      </c>
      <c r="L882" t="str">
        <f>CHOOSE(K882+1,"error","Clear","Misty","Rainy","Severe heater")</f>
        <v>Clear</v>
      </c>
      <c r="M882" s="1">
        <v>0.18</v>
      </c>
      <c r="N882" t="str">
        <f>IF(M882&lt;=0.2,"Low",IF(M882&lt;=0.4,"Mid","High"))</f>
        <v>Low</v>
      </c>
      <c r="O882" s="1">
        <v>0.16669999999999999</v>
      </c>
      <c r="P882" t="str">
        <f>IF(O882&lt;=0.15,"Very Cold",IF(O882&lt;=0.3,"Cold",IF(O882&lt;=0.45,"Pleasant","Hot")))</f>
        <v>Cold</v>
      </c>
      <c r="Q882">
        <v>0.45</v>
      </c>
      <c r="R882" t="str">
        <f>IF(Q882&lt;=0.25,"Low ",IF(Q882&lt;=0.5,"Moderate ",IF(Q882&lt;=0.75,"High ","Very High ")))</f>
        <v xml:space="preserve">Moderate </v>
      </c>
      <c r="S882">
        <v>0.1343</v>
      </c>
      <c r="T882" t="str">
        <f>IF(S882&lt;=0.15,"Calm",IF(S882&lt;=0.3,"Light Wind",IF(S882&lt;=0.45,"Moderate Wind","Strong Wind")))</f>
        <v>Calm</v>
      </c>
      <c r="U882">
        <v>0</v>
      </c>
      <c r="V882">
        <v>2</v>
      </c>
      <c r="W882">
        <v>2</v>
      </c>
      <c r="X882" t="str">
        <f>IF(W882&lt;=75,"Low Demand",IF(W882&lt;=150,"Medium Demand",IF(W882&lt;=225,"High Demand","Very High Demand")))</f>
        <v>Low Demand</v>
      </c>
    </row>
    <row r="883" spans="1:24" x14ac:dyDescent="0.25">
      <c r="A883">
        <v>882</v>
      </c>
      <c r="B883" s="2">
        <v>40583</v>
      </c>
      <c r="C883">
        <v>1</v>
      </c>
      <c r="D883">
        <v>0</v>
      </c>
      <c r="E883">
        <v>2</v>
      </c>
      <c r="F883">
        <v>5</v>
      </c>
      <c r="G883" t="str">
        <f>IF(F883&lt;6,"Night",IF(F883&lt;12,"Morning",IF(F883&lt;18,"Afternoon","Evening")))</f>
        <v>Night</v>
      </c>
      <c r="H883">
        <v>0</v>
      </c>
      <c r="I883">
        <v>3</v>
      </c>
      <c r="J883" t="str">
        <f>CHOOSE(I883+1,"Monday","Tuesday","Wednesday","Thursday","Friday","Saturday","Sunday")</f>
        <v>Thursday</v>
      </c>
      <c r="K883">
        <v>1</v>
      </c>
      <c r="L883" t="str">
        <f>CHOOSE(K883+1,"error","Clear","Misty","Rainy","Severe heater")</f>
        <v>Clear</v>
      </c>
      <c r="M883" s="1">
        <v>0.2</v>
      </c>
      <c r="N883" t="str">
        <f>IF(M883&lt;=0.2,"Low",IF(M883&lt;=0.4,"Mid","High"))</f>
        <v>Low</v>
      </c>
      <c r="O883" s="1">
        <v>0.18179999999999999</v>
      </c>
      <c r="P883" t="str">
        <f>IF(O883&lt;=0.15,"Very Cold",IF(O883&lt;=0.3,"Cold",IF(O883&lt;=0.45,"Pleasant","Hot")))</f>
        <v>Cold</v>
      </c>
      <c r="Q883">
        <v>0.45</v>
      </c>
      <c r="R883" t="str">
        <f>IF(Q883&lt;=0.25,"Low ",IF(Q883&lt;=0.5,"Moderate ",IF(Q883&lt;=0.75,"High ","Very High ")))</f>
        <v xml:space="preserve">Moderate </v>
      </c>
      <c r="S883">
        <v>0.1045</v>
      </c>
      <c r="T883" t="str">
        <f>IF(S883&lt;=0.15,"Calm",IF(S883&lt;=0.3,"Light Wind",IF(S883&lt;=0.45,"Moderate Wind","Strong Wind")))</f>
        <v>Calm</v>
      </c>
      <c r="U883">
        <v>0</v>
      </c>
      <c r="V883">
        <v>7</v>
      </c>
      <c r="W883">
        <v>7</v>
      </c>
      <c r="X883" t="str">
        <f>IF(W883&lt;=75,"Low Demand",IF(W883&lt;=150,"Medium Demand",IF(W883&lt;=225,"High Demand","Very High Demand")))</f>
        <v>Low Demand</v>
      </c>
    </row>
    <row r="884" spans="1:24" x14ac:dyDescent="0.25">
      <c r="A884">
        <v>883</v>
      </c>
      <c r="B884" s="2">
        <v>40583</v>
      </c>
      <c r="C884">
        <v>1</v>
      </c>
      <c r="D884">
        <v>0</v>
      </c>
      <c r="E884">
        <v>2</v>
      </c>
      <c r="F884">
        <v>6</v>
      </c>
      <c r="G884" t="str">
        <f>IF(F884&lt;6,"Night",IF(F884&lt;12,"Morning",IF(F884&lt;18,"Afternoon","Evening")))</f>
        <v>Morning</v>
      </c>
      <c r="H884">
        <v>0</v>
      </c>
      <c r="I884">
        <v>3</v>
      </c>
      <c r="J884" t="str">
        <f>CHOOSE(I884+1,"Monday","Tuesday","Wednesday","Thursday","Friday","Saturday","Sunday")</f>
        <v>Thursday</v>
      </c>
      <c r="K884">
        <v>1</v>
      </c>
      <c r="L884" t="str">
        <f>CHOOSE(K884+1,"error","Clear","Misty","Rainy","Severe heater")</f>
        <v>Clear</v>
      </c>
      <c r="M884" s="1">
        <v>0.2</v>
      </c>
      <c r="N884" t="str">
        <f>IF(M884&lt;=0.2,"Low",IF(M884&lt;=0.4,"Mid","High"))</f>
        <v>Low</v>
      </c>
      <c r="O884" s="1">
        <v>0.18179999999999999</v>
      </c>
      <c r="P884" t="str">
        <f>IF(O884&lt;=0.15,"Very Cold",IF(O884&lt;=0.3,"Cold",IF(O884&lt;=0.45,"Pleasant","Hot")))</f>
        <v>Cold</v>
      </c>
      <c r="Q884">
        <v>0.45</v>
      </c>
      <c r="R884" t="str">
        <f>IF(Q884&lt;=0.25,"Low ",IF(Q884&lt;=0.5,"Moderate ",IF(Q884&lt;=0.75,"High ","Very High ")))</f>
        <v xml:space="preserve">Moderate </v>
      </c>
      <c r="S884">
        <v>0</v>
      </c>
      <c r="T884" t="str">
        <f>IF(S884&lt;=0.15,"Calm",IF(S884&lt;=0.3,"Light Wind",IF(S884&lt;=0.45,"Moderate Wind","Strong Wind")))</f>
        <v>Calm</v>
      </c>
      <c r="U884">
        <v>0</v>
      </c>
      <c r="V884">
        <v>43</v>
      </c>
      <c r="W884">
        <v>43</v>
      </c>
      <c r="X884" t="str">
        <f>IF(W884&lt;=75,"Low Demand",IF(W884&lt;=150,"Medium Demand",IF(W884&lt;=225,"High Demand","Very High Demand")))</f>
        <v>Low Demand</v>
      </c>
    </row>
    <row r="885" spans="1:24" x14ac:dyDescent="0.25">
      <c r="A885">
        <v>884</v>
      </c>
      <c r="B885" s="2">
        <v>40583</v>
      </c>
      <c r="C885">
        <v>1</v>
      </c>
      <c r="D885">
        <v>0</v>
      </c>
      <c r="E885">
        <v>2</v>
      </c>
      <c r="F885">
        <v>7</v>
      </c>
      <c r="G885" t="str">
        <f>IF(F885&lt;6,"Night",IF(F885&lt;12,"Morning",IF(F885&lt;18,"Afternoon","Evening")))</f>
        <v>Morning</v>
      </c>
      <c r="H885">
        <v>0</v>
      </c>
      <c r="I885">
        <v>3</v>
      </c>
      <c r="J885" t="str">
        <f>CHOOSE(I885+1,"Monday","Tuesday","Wednesday","Thursday","Friday","Saturday","Sunday")</f>
        <v>Thursday</v>
      </c>
      <c r="K885">
        <v>1</v>
      </c>
      <c r="L885" t="str">
        <f>CHOOSE(K885+1,"error","Clear","Misty","Rainy","Severe heater")</f>
        <v>Clear</v>
      </c>
      <c r="M885" s="1">
        <v>0.2</v>
      </c>
      <c r="N885" t="str">
        <f>IF(M885&lt;=0.2,"Low",IF(M885&lt;=0.4,"Mid","High"))</f>
        <v>Low</v>
      </c>
      <c r="O885" s="1">
        <v>0.19700000000000001</v>
      </c>
      <c r="P885" t="str">
        <f>IF(O885&lt;=0.15,"Very Cold",IF(O885&lt;=0.3,"Cold",IF(O885&lt;=0.45,"Pleasant","Hot")))</f>
        <v>Cold</v>
      </c>
      <c r="Q885">
        <v>0.49</v>
      </c>
      <c r="R885" t="str">
        <f>IF(Q885&lt;=0.25,"Low ",IF(Q885&lt;=0.5,"Moderate ",IF(Q885&lt;=0.75,"High ","Very High ")))</f>
        <v xml:space="preserve">Moderate </v>
      </c>
      <c r="S885">
        <v>0.1045</v>
      </c>
      <c r="T885" t="str">
        <f>IF(S885&lt;=0.15,"Calm",IF(S885&lt;=0.3,"Light Wind",IF(S885&lt;=0.45,"Moderate Wind","Strong Wind")))</f>
        <v>Calm</v>
      </c>
      <c r="U885">
        <v>4</v>
      </c>
      <c r="V885">
        <v>95</v>
      </c>
      <c r="W885">
        <v>99</v>
      </c>
      <c r="X885" t="str">
        <f>IF(W885&lt;=75,"Low Demand",IF(W885&lt;=150,"Medium Demand",IF(W885&lt;=225,"High Demand","Very High Demand")))</f>
        <v>Medium Demand</v>
      </c>
    </row>
    <row r="886" spans="1:24" x14ac:dyDescent="0.25">
      <c r="A886">
        <v>885</v>
      </c>
      <c r="B886" s="2">
        <v>40583</v>
      </c>
      <c r="C886">
        <v>1</v>
      </c>
      <c r="D886">
        <v>0</v>
      </c>
      <c r="E886">
        <v>2</v>
      </c>
      <c r="F886">
        <v>8</v>
      </c>
      <c r="G886" t="str">
        <f>IF(F886&lt;6,"Night",IF(F886&lt;12,"Morning",IF(F886&lt;18,"Afternoon","Evening")))</f>
        <v>Morning</v>
      </c>
      <c r="H886">
        <v>0</v>
      </c>
      <c r="I886">
        <v>3</v>
      </c>
      <c r="J886" t="str">
        <f>CHOOSE(I886+1,"Monday","Tuesday","Wednesday","Thursday","Friday","Saturday","Sunday")</f>
        <v>Thursday</v>
      </c>
      <c r="K886">
        <v>1</v>
      </c>
      <c r="L886" t="str">
        <f>CHOOSE(K886+1,"error","Clear","Misty","Rainy","Severe heater")</f>
        <v>Clear</v>
      </c>
      <c r="M886" s="1">
        <v>0.2</v>
      </c>
      <c r="N886" t="str">
        <f>IF(M886&lt;=0.2,"Low",IF(M886&lt;=0.4,"Mid","High"))</f>
        <v>Low</v>
      </c>
      <c r="O886" s="1">
        <v>0.19700000000000001</v>
      </c>
      <c r="P886" t="str">
        <f>IF(O886&lt;=0.15,"Very Cold",IF(O886&lt;=0.3,"Cold",IF(O886&lt;=0.45,"Pleasant","Hot")))</f>
        <v>Cold</v>
      </c>
      <c r="Q886">
        <v>0.42</v>
      </c>
      <c r="R886" t="str">
        <f>IF(Q886&lt;=0.25,"Low ",IF(Q886&lt;=0.5,"Moderate ",IF(Q886&lt;=0.75,"High ","Very High ")))</f>
        <v xml:space="preserve">Moderate </v>
      </c>
      <c r="S886">
        <v>0</v>
      </c>
      <c r="T886" t="str">
        <f>IF(S886&lt;=0.15,"Calm",IF(S886&lt;=0.3,"Light Wind",IF(S886&lt;=0.45,"Moderate Wind","Strong Wind")))</f>
        <v>Calm</v>
      </c>
      <c r="U886">
        <v>1</v>
      </c>
      <c r="V886">
        <v>198</v>
      </c>
      <c r="W886">
        <v>199</v>
      </c>
      <c r="X886" t="str">
        <f>IF(W886&lt;=75,"Low Demand",IF(W886&lt;=150,"Medium Demand",IF(W886&lt;=225,"High Demand","Very High Demand")))</f>
        <v>High Demand</v>
      </c>
    </row>
    <row r="887" spans="1:24" x14ac:dyDescent="0.25">
      <c r="A887">
        <v>886</v>
      </c>
      <c r="B887" s="2">
        <v>40583</v>
      </c>
      <c r="C887">
        <v>1</v>
      </c>
      <c r="D887">
        <v>0</v>
      </c>
      <c r="E887">
        <v>2</v>
      </c>
      <c r="F887">
        <v>9</v>
      </c>
      <c r="G887" t="str">
        <f>IF(F887&lt;6,"Night",IF(F887&lt;12,"Morning",IF(F887&lt;18,"Afternoon","Evening")))</f>
        <v>Morning</v>
      </c>
      <c r="H887">
        <v>0</v>
      </c>
      <c r="I887">
        <v>3</v>
      </c>
      <c r="J887" t="str">
        <f>CHOOSE(I887+1,"Monday","Tuesday","Wednesday","Thursday","Friday","Saturday","Sunday")</f>
        <v>Thursday</v>
      </c>
      <c r="K887">
        <v>1</v>
      </c>
      <c r="L887" t="str">
        <f>CHOOSE(K887+1,"error","Clear","Misty","Rainy","Severe heater")</f>
        <v>Clear</v>
      </c>
      <c r="M887" s="1">
        <v>0.18</v>
      </c>
      <c r="N887" t="str">
        <f>IF(M887&lt;=0.2,"Low",IF(M887&lt;=0.4,"Mid","High"))</f>
        <v>Low</v>
      </c>
      <c r="O887" s="1">
        <v>0.16669999999999999</v>
      </c>
      <c r="P887" t="str">
        <f>IF(O887&lt;=0.15,"Very Cold",IF(O887&lt;=0.3,"Cold",IF(O887&lt;=0.45,"Pleasant","Hot")))</f>
        <v>Cold</v>
      </c>
      <c r="Q887">
        <v>0.39</v>
      </c>
      <c r="R887" t="str">
        <f>IF(Q887&lt;=0.25,"Low ",IF(Q887&lt;=0.5,"Moderate ",IF(Q887&lt;=0.75,"High ","Very High ")))</f>
        <v xml:space="preserve">Moderate </v>
      </c>
      <c r="S887">
        <v>0.16420000000000001</v>
      </c>
      <c r="T887" t="str">
        <f>IF(S887&lt;=0.15,"Calm",IF(S887&lt;=0.3,"Light Wind",IF(S887&lt;=0.45,"Moderate Wind","Strong Wind")))</f>
        <v>Light Wind</v>
      </c>
      <c r="U887">
        <v>4</v>
      </c>
      <c r="V887">
        <v>119</v>
      </c>
      <c r="W887">
        <v>123</v>
      </c>
      <c r="X887" t="str">
        <f>IF(W887&lt;=75,"Low Demand",IF(W887&lt;=150,"Medium Demand",IF(W887&lt;=225,"High Demand","Very High Demand")))</f>
        <v>Medium Demand</v>
      </c>
    </row>
    <row r="888" spans="1:24" x14ac:dyDescent="0.25">
      <c r="A888">
        <v>887</v>
      </c>
      <c r="B888" s="2">
        <v>40583</v>
      </c>
      <c r="C888">
        <v>1</v>
      </c>
      <c r="D888">
        <v>0</v>
      </c>
      <c r="E888">
        <v>2</v>
      </c>
      <c r="F888">
        <v>10</v>
      </c>
      <c r="G888" t="str">
        <f>IF(F888&lt;6,"Night",IF(F888&lt;12,"Morning",IF(F888&lt;18,"Afternoon","Evening")))</f>
        <v>Morning</v>
      </c>
      <c r="H888">
        <v>0</v>
      </c>
      <c r="I888">
        <v>3</v>
      </c>
      <c r="J888" t="str">
        <f>CHOOSE(I888+1,"Monday","Tuesday","Wednesday","Thursday","Friday","Saturday","Sunday")</f>
        <v>Thursday</v>
      </c>
      <c r="K888">
        <v>1</v>
      </c>
      <c r="L888" t="str">
        <f>CHOOSE(K888+1,"error","Clear","Misty","Rainy","Severe heater")</f>
        <v>Clear</v>
      </c>
      <c r="M888" s="1">
        <v>0.14000000000000001</v>
      </c>
      <c r="N888" t="str">
        <f>IF(M888&lt;=0.2,"Low",IF(M888&lt;=0.4,"Mid","High"))</f>
        <v>Low</v>
      </c>
      <c r="O888" s="1">
        <v>0.1212</v>
      </c>
      <c r="P888" t="str">
        <f>IF(O888&lt;=0.15,"Very Cold",IF(O888&lt;=0.3,"Cold",IF(O888&lt;=0.45,"Pleasant","Hot")))</f>
        <v>Very Cold</v>
      </c>
      <c r="Q888">
        <v>0.36</v>
      </c>
      <c r="R888" t="str">
        <f>IF(Q888&lt;=0.25,"Low ",IF(Q888&lt;=0.5,"Moderate ",IF(Q888&lt;=0.75,"High ","Very High ")))</f>
        <v xml:space="preserve">Moderate </v>
      </c>
      <c r="S888">
        <v>0</v>
      </c>
      <c r="T888" t="str">
        <f>IF(S888&lt;=0.15,"Calm",IF(S888&lt;=0.3,"Light Wind",IF(S888&lt;=0.45,"Moderate Wind","Strong Wind")))</f>
        <v>Calm</v>
      </c>
      <c r="U888">
        <v>8</v>
      </c>
      <c r="V888">
        <v>51</v>
      </c>
      <c r="W888">
        <v>59</v>
      </c>
      <c r="X888" t="str">
        <f>IF(W888&lt;=75,"Low Demand",IF(W888&lt;=150,"Medium Demand",IF(W888&lt;=225,"High Demand","Very High Demand")))</f>
        <v>Low Demand</v>
      </c>
    </row>
    <row r="889" spans="1:24" x14ac:dyDescent="0.25">
      <c r="A889">
        <v>888</v>
      </c>
      <c r="B889" s="2">
        <v>40583</v>
      </c>
      <c r="C889">
        <v>1</v>
      </c>
      <c r="D889">
        <v>0</v>
      </c>
      <c r="E889">
        <v>2</v>
      </c>
      <c r="F889">
        <v>11</v>
      </c>
      <c r="G889" t="str">
        <f>IF(F889&lt;6,"Night",IF(F889&lt;12,"Morning",IF(F889&lt;18,"Afternoon","Evening")))</f>
        <v>Morning</v>
      </c>
      <c r="H889">
        <v>0</v>
      </c>
      <c r="I889">
        <v>3</v>
      </c>
      <c r="J889" t="str">
        <f>CHOOSE(I889+1,"Monday","Tuesday","Wednesday","Thursday","Friday","Saturday","Sunday")</f>
        <v>Thursday</v>
      </c>
      <c r="K889">
        <v>2</v>
      </c>
      <c r="L889" t="str">
        <f>CHOOSE(K889+1,"error","Clear","Misty","Rainy","Severe heater")</f>
        <v>Misty</v>
      </c>
      <c r="M889" s="1">
        <v>0.14000000000000001</v>
      </c>
      <c r="N889" t="str">
        <f>IF(M889&lt;=0.2,"Low",IF(M889&lt;=0.4,"Mid","High"))</f>
        <v>Low</v>
      </c>
      <c r="O889" s="1">
        <v>0.1515</v>
      </c>
      <c r="P889" t="str">
        <f>IF(O889&lt;=0.15,"Very Cold",IF(O889&lt;=0.3,"Cold",IF(O889&lt;=0.45,"Pleasant","Hot")))</f>
        <v>Cold</v>
      </c>
      <c r="Q889">
        <v>0.43</v>
      </c>
      <c r="R889" t="str">
        <f>IF(Q889&lt;=0.25,"Low ",IF(Q889&lt;=0.5,"Moderate ",IF(Q889&lt;=0.75,"High ","Very High ")))</f>
        <v xml:space="preserve">Moderate </v>
      </c>
      <c r="S889">
        <v>0.16420000000000001</v>
      </c>
      <c r="T889" t="str">
        <f>IF(S889&lt;=0.15,"Calm",IF(S889&lt;=0.3,"Light Wind",IF(S889&lt;=0.45,"Moderate Wind","Strong Wind")))</f>
        <v>Light Wind</v>
      </c>
      <c r="U889">
        <v>1</v>
      </c>
      <c r="V889">
        <v>40</v>
      </c>
      <c r="W889">
        <v>41</v>
      </c>
      <c r="X889" t="str">
        <f>IF(W889&lt;=75,"Low Demand",IF(W889&lt;=150,"Medium Demand",IF(W889&lt;=225,"High Demand","Very High Demand")))</f>
        <v>Low Demand</v>
      </c>
    </row>
    <row r="890" spans="1:24" x14ac:dyDescent="0.25">
      <c r="A890">
        <v>889</v>
      </c>
      <c r="B890" s="2">
        <v>40583</v>
      </c>
      <c r="C890">
        <v>1</v>
      </c>
      <c r="D890">
        <v>0</v>
      </c>
      <c r="E890">
        <v>2</v>
      </c>
      <c r="F890">
        <v>12</v>
      </c>
      <c r="G890" t="str">
        <f>IF(F890&lt;6,"Night",IF(F890&lt;12,"Morning",IF(F890&lt;18,"Afternoon","Evening")))</f>
        <v>Afternoon</v>
      </c>
      <c r="H890">
        <v>0</v>
      </c>
      <c r="I890">
        <v>3</v>
      </c>
      <c r="J890" t="str">
        <f>CHOOSE(I890+1,"Monday","Tuesday","Wednesday","Thursday","Friday","Saturday","Sunday")</f>
        <v>Thursday</v>
      </c>
      <c r="K890">
        <v>2</v>
      </c>
      <c r="L890" t="str">
        <f>CHOOSE(K890+1,"error","Clear","Misty","Rainy","Severe heater")</f>
        <v>Misty</v>
      </c>
      <c r="M890" s="1">
        <v>0.14000000000000001</v>
      </c>
      <c r="N890" t="str">
        <f>IF(M890&lt;=0.2,"Low",IF(M890&lt;=0.4,"Mid","High"))</f>
        <v>Low</v>
      </c>
      <c r="O890" s="1">
        <v>0.1515</v>
      </c>
      <c r="P890" t="str">
        <f>IF(O890&lt;=0.15,"Very Cold",IF(O890&lt;=0.3,"Cold",IF(O890&lt;=0.45,"Pleasant","Hot")))</f>
        <v>Cold</v>
      </c>
      <c r="Q890">
        <v>0.4</v>
      </c>
      <c r="R890" t="str">
        <f>IF(Q890&lt;=0.25,"Low ",IF(Q890&lt;=0.5,"Moderate ",IF(Q890&lt;=0.75,"High ","Very High ")))</f>
        <v xml:space="preserve">Moderate </v>
      </c>
      <c r="S890">
        <v>0.22389999999999999</v>
      </c>
      <c r="T890" t="str">
        <f>IF(S890&lt;=0.15,"Calm",IF(S890&lt;=0.3,"Light Wind",IF(S890&lt;=0.45,"Moderate Wind","Strong Wind")))</f>
        <v>Light Wind</v>
      </c>
      <c r="U890">
        <v>4</v>
      </c>
      <c r="V890">
        <v>57</v>
      </c>
      <c r="W890">
        <v>61</v>
      </c>
      <c r="X890" t="str">
        <f>IF(W890&lt;=75,"Low Demand",IF(W890&lt;=150,"Medium Demand",IF(W890&lt;=225,"High Demand","Very High Demand")))</f>
        <v>Low Demand</v>
      </c>
    </row>
    <row r="891" spans="1:24" x14ac:dyDescent="0.25">
      <c r="A891">
        <v>890</v>
      </c>
      <c r="B891" s="2">
        <v>40583</v>
      </c>
      <c r="C891">
        <v>1</v>
      </c>
      <c r="D891">
        <v>0</v>
      </c>
      <c r="E891">
        <v>2</v>
      </c>
      <c r="F891">
        <v>13</v>
      </c>
      <c r="G891" t="str">
        <f>IF(F891&lt;6,"Night",IF(F891&lt;12,"Morning",IF(F891&lt;18,"Afternoon","Evening")))</f>
        <v>Afternoon</v>
      </c>
      <c r="H891">
        <v>0</v>
      </c>
      <c r="I891">
        <v>3</v>
      </c>
      <c r="J891" t="str">
        <f>CHOOSE(I891+1,"Monday","Tuesday","Wednesday","Thursday","Friday","Saturday","Sunday")</f>
        <v>Thursday</v>
      </c>
      <c r="K891">
        <v>1</v>
      </c>
      <c r="L891" t="str">
        <f>CHOOSE(K891+1,"error","Clear","Misty","Rainy","Severe heater")</f>
        <v>Clear</v>
      </c>
      <c r="M891" s="1">
        <v>0.16</v>
      </c>
      <c r="N891" t="str">
        <f>IF(M891&lt;=0.2,"Low",IF(M891&lt;=0.4,"Mid","High"))</f>
        <v>Low</v>
      </c>
      <c r="O891" s="1">
        <v>0.16669999999999999</v>
      </c>
      <c r="P891" t="str">
        <f>IF(O891&lt;=0.15,"Very Cold",IF(O891&lt;=0.3,"Cold",IF(O891&lt;=0.45,"Pleasant","Hot")))</f>
        <v>Cold</v>
      </c>
      <c r="Q891">
        <v>0.4</v>
      </c>
      <c r="R891" t="str">
        <f>IF(Q891&lt;=0.25,"Low ",IF(Q891&lt;=0.5,"Moderate ",IF(Q891&lt;=0.75,"High ","Very High ")))</f>
        <v xml:space="preserve">Moderate </v>
      </c>
      <c r="S891">
        <v>0.25369999999999998</v>
      </c>
      <c r="T891" t="str">
        <f>IF(S891&lt;=0.15,"Calm",IF(S891&lt;=0.3,"Light Wind",IF(S891&lt;=0.45,"Moderate Wind","Strong Wind")))</f>
        <v>Light Wind</v>
      </c>
      <c r="U891">
        <v>2</v>
      </c>
      <c r="V891">
        <v>67</v>
      </c>
      <c r="W891">
        <v>69</v>
      </c>
      <c r="X891" t="str">
        <f>IF(W891&lt;=75,"Low Demand",IF(W891&lt;=150,"Medium Demand",IF(W891&lt;=225,"High Demand","Very High Demand")))</f>
        <v>Low Demand</v>
      </c>
    </row>
    <row r="892" spans="1:24" x14ac:dyDescent="0.25">
      <c r="A892">
        <v>891</v>
      </c>
      <c r="B892" s="2">
        <v>40583</v>
      </c>
      <c r="C892">
        <v>1</v>
      </c>
      <c r="D892">
        <v>0</v>
      </c>
      <c r="E892">
        <v>2</v>
      </c>
      <c r="F892">
        <v>14</v>
      </c>
      <c r="G892" t="str">
        <f>IF(F892&lt;6,"Night",IF(F892&lt;12,"Morning",IF(F892&lt;18,"Afternoon","Evening")))</f>
        <v>Afternoon</v>
      </c>
      <c r="H892">
        <v>0</v>
      </c>
      <c r="I892">
        <v>3</v>
      </c>
      <c r="J892" t="str">
        <f>CHOOSE(I892+1,"Monday","Tuesday","Wednesday","Thursday","Friday","Saturday","Sunday")</f>
        <v>Thursday</v>
      </c>
      <c r="K892">
        <v>1</v>
      </c>
      <c r="L892" t="str">
        <f>CHOOSE(K892+1,"error","Clear","Misty","Rainy","Severe heater")</f>
        <v>Clear</v>
      </c>
      <c r="M892" s="1">
        <v>0.16</v>
      </c>
      <c r="N892" t="str">
        <f>IF(M892&lt;=0.2,"Low",IF(M892&lt;=0.4,"Mid","High"))</f>
        <v>Low</v>
      </c>
      <c r="O892" s="1">
        <v>0.1515</v>
      </c>
      <c r="P892" t="str">
        <f>IF(O892&lt;=0.15,"Very Cold",IF(O892&lt;=0.3,"Cold",IF(O892&lt;=0.45,"Pleasant","Hot")))</f>
        <v>Cold</v>
      </c>
      <c r="Q892">
        <v>0.34</v>
      </c>
      <c r="R892" t="str">
        <f>IF(Q892&lt;=0.25,"Low ",IF(Q892&lt;=0.5,"Moderate ",IF(Q892&lt;=0.75,"High ","Very High ")))</f>
        <v xml:space="preserve">Moderate </v>
      </c>
      <c r="S892">
        <v>0.29849999999999999</v>
      </c>
      <c r="T892" t="str">
        <f>IF(S892&lt;=0.15,"Calm",IF(S892&lt;=0.3,"Light Wind",IF(S892&lt;=0.45,"Moderate Wind","Strong Wind")))</f>
        <v>Light Wind</v>
      </c>
      <c r="U892">
        <v>2</v>
      </c>
      <c r="V892">
        <v>56</v>
      </c>
      <c r="W892">
        <v>58</v>
      </c>
      <c r="X892" t="str">
        <f>IF(W892&lt;=75,"Low Demand",IF(W892&lt;=150,"Medium Demand",IF(W892&lt;=225,"High Demand","Very High Demand")))</f>
        <v>Low Demand</v>
      </c>
    </row>
    <row r="893" spans="1:24" x14ac:dyDescent="0.25">
      <c r="A893">
        <v>892</v>
      </c>
      <c r="B893" s="2">
        <v>40583</v>
      </c>
      <c r="C893">
        <v>1</v>
      </c>
      <c r="D893">
        <v>0</v>
      </c>
      <c r="E893">
        <v>2</v>
      </c>
      <c r="F893">
        <v>15</v>
      </c>
      <c r="G893" t="str">
        <f>IF(F893&lt;6,"Night",IF(F893&lt;12,"Morning",IF(F893&lt;18,"Afternoon","Evening")))</f>
        <v>Afternoon</v>
      </c>
      <c r="H893">
        <v>0</v>
      </c>
      <c r="I893">
        <v>3</v>
      </c>
      <c r="J893" t="str">
        <f>CHOOSE(I893+1,"Monday","Tuesday","Wednesday","Thursday","Friday","Saturday","Sunday")</f>
        <v>Thursday</v>
      </c>
      <c r="K893">
        <v>2</v>
      </c>
      <c r="L893" t="str">
        <f>CHOOSE(K893+1,"error","Clear","Misty","Rainy","Severe heater")</f>
        <v>Misty</v>
      </c>
      <c r="M893" s="1">
        <v>0.14000000000000001</v>
      </c>
      <c r="N893" t="str">
        <f>IF(M893&lt;=0.2,"Low",IF(M893&lt;=0.4,"Mid","High"))</f>
        <v>Low</v>
      </c>
      <c r="O893" s="1">
        <v>0.13639999999999999</v>
      </c>
      <c r="P893" t="str">
        <f>IF(O893&lt;=0.15,"Very Cold",IF(O893&lt;=0.3,"Cold",IF(O893&lt;=0.45,"Pleasant","Hot")))</f>
        <v>Very Cold</v>
      </c>
      <c r="Q893">
        <v>0.34</v>
      </c>
      <c r="R893" t="str">
        <f>IF(Q893&lt;=0.25,"Low ",IF(Q893&lt;=0.5,"Moderate ",IF(Q893&lt;=0.75,"High ","Very High ")))</f>
        <v xml:space="preserve">Moderate </v>
      </c>
      <c r="S893">
        <v>0.28360000000000002</v>
      </c>
      <c r="T893" t="str">
        <f>IF(S893&lt;=0.15,"Calm",IF(S893&lt;=0.3,"Light Wind",IF(S893&lt;=0.45,"Moderate Wind","Strong Wind")))</f>
        <v>Light Wind</v>
      </c>
      <c r="U893">
        <v>3</v>
      </c>
      <c r="V893">
        <v>61</v>
      </c>
      <c r="W893">
        <v>64</v>
      </c>
      <c r="X893" t="str">
        <f>IF(W893&lt;=75,"Low Demand",IF(W893&lt;=150,"Medium Demand",IF(W893&lt;=225,"High Demand","Very High Demand")))</f>
        <v>Low Demand</v>
      </c>
    </row>
    <row r="894" spans="1:24" x14ac:dyDescent="0.25">
      <c r="A894">
        <v>893</v>
      </c>
      <c r="B894" s="2">
        <v>40583</v>
      </c>
      <c r="C894">
        <v>1</v>
      </c>
      <c r="D894">
        <v>0</v>
      </c>
      <c r="E894">
        <v>2</v>
      </c>
      <c r="F894">
        <v>16</v>
      </c>
      <c r="G894" t="str">
        <f>IF(F894&lt;6,"Night",IF(F894&lt;12,"Morning",IF(F894&lt;18,"Afternoon","Evening")))</f>
        <v>Afternoon</v>
      </c>
      <c r="H894">
        <v>0</v>
      </c>
      <c r="I894">
        <v>3</v>
      </c>
      <c r="J894" t="str">
        <f>CHOOSE(I894+1,"Monday","Tuesday","Wednesday","Thursday","Friday","Saturday","Sunday")</f>
        <v>Thursday</v>
      </c>
      <c r="K894">
        <v>2</v>
      </c>
      <c r="L894" t="str">
        <f>CHOOSE(K894+1,"error","Clear","Misty","Rainy","Severe heater")</f>
        <v>Misty</v>
      </c>
      <c r="M894" s="1">
        <v>0.14000000000000001</v>
      </c>
      <c r="N894" t="str">
        <f>IF(M894&lt;=0.2,"Low",IF(M894&lt;=0.4,"Mid","High"))</f>
        <v>Low</v>
      </c>
      <c r="O894" s="1">
        <v>0.1515</v>
      </c>
      <c r="P894" t="str">
        <f>IF(O894&lt;=0.15,"Very Cold",IF(O894&lt;=0.3,"Cold",IF(O894&lt;=0.45,"Pleasant","Hot")))</f>
        <v>Cold</v>
      </c>
      <c r="Q894">
        <v>0.37</v>
      </c>
      <c r="R894" t="str">
        <f>IF(Q894&lt;=0.25,"Low ",IF(Q894&lt;=0.5,"Moderate ",IF(Q894&lt;=0.75,"High ","Very High ")))</f>
        <v xml:space="preserve">Moderate </v>
      </c>
      <c r="S894">
        <v>0.25369999999999998</v>
      </c>
      <c r="T894" t="str">
        <f>IF(S894&lt;=0.15,"Calm",IF(S894&lt;=0.3,"Light Wind",IF(S894&lt;=0.45,"Moderate Wind","Strong Wind")))</f>
        <v>Light Wind</v>
      </c>
      <c r="U894">
        <v>7</v>
      </c>
      <c r="V894">
        <v>72</v>
      </c>
      <c r="W894">
        <v>79</v>
      </c>
      <c r="X894" t="str">
        <f>IF(W894&lt;=75,"Low Demand",IF(W894&lt;=150,"Medium Demand",IF(W894&lt;=225,"High Demand","Very High Demand")))</f>
        <v>Medium Demand</v>
      </c>
    </row>
    <row r="895" spans="1:24" x14ac:dyDescent="0.25">
      <c r="A895">
        <v>894</v>
      </c>
      <c r="B895" s="2">
        <v>40583</v>
      </c>
      <c r="C895">
        <v>1</v>
      </c>
      <c r="D895">
        <v>0</v>
      </c>
      <c r="E895">
        <v>2</v>
      </c>
      <c r="F895">
        <v>17</v>
      </c>
      <c r="G895" t="str">
        <f>IF(F895&lt;6,"Night",IF(F895&lt;12,"Morning",IF(F895&lt;18,"Afternoon","Evening")))</f>
        <v>Afternoon</v>
      </c>
      <c r="H895">
        <v>0</v>
      </c>
      <c r="I895">
        <v>3</v>
      </c>
      <c r="J895" t="str">
        <f>CHOOSE(I895+1,"Monday","Tuesday","Wednesday","Thursday","Friday","Saturday","Sunday")</f>
        <v>Thursday</v>
      </c>
      <c r="K895">
        <v>2</v>
      </c>
      <c r="L895" t="str">
        <f>CHOOSE(K895+1,"error","Clear","Misty","Rainy","Severe heater")</f>
        <v>Misty</v>
      </c>
      <c r="M895" s="1">
        <v>0.14000000000000001</v>
      </c>
      <c r="N895" t="str">
        <f>IF(M895&lt;=0.2,"Low",IF(M895&lt;=0.4,"Mid","High"))</f>
        <v>Low</v>
      </c>
      <c r="O895" s="1">
        <v>0.1515</v>
      </c>
      <c r="P895" t="str">
        <f>IF(O895&lt;=0.15,"Very Cold",IF(O895&lt;=0.3,"Cold",IF(O895&lt;=0.45,"Pleasant","Hot")))</f>
        <v>Cold</v>
      </c>
      <c r="Q895">
        <v>0.34</v>
      </c>
      <c r="R895" t="str">
        <f>IF(Q895&lt;=0.25,"Low ",IF(Q895&lt;=0.5,"Moderate ",IF(Q895&lt;=0.75,"High ","Very High ")))</f>
        <v xml:space="preserve">Moderate </v>
      </c>
      <c r="S895">
        <v>0.25369999999999998</v>
      </c>
      <c r="T895" t="str">
        <f>IF(S895&lt;=0.15,"Calm",IF(S895&lt;=0.3,"Light Wind",IF(S895&lt;=0.45,"Moderate Wind","Strong Wind")))</f>
        <v>Light Wind</v>
      </c>
      <c r="U895">
        <v>9</v>
      </c>
      <c r="V895">
        <v>157</v>
      </c>
      <c r="W895">
        <v>166</v>
      </c>
      <c r="X895" t="str">
        <f>IF(W895&lt;=75,"Low Demand",IF(W895&lt;=150,"Medium Demand",IF(W895&lt;=225,"High Demand","Very High Demand")))</f>
        <v>High Demand</v>
      </c>
    </row>
    <row r="896" spans="1:24" x14ac:dyDescent="0.25">
      <c r="A896">
        <v>895</v>
      </c>
      <c r="B896" s="2">
        <v>40583</v>
      </c>
      <c r="C896">
        <v>1</v>
      </c>
      <c r="D896">
        <v>0</v>
      </c>
      <c r="E896">
        <v>2</v>
      </c>
      <c r="F896">
        <v>18</v>
      </c>
      <c r="G896" t="str">
        <f>IF(F896&lt;6,"Night",IF(F896&lt;12,"Morning",IF(F896&lt;18,"Afternoon","Evening")))</f>
        <v>Evening</v>
      </c>
      <c r="H896">
        <v>0</v>
      </c>
      <c r="I896">
        <v>3</v>
      </c>
      <c r="J896" t="str">
        <f>CHOOSE(I896+1,"Monday","Tuesday","Wednesday","Thursday","Friday","Saturday","Sunday")</f>
        <v>Thursday</v>
      </c>
      <c r="K896">
        <v>2</v>
      </c>
      <c r="L896" t="str">
        <f>CHOOSE(K896+1,"error","Clear","Misty","Rainy","Severe heater")</f>
        <v>Misty</v>
      </c>
      <c r="M896" s="1">
        <v>0.14000000000000001</v>
      </c>
      <c r="N896" t="str">
        <f>IF(M896&lt;=0.2,"Low",IF(M896&lt;=0.4,"Mid","High"))</f>
        <v>Low</v>
      </c>
      <c r="O896" s="1">
        <v>0.13639999999999999</v>
      </c>
      <c r="P896" t="str">
        <f>IF(O896&lt;=0.15,"Very Cold",IF(O896&lt;=0.3,"Cold",IF(O896&lt;=0.45,"Pleasant","Hot")))</f>
        <v>Very Cold</v>
      </c>
      <c r="Q896">
        <v>0.47</v>
      </c>
      <c r="R896" t="str">
        <f>IF(Q896&lt;=0.25,"Low ",IF(Q896&lt;=0.5,"Moderate ",IF(Q896&lt;=0.75,"High ","Very High ")))</f>
        <v xml:space="preserve">Moderate </v>
      </c>
      <c r="S896">
        <v>0.29849999999999999</v>
      </c>
      <c r="T896" t="str">
        <f>IF(S896&lt;=0.15,"Calm",IF(S896&lt;=0.3,"Light Wind",IF(S896&lt;=0.45,"Moderate Wind","Strong Wind")))</f>
        <v>Light Wind</v>
      </c>
      <c r="U896">
        <v>2</v>
      </c>
      <c r="V896">
        <v>168</v>
      </c>
      <c r="W896">
        <v>170</v>
      </c>
      <c r="X896" t="str">
        <f>IF(W896&lt;=75,"Low Demand",IF(W896&lt;=150,"Medium Demand",IF(W896&lt;=225,"High Demand","Very High Demand")))</f>
        <v>High Demand</v>
      </c>
    </row>
    <row r="897" spans="1:24" x14ac:dyDescent="0.25">
      <c r="A897">
        <v>896</v>
      </c>
      <c r="B897" s="2">
        <v>40583</v>
      </c>
      <c r="C897">
        <v>1</v>
      </c>
      <c r="D897">
        <v>0</v>
      </c>
      <c r="E897">
        <v>2</v>
      </c>
      <c r="F897">
        <v>19</v>
      </c>
      <c r="G897" t="str">
        <f>IF(F897&lt;6,"Night",IF(F897&lt;12,"Morning",IF(F897&lt;18,"Afternoon","Evening")))</f>
        <v>Evening</v>
      </c>
      <c r="H897">
        <v>0</v>
      </c>
      <c r="I897">
        <v>3</v>
      </c>
      <c r="J897" t="str">
        <f>CHOOSE(I897+1,"Monday","Tuesday","Wednesday","Thursday","Friday","Saturday","Sunday")</f>
        <v>Thursday</v>
      </c>
      <c r="K897">
        <v>3</v>
      </c>
      <c r="L897" t="str">
        <f>CHOOSE(K897+1,"error","Clear","Misty","Rainy","Severe heater")</f>
        <v>Rainy</v>
      </c>
      <c r="M897" s="1">
        <v>0.12</v>
      </c>
      <c r="N897" t="str">
        <f>IF(M897&lt;=0.2,"Low",IF(M897&lt;=0.4,"Mid","High"))</f>
        <v>Low</v>
      </c>
      <c r="O897" s="1">
        <v>0.1212</v>
      </c>
      <c r="P897" t="str">
        <f>IF(O897&lt;=0.15,"Very Cold",IF(O897&lt;=0.3,"Cold",IF(O897&lt;=0.45,"Pleasant","Hot")))</f>
        <v>Very Cold</v>
      </c>
      <c r="Q897">
        <v>0.86</v>
      </c>
      <c r="R897" t="str">
        <f>IF(Q897&lt;=0.25,"Low ",IF(Q897&lt;=0.5,"Moderate ",IF(Q897&lt;=0.75,"High ","Very High ")))</f>
        <v xml:space="preserve">Very High </v>
      </c>
      <c r="S897">
        <v>0.25369999999999998</v>
      </c>
      <c r="T897" t="str">
        <f>IF(S897&lt;=0.15,"Calm",IF(S897&lt;=0.3,"Light Wind",IF(S897&lt;=0.45,"Moderate Wind","Strong Wind")))</f>
        <v>Light Wind</v>
      </c>
      <c r="U897">
        <v>1</v>
      </c>
      <c r="V897">
        <v>87</v>
      </c>
      <c r="W897">
        <v>88</v>
      </c>
      <c r="X897" t="str">
        <f>IF(W897&lt;=75,"Low Demand",IF(W897&lt;=150,"Medium Demand",IF(W897&lt;=225,"High Demand","Very High Demand")))</f>
        <v>Medium Demand</v>
      </c>
    </row>
    <row r="898" spans="1:24" x14ac:dyDescent="0.25">
      <c r="A898">
        <v>897</v>
      </c>
      <c r="B898" s="2">
        <v>40583</v>
      </c>
      <c r="C898">
        <v>1</v>
      </c>
      <c r="D898">
        <v>0</v>
      </c>
      <c r="E898">
        <v>2</v>
      </c>
      <c r="F898">
        <v>20</v>
      </c>
      <c r="G898" t="str">
        <f>IF(F898&lt;6,"Night",IF(F898&lt;12,"Morning",IF(F898&lt;18,"Afternoon","Evening")))</f>
        <v>Evening</v>
      </c>
      <c r="H898">
        <v>0</v>
      </c>
      <c r="I898">
        <v>3</v>
      </c>
      <c r="J898" t="str">
        <f>CHOOSE(I898+1,"Monday","Tuesday","Wednesday","Thursday","Friday","Saturday","Sunday")</f>
        <v>Thursday</v>
      </c>
      <c r="K898">
        <v>3</v>
      </c>
      <c r="L898" t="str">
        <f>CHOOSE(K898+1,"error","Clear","Misty","Rainy","Severe heater")</f>
        <v>Rainy</v>
      </c>
      <c r="M898" s="1">
        <v>0.12</v>
      </c>
      <c r="N898" t="str">
        <f>IF(M898&lt;=0.2,"Low",IF(M898&lt;=0.4,"Mid","High"))</f>
        <v>Low</v>
      </c>
      <c r="O898" s="1">
        <v>0.1212</v>
      </c>
      <c r="P898" t="str">
        <f>IF(O898&lt;=0.15,"Very Cold",IF(O898&lt;=0.3,"Cold",IF(O898&lt;=0.45,"Pleasant","Hot")))</f>
        <v>Very Cold</v>
      </c>
      <c r="Q898">
        <v>0.86</v>
      </c>
      <c r="R898" t="str">
        <f>IF(Q898&lt;=0.25,"Low ",IF(Q898&lt;=0.5,"Moderate ",IF(Q898&lt;=0.75,"High ","Very High ")))</f>
        <v xml:space="preserve">Very High </v>
      </c>
      <c r="S898">
        <v>0.16420000000000001</v>
      </c>
      <c r="T898" t="str">
        <f>IF(S898&lt;=0.15,"Calm",IF(S898&lt;=0.3,"Light Wind",IF(S898&lt;=0.45,"Moderate Wind","Strong Wind")))</f>
        <v>Light Wind</v>
      </c>
      <c r="U898">
        <v>0</v>
      </c>
      <c r="V898">
        <v>84</v>
      </c>
      <c r="W898">
        <v>84</v>
      </c>
      <c r="X898" t="str">
        <f>IF(W898&lt;=75,"Low Demand",IF(W898&lt;=150,"Medium Demand",IF(W898&lt;=225,"High Demand","Very High Demand")))</f>
        <v>Medium Demand</v>
      </c>
    </row>
    <row r="899" spans="1:24" x14ac:dyDescent="0.25">
      <c r="A899">
        <v>898</v>
      </c>
      <c r="B899" s="2">
        <v>40583</v>
      </c>
      <c r="C899">
        <v>1</v>
      </c>
      <c r="D899">
        <v>0</v>
      </c>
      <c r="E899">
        <v>2</v>
      </c>
      <c r="F899">
        <v>21</v>
      </c>
      <c r="G899" t="str">
        <f>IF(F899&lt;6,"Night",IF(F899&lt;12,"Morning",IF(F899&lt;18,"Afternoon","Evening")))</f>
        <v>Evening</v>
      </c>
      <c r="H899">
        <v>0</v>
      </c>
      <c r="I899">
        <v>3</v>
      </c>
      <c r="J899" t="str">
        <f>CHOOSE(I899+1,"Monday","Tuesday","Wednesday","Thursday","Friday","Saturday","Sunday")</f>
        <v>Thursday</v>
      </c>
      <c r="K899">
        <v>2</v>
      </c>
      <c r="L899" t="str">
        <f>CHOOSE(K899+1,"error","Clear","Misty","Rainy","Severe heater")</f>
        <v>Misty</v>
      </c>
      <c r="M899" s="1">
        <v>0.1</v>
      </c>
      <c r="N899" t="str">
        <f>IF(M899&lt;=0.2,"Low",IF(M899&lt;=0.4,"Mid","High"))</f>
        <v>Low</v>
      </c>
      <c r="O899" s="1">
        <v>7.5800000000000006E-2</v>
      </c>
      <c r="P899" t="str">
        <f>IF(O899&lt;=0.15,"Very Cold",IF(O899&lt;=0.3,"Cold",IF(O899&lt;=0.45,"Pleasant","Hot")))</f>
        <v>Very Cold</v>
      </c>
      <c r="Q899">
        <v>0.86</v>
      </c>
      <c r="R899" t="str">
        <f>IF(Q899&lt;=0.25,"Low ",IF(Q899&lt;=0.5,"Moderate ",IF(Q899&lt;=0.75,"High ","Very High ")))</f>
        <v xml:space="preserve">Very High </v>
      </c>
      <c r="S899">
        <v>0.16420000000000001</v>
      </c>
      <c r="T899" t="str">
        <f>IF(S899&lt;=0.15,"Calm",IF(S899&lt;=0.3,"Light Wind",IF(S899&lt;=0.45,"Moderate Wind","Strong Wind")))</f>
        <v>Light Wind</v>
      </c>
      <c r="U899">
        <v>0</v>
      </c>
      <c r="V899">
        <v>83</v>
      </c>
      <c r="W899">
        <v>83</v>
      </c>
      <c r="X899" t="str">
        <f>IF(W899&lt;=75,"Low Demand",IF(W899&lt;=150,"Medium Demand",IF(W899&lt;=225,"High Demand","Very High Demand")))</f>
        <v>Medium Demand</v>
      </c>
    </row>
    <row r="900" spans="1:24" x14ac:dyDescent="0.25">
      <c r="A900">
        <v>899</v>
      </c>
      <c r="B900" s="2">
        <v>40583</v>
      </c>
      <c r="C900">
        <v>1</v>
      </c>
      <c r="D900">
        <v>0</v>
      </c>
      <c r="E900">
        <v>2</v>
      </c>
      <c r="F900">
        <v>22</v>
      </c>
      <c r="G900" t="str">
        <f>IF(F900&lt;6,"Night",IF(F900&lt;12,"Morning",IF(F900&lt;18,"Afternoon","Evening")))</f>
        <v>Evening</v>
      </c>
      <c r="H900">
        <v>0</v>
      </c>
      <c r="I900">
        <v>3</v>
      </c>
      <c r="J900" t="str">
        <f>CHOOSE(I900+1,"Monday","Tuesday","Wednesday","Thursday","Friday","Saturday","Sunday")</f>
        <v>Thursday</v>
      </c>
      <c r="K900">
        <v>3</v>
      </c>
      <c r="L900" t="str">
        <f>CHOOSE(K900+1,"error","Clear","Misty","Rainy","Severe heater")</f>
        <v>Rainy</v>
      </c>
      <c r="M900" s="1">
        <v>0.1</v>
      </c>
      <c r="N900" t="str">
        <f>IF(M900&lt;=0.2,"Low",IF(M900&lt;=0.4,"Mid","High"))</f>
        <v>Low</v>
      </c>
      <c r="O900" s="1">
        <v>7.5800000000000006E-2</v>
      </c>
      <c r="P900" t="str">
        <f>IF(O900&lt;=0.15,"Very Cold",IF(O900&lt;=0.3,"Cold",IF(O900&lt;=0.45,"Pleasant","Hot")))</f>
        <v>Very Cold</v>
      </c>
      <c r="Q900">
        <v>0.8</v>
      </c>
      <c r="R900" t="str">
        <f>IF(Q900&lt;=0.25,"Low ",IF(Q900&lt;=0.5,"Moderate ",IF(Q900&lt;=0.75,"High ","Very High ")))</f>
        <v xml:space="preserve">Very High </v>
      </c>
      <c r="S900">
        <v>0.16420000000000001</v>
      </c>
      <c r="T900" t="str">
        <f>IF(S900&lt;=0.15,"Calm",IF(S900&lt;=0.3,"Light Wind",IF(S900&lt;=0.45,"Moderate Wind","Strong Wind")))</f>
        <v>Light Wind</v>
      </c>
      <c r="U900">
        <v>4</v>
      </c>
      <c r="V900">
        <v>42</v>
      </c>
      <c r="W900">
        <v>46</v>
      </c>
      <c r="X900" t="str">
        <f>IF(W900&lt;=75,"Low Demand",IF(W900&lt;=150,"Medium Demand",IF(W900&lt;=225,"High Demand","Very High Demand")))</f>
        <v>Low Demand</v>
      </c>
    </row>
    <row r="901" spans="1:24" x14ac:dyDescent="0.25">
      <c r="A901">
        <v>900</v>
      </c>
      <c r="B901" s="2">
        <v>40583</v>
      </c>
      <c r="C901">
        <v>1</v>
      </c>
      <c r="D901">
        <v>0</v>
      </c>
      <c r="E901">
        <v>2</v>
      </c>
      <c r="F901">
        <v>23</v>
      </c>
      <c r="G901" t="str">
        <f>IF(F901&lt;6,"Night",IF(F901&lt;12,"Morning",IF(F901&lt;18,"Afternoon","Evening")))</f>
        <v>Evening</v>
      </c>
      <c r="H901">
        <v>0</v>
      </c>
      <c r="I901">
        <v>3</v>
      </c>
      <c r="J901" t="str">
        <f>CHOOSE(I901+1,"Monday","Tuesday","Wednesday","Thursday","Friday","Saturday","Sunday")</f>
        <v>Thursday</v>
      </c>
      <c r="K901">
        <v>3</v>
      </c>
      <c r="L901" t="str">
        <f>CHOOSE(K901+1,"error","Clear","Misty","Rainy","Severe heater")</f>
        <v>Rainy</v>
      </c>
      <c r="M901" s="1">
        <v>0.12</v>
      </c>
      <c r="N901" t="str">
        <f>IF(M901&lt;=0.2,"Low",IF(M901&lt;=0.4,"Mid","High"))</f>
        <v>Low</v>
      </c>
      <c r="O901" s="1">
        <v>0.1061</v>
      </c>
      <c r="P901" t="str">
        <f>IF(O901&lt;=0.15,"Very Cold",IF(O901&lt;=0.3,"Cold",IF(O901&lt;=0.45,"Pleasant","Hot")))</f>
        <v>Very Cold</v>
      </c>
      <c r="Q901">
        <v>0.8</v>
      </c>
      <c r="R901" t="str">
        <f>IF(Q901&lt;=0.25,"Low ",IF(Q901&lt;=0.5,"Moderate ",IF(Q901&lt;=0.75,"High ","Very High ")))</f>
        <v xml:space="preserve">Very High </v>
      </c>
      <c r="S901">
        <v>0.19400000000000001</v>
      </c>
      <c r="T901" t="str">
        <f>IF(S901&lt;=0.15,"Calm",IF(S901&lt;=0.3,"Light Wind",IF(S901&lt;=0.45,"Moderate Wind","Strong Wind")))</f>
        <v>Light Wind</v>
      </c>
      <c r="U901">
        <v>0</v>
      </c>
      <c r="V901">
        <v>37</v>
      </c>
      <c r="W901">
        <v>37</v>
      </c>
      <c r="X901" t="str">
        <f>IF(W901&lt;=75,"Low Demand",IF(W901&lt;=150,"Medium Demand",IF(W901&lt;=225,"High Demand","Very High Demand")))</f>
        <v>Low Demand</v>
      </c>
    </row>
    <row r="902" spans="1:24" x14ac:dyDescent="0.25">
      <c r="A902">
        <v>901</v>
      </c>
      <c r="B902" s="2">
        <v>40584</v>
      </c>
      <c r="C902">
        <v>1</v>
      </c>
      <c r="D902">
        <v>0</v>
      </c>
      <c r="E902">
        <v>2</v>
      </c>
      <c r="F902">
        <v>0</v>
      </c>
      <c r="G902" t="str">
        <f>IF(F902&lt;6,"Night",IF(F902&lt;12,"Morning",IF(F902&lt;18,"Afternoon","Evening")))</f>
        <v>Night</v>
      </c>
      <c r="H902">
        <v>0</v>
      </c>
      <c r="I902">
        <v>4</v>
      </c>
      <c r="J902" t="str">
        <f>CHOOSE(I902+1,"Monday","Tuesday","Wednesday","Thursday","Friday","Saturday","Sunday")</f>
        <v>Friday</v>
      </c>
      <c r="K902">
        <v>3</v>
      </c>
      <c r="L902" t="str">
        <f>CHOOSE(K902+1,"error","Clear","Misty","Rainy","Severe heater")</f>
        <v>Rainy</v>
      </c>
      <c r="M902" s="1">
        <v>0.12</v>
      </c>
      <c r="N902" t="str">
        <f>IF(M902&lt;=0.2,"Low",IF(M902&lt;=0.4,"Mid","High"))</f>
        <v>Low</v>
      </c>
      <c r="O902" s="1">
        <v>0.1061</v>
      </c>
      <c r="P902" t="str">
        <f>IF(O902&lt;=0.15,"Very Cold",IF(O902&lt;=0.3,"Cold",IF(O902&lt;=0.45,"Pleasant","Hot")))</f>
        <v>Very Cold</v>
      </c>
      <c r="Q902">
        <v>0.86</v>
      </c>
      <c r="R902" t="str">
        <f>IF(Q902&lt;=0.25,"Low ",IF(Q902&lt;=0.5,"Moderate ",IF(Q902&lt;=0.75,"High ","Very High ")))</f>
        <v xml:space="preserve">Very High </v>
      </c>
      <c r="S902">
        <v>0.19400000000000001</v>
      </c>
      <c r="T902" t="str">
        <f>IF(S902&lt;=0.15,"Calm",IF(S902&lt;=0.3,"Light Wind",IF(S902&lt;=0.45,"Moderate Wind","Strong Wind")))</f>
        <v>Light Wind</v>
      </c>
      <c r="U902">
        <v>0</v>
      </c>
      <c r="V902">
        <v>16</v>
      </c>
      <c r="W902">
        <v>16</v>
      </c>
      <c r="X902" t="str">
        <f>IF(W902&lt;=75,"Low Demand",IF(W902&lt;=150,"Medium Demand",IF(W902&lt;=225,"High Demand","Very High Demand")))</f>
        <v>Low Demand</v>
      </c>
    </row>
    <row r="903" spans="1:24" x14ac:dyDescent="0.25">
      <c r="A903">
        <v>902</v>
      </c>
      <c r="B903" s="2">
        <v>40584</v>
      </c>
      <c r="C903">
        <v>1</v>
      </c>
      <c r="D903">
        <v>0</v>
      </c>
      <c r="E903">
        <v>2</v>
      </c>
      <c r="F903">
        <v>1</v>
      </c>
      <c r="G903" t="str">
        <f>IF(F903&lt;6,"Night",IF(F903&lt;12,"Morning",IF(F903&lt;18,"Afternoon","Evening")))</f>
        <v>Night</v>
      </c>
      <c r="H903">
        <v>0</v>
      </c>
      <c r="I903">
        <v>4</v>
      </c>
      <c r="J903" t="str">
        <f>CHOOSE(I903+1,"Monday","Tuesday","Wednesday","Thursday","Friday","Saturday","Sunday")</f>
        <v>Friday</v>
      </c>
      <c r="K903">
        <v>3</v>
      </c>
      <c r="L903" t="str">
        <f>CHOOSE(K903+1,"error","Clear","Misty","Rainy","Severe heater")</f>
        <v>Rainy</v>
      </c>
      <c r="M903" s="1">
        <v>0.14000000000000001</v>
      </c>
      <c r="N903" t="str">
        <f>IF(M903&lt;=0.2,"Low",IF(M903&lt;=0.4,"Mid","High"))</f>
        <v>Low</v>
      </c>
      <c r="O903" s="1">
        <v>0.1212</v>
      </c>
      <c r="P903" t="str">
        <f>IF(O903&lt;=0.15,"Very Cold",IF(O903&lt;=0.3,"Cold",IF(O903&lt;=0.45,"Pleasant","Hot")))</f>
        <v>Very Cold</v>
      </c>
      <c r="Q903">
        <v>0.8</v>
      </c>
      <c r="R903" t="str">
        <f>IF(Q903&lt;=0.25,"Low ",IF(Q903&lt;=0.5,"Moderate ",IF(Q903&lt;=0.75,"High ","Very High ")))</f>
        <v xml:space="preserve">Very High </v>
      </c>
      <c r="S903">
        <v>0.1343</v>
      </c>
      <c r="T903" t="str">
        <f>IF(S903&lt;=0.15,"Calm",IF(S903&lt;=0.3,"Light Wind",IF(S903&lt;=0.45,"Moderate Wind","Strong Wind")))</f>
        <v>Calm</v>
      </c>
      <c r="U903">
        <v>0</v>
      </c>
      <c r="V903">
        <v>7</v>
      </c>
      <c r="W903">
        <v>7</v>
      </c>
      <c r="X903" t="str">
        <f>IF(W903&lt;=75,"Low Demand",IF(W903&lt;=150,"Medium Demand",IF(W903&lt;=225,"High Demand","Very High Demand")))</f>
        <v>Low Demand</v>
      </c>
    </row>
    <row r="904" spans="1:24" x14ac:dyDescent="0.25">
      <c r="A904">
        <v>903</v>
      </c>
      <c r="B904" s="2">
        <v>40584</v>
      </c>
      <c r="C904">
        <v>1</v>
      </c>
      <c r="D904">
        <v>0</v>
      </c>
      <c r="E904">
        <v>2</v>
      </c>
      <c r="F904">
        <v>2</v>
      </c>
      <c r="G904" t="str">
        <f>IF(F904&lt;6,"Night",IF(F904&lt;12,"Morning",IF(F904&lt;18,"Afternoon","Evening")))</f>
        <v>Night</v>
      </c>
      <c r="H904">
        <v>0</v>
      </c>
      <c r="I904">
        <v>4</v>
      </c>
      <c r="J904" t="str">
        <f>CHOOSE(I904+1,"Monday","Tuesday","Wednesday","Thursday","Friday","Saturday","Sunday")</f>
        <v>Friday</v>
      </c>
      <c r="K904">
        <v>3</v>
      </c>
      <c r="L904" t="str">
        <f>CHOOSE(K904+1,"error","Clear","Misty","Rainy","Severe heater")</f>
        <v>Rainy</v>
      </c>
      <c r="M904" s="1">
        <v>0.16</v>
      </c>
      <c r="N904" t="str">
        <f>IF(M904&lt;=0.2,"Low",IF(M904&lt;=0.4,"Mid","High"))</f>
        <v>Low</v>
      </c>
      <c r="O904" s="1">
        <v>0.13639999999999999</v>
      </c>
      <c r="P904" t="str">
        <f>IF(O904&lt;=0.15,"Very Cold",IF(O904&lt;=0.3,"Cold",IF(O904&lt;=0.45,"Pleasant","Hot")))</f>
        <v>Very Cold</v>
      </c>
      <c r="Q904">
        <v>0.8</v>
      </c>
      <c r="R904" t="str">
        <f>IF(Q904&lt;=0.25,"Low ",IF(Q904&lt;=0.5,"Moderate ",IF(Q904&lt;=0.75,"High ","Very High ")))</f>
        <v xml:space="preserve">Very High </v>
      </c>
      <c r="S904">
        <v>0.1343</v>
      </c>
      <c r="T904" t="str">
        <f>IF(S904&lt;=0.15,"Calm",IF(S904&lt;=0.3,"Light Wind",IF(S904&lt;=0.45,"Moderate Wind","Strong Wind")))</f>
        <v>Calm</v>
      </c>
      <c r="U904">
        <v>0</v>
      </c>
      <c r="V904">
        <v>3</v>
      </c>
      <c r="W904">
        <v>3</v>
      </c>
      <c r="X904" t="str">
        <f>IF(W904&lt;=75,"Low Demand",IF(W904&lt;=150,"Medium Demand",IF(W904&lt;=225,"High Demand","Very High Demand")))</f>
        <v>Low Demand</v>
      </c>
    </row>
    <row r="905" spans="1:24" x14ac:dyDescent="0.25">
      <c r="A905">
        <v>904</v>
      </c>
      <c r="B905" s="2">
        <v>40584</v>
      </c>
      <c r="C905">
        <v>1</v>
      </c>
      <c r="D905">
        <v>0</v>
      </c>
      <c r="E905">
        <v>2</v>
      </c>
      <c r="F905">
        <v>4</v>
      </c>
      <c r="G905" t="str">
        <f>IF(F905&lt;6,"Night",IF(F905&lt;12,"Morning",IF(F905&lt;18,"Afternoon","Evening")))</f>
        <v>Night</v>
      </c>
      <c r="H905">
        <v>0</v>
      </c>
      <c r="I905">
        <v>4</v>
      </c>
      <c r="J905" t="str">
        <f>CHOOSE(I905+1,"Monday","Tuesday","Wednesday","Thursday","Friday","Saturday","Sunday")</f>
        <v>Friday</v>
      </c>
      <c r="K905">
        <v>2</v>
      </c>
      <c r="L905" t="str">
        <f>CHOOSE(K905+1,"error","Clear","Misty","Rainy","Severe heater")</f>
        <v>Misty</v>
      </c>
      <c r="M905" s="1">
        <v>0.18</v>
      </c>
      <c r="N905" t="str">
        <f>IF(M905&lt;=0.2,"Low",IF(M905&lt;=0.4,"Mid","High"))</f>
        <v>Low</v>
      </c>
      <c r="O905" s="1">
        <v>0.16669999999999999</v>
      </c>
      <c r="P905" t="str">
        <f>IF(O905&lt;=0.15,"Very Cold",IF(O905&lt;=0.3,"Cold",IF(O905&lt;=0.45,"Pleasant","Hot")))</f>
        <v>Cold</v>
      </c>
      <c r="Q905">
        <v>0.59</v>
      </c>
      <c r="R905" t="str">
        <f>IF(Q905&lt;=0.25,"Low ",IF(Q905&lt;=0.5,"Moderate ",IF(Q905&lt;=0.75,"High ","Very High ")))</f>
        <v xml:space="preserve">High </v>
      </c>
      <c r="S905">
        <v>0.22389999999999999</v>
      </c>
      <c r="T905" t="str">
        <f>IF(S905&lt;=0.15,"Calm",IF(S905&lt;=0.3,"Light Wind",IF(S905&lt;=0.45,"Moderate Wind","Strong Wind")))</f>
        <v>Light Wind</v>
      </c>
      <c r="U905">
        <v>0</v>
      </c>
      <c r="V905">
        <v>1</v>
      </c>
      <c r="W905">
        <v>1</v>
      </c>
      <c r="X905" t="str">
        <f>IF(W905&lt;=75,"Low Demand",IF(W905&lt;=150,"Medium Demand",IF(W905&lt;=225,"High Demand","Very High Demand")))</f>
        <v>Low Demand</v>
      </c>
    </row>
    <row r="906" spans="1:24" x14ac:dyDescent="0.25">
      <c r="A906">
        <v>905</v>
      </c>
      <c r="B906" s="2">
        <v>40584</v>
      </c>
      <c r="C906">
        <v>1</v>
      </c>
      <c r="D906">
        <v>0</v>
      </c>
      <c r="E906">
        <v>2</v>
      </c>
      <c r="F906">
        <v>5</v>
      </c>
      <c r="G906" t="str">
        <f>IF(F906&lt;6,"Night",IF(F906&lt;12,"Morning",IF(F906&lt;18,"Afternoon","Evening")))</f>
        <v>Night</v>
      </c>
      <c r="H906">
        <v>0</v>
      </c>
      <c r="I906">
        <v>4</v>
      </c>
      <c r="J906" t="str">
        <f>CHOOSE(I906+1,"Monday","Tuesday","Wednesday","Thursday","Friday","Saturday","Sunday")</f>
        <v>Friday</v>
      </c>
      <c r="K906">
        <v>2</v>
      </c>
      <c r="L906" t="str">
        <f>CHOOSE(K906+1,"error","Clear","Misty","Rainy","Severe heater")</f>
        <v>Misty</v>
      </c>
      <c r="M906" s="1">
        <v>0.2</v>
      </c>
      <c r="N906" t="str">
        <f>IF(M906&lt;=0.2,"Low",IF(M906&lt;=0.4,"Mid","High"))</f>
        <v>Low</v>
      </c>
      <c r="O906" s="1">
        <v>0.18179999999999999</v>
      </c>
      <c r="P906" t="str">
        <f>IF(O906&lt;=0.15,"Very Cold",IF(O906&lt;=0.3,"Cold",IF(O906&lt;=0.45,"Pleasant","Hot")))</f>
        <v>Cold</v>
      </c>
      <c r="Q906">
        <v>0.5</v>
      </c>
      <c r="R906" t="str">
        <f>IF(Q906&lt;=0.25,"Low ",IF(Q906&lt;=0.5,"Moderate ",IF(Q906&lt;=0.75,"High ","Very High ")))</f>
        <v xml:space="preserve">Moderate </v>
      </c>
      <c r="S906">
        <v>0.22389999999999999</v>
      </c>
      <c r="T906" t="str">
        <f>IF(S906&lt;=0.15,"Calm",IF(S906&lt;=0.3,"Light Wind",IF(S906&lt;=0.45,"Moderate Wind","Strong Wind")))</f>
        <v>Light Wind</v>
      </c>
      <c r="U906">
        <v>0</v>
      </c>
      <c r="V906">
        <v>6</v>
      </c>
      <c r="W906">
        <v>6</v>
      </c>
      <c r="X906" t="str">
        <f>IF(W906&lt;=75,"Low Demand",IF(W906&lt;=150,"Medium Demand",IF(W906&lt;=225,"High Demand","Very High Demand")))</f>
        <v>Low Demand</v>
      </c>
    </row>
    <row r="907" spans="1:24" x14ac:dyDescent="0.25">
      <c r="A907">
        <v>906</v>
      </c>
      <c r="B907" s="2">
        <v>40584</v>
      </c>
      <c r="C907">
        <v>1</v>
      </c>
      <c r="D907">
        <v>0</v>
      </c>
      <c r="E907">
        <v>2</v>
      </c>
      <c r="F907">
        <v>6</v>
      </c>
      <c r="G907" t="str">
        <f>IF(F907&lt;6,"Night",IF(F907&lt;12,"Morning",IF(F907&lt;18,"Afternoon","Evening")))</f>
        <v>Morning</v>
      </c>
      <c r="H907">
        <v>0</v>
      </c>
      <c r="I907">
        <v>4</v>
      </c>
      <c r="J907" t="str">
        <f>CHOOSE(I907+1,"Monday","Tuesday","Wednesday","Thursday","Friday","Saturday","Sunday")</f>
        <v>Friday</v>
      </c>
      <c r="K907">
        <v>2</v>
      </c>
      <c r="L907" t="str">
        <f>CHOOSE(K907+1,"error","Clear","Misty","Rainy","Severe heater")</f>
        <v>Misty</v>
      </c>
      <c r="M907" s="1">
        <v>0.2</v>
      </c>
      <c r="N907" t="str">
        <f>IF(M907&lt;=0.2,"Low",IF(M907&lt;=0.4,"Mid","High"))</f>
        <v>Low</v>
      </c>
      <c r="O907" s="1">
        <v>0.19700000000000001</v>
      </c>
      <c r="P907" t="str">
        <f>IF(O907&lt;=0.15,"Very Cold",IF(O907&lt;=0.3,"Cold",IF(O907&lt;=0.45,"Pleasant","Hot")))</f>
        <v>Cold</v>
      </c>
      <c r="Q907">
        <v>0.54</v>
      </c>
      <c r="R907" t="str">
        <f>IF(Q907&lt;=0.25,"Low ",IF(Q907&lt;=0.5,"Moderate ",IF(Q907&lt;=0.75,"High ","Very High ")))</f>
        <v xml:space="preserve">High </v>
      </c>
      <c r="S907">
        <v>0.28360000000000002</v>
      </c>
      <c r="T907" t="str">
        <f>IF(S907&lt;=0.15,"Calm",IF(S907&lt;=0.3,"Light Wind",IF(S907&lt;=0.45,"Moderate Wind","Strong Wind")))</f>
        <v>Light Wind</v>
      </c>
      <c r="U907">
        <v>0</v>
      </c>
      <c r="V907">
        <v>26</v>
      </c>
      <c r="W907">
        <v>26</v>
      </c>
      <c r="X907" t="str">
        <f>IF(W907&lt;=75,"Low Demand",IF(W907&lt;=150,"Medium Demand",IF(W907&lt;=225,"High Demand","Very High Demand")))</f>
        <v>Low Demand</v>
      </c>
    </row>
    <row r="908" spans="1:24" x14ac:dyDescent="0.25">
      <c r="A908">
        <v>907</v>
      </c>
      <c r="B908" s="2">
        <v>40584</v>
      </c>
      <c r="C908">
        <v>1</v>
      </c>
      <c r="D908">
        <v>0</v>
      </c>
      <c r="E908">
        <v>2</v>
      </c>
      <c r="F908">
        <v>7</v>
      </c>
      <c r="G908" t="str">
        <f>IF(F908&lt;6,"Night",IF(F908&lt;12,"Morning",IF(F908&lt;18,"Afternoon","Evening")))</f>
        <v>Morning</v>
      </c>
      <c r="H908">
        <v>0</v>
      </c>
      <c r="I908">
        <v>4</v>
      </c>
      <c r="J908" t="str">
        <f>CHOOSE(I908+1,"Monday","Tuesday","Wednesday","Thursday","Friday","Saturday","Sunday")</f>
        <v>Friday</v>
      </c>
      <c r="K908">
        <v>1</v>
      </c>
      <c r="L908" t="str">
        <f>CHOOSE(K908+1,"error","Clear","Misty","Rainy","Severe heater")</f>
        <v>Clear</v>
      </c>
      <c r="M908" s="1">
        <v>0.2</v>
      </c>
      <c r="N908" t="str">
        <f>IF(M908&lt;=0.2,"Low",IF(M908&lt;=0.4,"Mid","High"))</f>
        <v>Low</v>
      </c>
      <c r="O908" s="1">
        <v>0.18179999999999999</v>
      </c>
      <c r="P908" t="str">
        <f>IF(O908&lt;=0.15,"Very Cold",IF(O908&lt;=0.3,"Cold",IF(O908&lt;=0.45,"Pleasant","Hot")))</f>
        <v>Cold</v>
      </c>
      <c r="Q908">
        <v>0.5</v>
      </c>
      <c r="R908" t="str">
        <f>IF(Q908&lt;=0.25,"Low ",IF(Q908&lt;=0.5,"Moderate ",IF(Q908&lt;=0.75,"High ","Very High ")))</f>
        <v xml:space="preserve">Moderate </v>
      </c>
      <c r="S908">
        <v>0.41789999999999999</v>
      </c>
      <c r="T908" t="str">
        <f>IF(S908&lt;=0.15,"Calm",IF(S908&lt;=0.3,"Light Wind",IF(S908&lt;=0.45,"Moderate Wind","Strong Wind")))</f>
        <v>Moderate Wind</v>
      </c>
      <c r="U908">
        <v>0</v>
      </c>
      <c r="V908">
        <v>99</v>
      </c>
      <c r="W908">
        <v>99</v>
      </c>
      <c r="X908" t="str">
        <f>IF(W908&lt;=75,"Low Demand",IF(W908&lt;=150,"Medium Demand",IF(W908&lt;=225,"High Demand","Very High Demand")))</f>
        <v>Medium Demand</v>
      </c>
    </row>
    <row r="909" spans="1:24" x14ac:dyDescent="0.25">
      <c r="A909">
        <v>908</v>
      </c>
      <c r="B909" s="2">
        <v>40584</v>
      </c>
      <c r="C909">
        <v>1</v>
      </c>
      <c r="D909">
        <v>0</v>
      </c>
      <c r="E909">
        <v>2</v>
      </c>
      <c r="F909">
        <v>8</v>
      </c>
      <c r="G909" t="str">
        <f>IF(F909&lt;6,"Night",IF(F909&lt;12,"Morning",IF(F909&lt;18,"Afternoon","Evening")))</f>
        <v>Morning</v>
      </c>
      <c r="H909">
        <v>0</v>
      </c>
      <c r="I909">
        <v>4</v>
      </c>
      <c r="J909" t="str">
        <f>CHOOSE(I909+1,"Monday","Tuesday","Wednesday","Thursday","Friday","Saturday","Sunday")</f>
        <v>Friday</v>
      </c>
      <c r="K909">
        <v>1</v>
      </c>
      <c r="L909" t="str">
        <f>CHOOSE(K909+1,"error","Clear","Misty","Rainy","Severe heater")</f>
        <v>Clear</v>
      </c>
      <c r="M909" s="1">
        <v>0.18</v>
      </c>
      <c r="N909" t="str">
        <f>IF(M909&lt;=0.2,"Low",IF(M909&lt;=0.4,"Mid","High"))</f>
        <v>Low</v>
      </c>
      <c r="O909" s="1">
        <v>0.18179999999999999</v>
      </c>
      <c r="P909" t="str">
        <f>IF(O909&lt;=0.15,"Very Cold",IF(O909&lt;=0.3,"Cold",IF(O909&lt;=0.45,"Pleasant","Hot")))</f>
        <v>Cold</v>
      </c>
      <c r="Q909">
        <v>0.49</v>
      </c>
      <c r="R909" t="str">
        <f>IF(Q909&lt;=0.25,"Low ",IF(Q909&lt;=0.5,"Moderate ",IF(Q909&lt;=0.75,"High ","Very High ")))</f>
        <v xml:space="preserve">Moderate </v>
      </c>
      <c r="S909">
        <v>0.32840000000000003</v>
      </c>
      <c r="T909" t="str">
        <f>IF(S909&lt;=0.15,"Calm",IF(S909&lt;=0.3,"Light Wind",IF(S909&lt;=0.45,"Moderate Wind","Strong Wind")))</f>
        <v>Moderate Wind</v>
      </c>
      <c r="U909">
        <v>5</v>
      </c>
      <c r="V909">
        <v>173</v>
      </c>
      <c r="W909">
        <v>178</v>
      </c>
      <c r="X909" t="str">
        <f>IF(W909&lt;=75,"Low Demand",IF(W909&lt;=150,"Medium Demand",IF(W909&lt;=225,"High Demand","Very High Demand")))</f>
        <v>High Demand</v>
      </c>
    </row>
    <row r="910" spans="1:24" x14ac:dyDescent="0.25">
      <c r="A910">
        <v>909</v>
      </c>
      <c r="B910" s="2">
        <v>40584</v>
      </c>
      <c r="C910">
        <v>1</v>
      </c>
      <c r="D910">
        <v>0</v>
      </c>
      <c r="E910">
        <v>2</v>
      </c>
      <c r="F910">
        <v>9</v>
      </c>
      <c r="G910" t="str">
        <f>IF(F910&lt;6,"Night",IF(F910&lt;12,"Morning",IF(F910&lt;18,"Afternoon","Evening")))</f>
        <v>Morning</v>
      </c>
      <c r="H910">
        <v>0</v>
      </c>
      <c r="I910">
        <v>4</v>
      </c>
      <c r="J910" t="str">
        <f>CHOOSE(I910+1,"Monday","Tuesday","Wednesday","Thursday","Friday","Saturday","Sunday")</f>
        <v>Friday</v>
      </c>
      <c r="K910">
        <v>1</v>
      </c>
      <c r="L910" t="str">
        <f>CHOOSE(K910+1,"error","Clear","Misty","Rainy","Severe heater")</f>
        <v>Clear</v>
      </c>
      <c r="M910" s="1">
        <v>0.16</v>
      </c>
      <c r="N910" t="str">
        <f>IF(M910&lt;=0.2,"Low",IF(M910&lt;=0.4,"Mid","High"))</f>
        <v>Low</v>
      </c>
      <c r="O910" s="1">
        <v>0.18179999999999999</v>
      </c>
      <c r="P910" t="str">
        <f>IF(O910&lt;=0.15,"Very Cold",IF(O910&lt;=0.3,"Cold",IF(O910&lt;=0.45,"Pleasant","Hot")))</f>
        <v>Cold</v>
      </c>
      <c r="Q910">
        <v>0.42</v>
      </c>
      <c r="R910" t="str">
        <f>IF(Q910&lt;=0.25,"Low ",IF(Q910&lt;=0.5,"Moderate ",IF(Q910&lt;=0.75,"High ","Very High ")))</f>
        <v xml:space="preserve">Moderate </v>
      </c>
      <c r="S910">
        <v>0.35820000000000002</v>
      </c>
      <c r="T910" t="str">
        <f>IF(S910&lt;=0.15,"Calm",IF(S910&lt;=0.3,"Light Wind",IF(S910&lt;=0.45,"Moderate Wind","Strong Wind")))</f>
        <v>Moderate Wind</v>
      </c>
      <c r="U910">
        <v>1</v>
      </c>
      <c r="V910">
        <v>121</v>
      </c>
      <c r="W910">
        <v>122</v>
      </c>
      <c r="X910" t="str">
        <f>IF(W910&lt;=75,"Low Demand",IF(W910&lt;=150,"Medium Demand",IF(W910&lt;=225,"High Demand","Very High Demand")))</f>
        <v>Medium Demand</v>
      </c>
    </row>
    <row r="911" spans="1:24" x14ac:dyDescent="0.25">
      <c r="A911">
        <v>910</v>
      </c>
      <c r="B911" s="2">
        <v>40584</v>
      </c>
      <c r="C911">
        <v>1</v>
      </c>
      <c r="D911">
        <v>0</v>
      </c>
      <c r="E911">
        <v>2</v>
      </c>
      <c r="F911">
        <v>10</v>
      </c>
      <c r="G911" t="str">
        <f>IF(F911&lt;6,"Night",IF(F911&lt;12,"Morning",IF(F911&lt;18,"Afternoon","Evening")))</f>
        <v>Morning</v>
      </c>
      <c r="H911">
        <v>0</v>
      </c>
      <c r="I911">
        <v>4</v>
      </c>
      <c r="J911" t="str">
        <f>CHOOSE(I911+1,"Monday","Tuesday","Wednesday","Thursday","Friday","Saturday","Sunday")</f>
        <v>Friday</v>
      </c>
      <c r="K911">
        <v>1</v>
      </c>
      <c r="L911" t="str">
        <f>CHOOSE(K911+1,"error","Clear","Misty","Rainy","Severe heater")</f>
        <v>Clear</v>
      </c>
      <c r="M911" s="1">
        <v>0.14000000000000001</v>
      </c>
      <c r="N911" t="str">
        <f>IF(M911&lt;=0.2,"Low",IF(M911&lt;=0.4,"Mid","High"))</f>
        <v>Low</v>
      </c>
      <c r="O911" s="1">
        <v>0.16669999999999999</v>
      </c>
      <c r="P911" t="str">
        <f>IF(O911&lt;=0.15,"Very Cold",IF(O911&lt;=0.3,"Cold",IF(O911&lt;=0.45,"Pleasant","Hot")))</f>
        <v>Cold</v>
      </c>
      <c r="Q911">
        <v>0.42</v>
      </c>
      <c r="R911" t="str">
        <f>IF(Q911&lt;=0.25,"Low ",IF(Q911&lt;=0.5,"Moderate ",IF(Q911&lt;=0.75,"High ","Very High ")))</f>
        <v xml:space="preserve">Moderate </v>
      </c>
      <c r="S911">
        <v>0.29849999999999999</v>
      </c>
      <c r="T911" t="str">
        <f>IF(S911&lt;=0.15,"Calm",IF(S911&lt;=0.3,"Light Wind",IF(S911&lt;=0.45,"Moderate Wind","Strong Wind")))</f>
        <v>Light Wind</v>
      </c>
      <c r="U911">
        <v>1</v>
      </c>
      <c r="V911">
        <v>34</v>
      </c>
      <c r="W911">
        <v>35</v>
      </c>
      <c r="X911" t="str">
        <f>IF(W911&lt;=75,"Low Demand",IF(W911&lt;=150,"Medium Demand",IF(W911&lt;=225,"High Demand","Very High Demand")))</f>
        <v>Low Demand</v>
      </c>
    </row>
    <row r="912" spans="1:24" x14ac:dyDescent="0.25">
      <c r="A912">
        <v>911</v>
      </c>
      <c r="B912" s="2">
        <v>40584</v>
      </c>
      <c r="C912">
        <v>1</v>
      </c>
      <c r="D912">
        <v>0</v>
      </c>
      <c r="E912">
        <v>2</v>
      </c>
      <c r="F912">
        <v>11</v>
      </c>
      <c r="G912" t="str">
        <f>IF(F912&lt;6,"Night",IF(F912&lt;12,"Morning",IF(F912&lt;18,"Afternoon","Evening")))</f>
        <v>Morning</v>
      </c>
      <c r="H912">
        <v>0</v>
      </c>
      <c r="I912">
        <v>4</v>
      </c>
      <c r="J912" t="str">
        <f>CHOOSE(I912+1,"Monday","Tuesday","Wednesday","Thursday","Friday","Saturday","Sunday")</f>
        <v>Friday</v>
      </c>
      <c r="K912">
        <v>1</v>
      </c>
      <c r="L912" t="str">
        <f>CHOOSE(K912+1,"error","Clear","Misty","Rainy","Severe heater")</f>
        <v>Clear</v>
      </c>
      <c r="M912" s="1">
        <v>0.14000000000000001</v>
      </c>
      <c r="N912" t="str">
        <f>IF(M912&lt;=0.2,"Low",IF(M912&lt;=0.4,"Mid","High"))</f>
        <v>Low</v>
      </c>
      <c r="O912" s="1">
        <v>0.18179999999999999</v>
      </c>
      <c r="P912" t="str">
        <f>IF(O912&lt;=0.15,"Very Cold",IF(O912&lt;=0.3,"Cold",IF(O912&lt;=0.45,"Pleasant","Hot")))</f>
        <v>Cold</v>
      </c>
      <c r="Q912">
        <v>0.39</v>
      </c>
      <c r="R912" t="str">
        <f>IF(Q912&lt;=0.25,"Low ",IF(Q912&lt;=0.5,"Moderate ",IF(Q912&lt;=0.75,"High ","Very High ")))</f>
        <v xml:space="preserve">Moderate </v>
      </c>
      <c r="S912">
        <v>0.35820000000000002</v>
      </c>
      <c r="T912" t="str">
        <f>IF(S912&lt;=0.15,"Calm",IF(S912&lt;=0.3,"Light Wind",IF(S912&lt;=0.45,"Moderate Wind","Strong Wind")))</f>
        <v>Moderate Wind</v>
      </c>
      <c r="U912">
        <v>1</v>
      </c>
      <c r="V912">
        <v>44</v>
      </c>
      <c r="W912">
        <v>45</v>
      </c>
      <c r="X912" t="str">
        <f>IF(W912&lt;=75,"Low Demand",IF(W912&lt;=150,"Medium Demand",IF(W912&lt;=225,"High Demand","Very High Demand")))</f>
        <v>Low Demand</v>
      </c>
    </row>
    <row r="913" spans="1:24" x14ac:dyDescent="0.25">
      <c r="A913">
        <v>912</v>
      </c>
      <c r="B913" s="2">
        <v>40584</v>
      </c>
      <c r="C913">
        <v>1</v>
      </c>
      <c r="D913">
        <v>0</v>
      </c>
      <c r="E913">
        <v>2</v>
      </c>
      <c r="F913">
        <v>12</v>
      </c>
      <c r="G913" t="str">
        <f>IF(F913&lt;6,"Night",IF(F913&lt;12,"Morning",IF(F913&lt;18,"Afternoon","Evening")))</f>
        <v>Afternoon</v>
      </c>
      <c r="H913">
        <v>0</v>
      </c>
      <c r="I913">
        <v>4</v>
      </c>
      <c r="J913" t="str">
        <f>CHOOSE(I913+1,"Monday","Tuesday","Wednesday","Thursday","Friday","Saturday","Sunday")</f>
        <v>Friday</v>
      </c>
      <c r="K913">
        <v>1</v>
      </c>
      <c r="L913" t="str">
        <f>CHOOSE(K913+1,"error","Clear","Misty","Rainy","Severe heater")</f>
        <v>Clear</v>
      </c>
      <c r="M913" s="1">
        <v>0.14000000000000001</v>
      </c>
      <c r="N913" t="str">
        <f>IF(M913&lt;=0.2,"Low",IF(M913&lt;=0.4,"Mid","High"))</f>
        <v>Low</v>
      </c>
      <c r="O913" s="1">
        <v>0.21210000000000001</v>
      </c>
      <c r="P913" t="str">
        <f>IF(O913&lt;=0.15,"Very Cold",IF(O913&lt;=0.3,"Cold",IF(O913&lt;=0.45,"Pleasant","Hot")))</f>
        <v>Cold</v>
      </c>
      <c r="Q913">
        <v>0.34</v>
      </c>
      <c r="R913" t="str">
        <f>IF(Q913&lt;=0.25,"Low ",IF(Q913&lt;=0.5,"Moderate ",IF(Q913&lt;=0.75,"High ","Very High ")))</f>
        <v xml:space="preserve">Moderate </v>
      </c>
      <c r="S913">
        <v>0.3881</v>
      </c>
      <c r="T913" t="str">
        <f>IF(S913&lt;=0.15,"Calm",IF(S913&lt;=0.3,"Light Wind",IF(S913&lt;=0.45,"Moderate Wind","Strong Wind")))</f>
        <v>Moderate Wind</v>
      </c>
      <c r="U913">
        <v>4</v>
      </c>
      <c r="V913">
        <v>65</v>
      </c>
      <c r="W913">
        <v>69</v>
      </c>
      <c r="X913" t="str">
        <f>IF(W913&lt;=75,"Low Demand",IF(W913&lt;=150,"Medium Demand",IF(W913&lt;=225,"High Demand","Very High Demand")))</f>
        <v>Low Demand</v>
      </c>
    </row>
    <row r="914" spans="1:24" x14ac:dyDescent="0.25">
      <c r="A914">
        <v>913</v>
      </c>
      <c r="B914" s="2">
        <v>40584</v>
      </c>
      <c r="C914">
        <v>1</v>
      </c>
      <c r="D914">
        <v>0</v>
      </c>
      <c r="E914">
        <v>2</v>
      </c>
      <c r="F914">
        <v>13</v>
      </c>
      <c r="G914" t="str">
        <f>IF(F914&lt;6,"Night",IF(F914&lt;12,"Morning",IF(F914&lt;18,"Afternoon","Evening")))</f>
        <v>Afternoon</v>
      </c>
      <c r="H914">
        <v>0</v>
      </c>
      <c r="I914">
        <v>4</v>
      </c>
      <c r="J914" t="str">
        <f>CHOOSE(I914+1,"Monday","Tuesday","Wednesday","Thursday","Friday","Saturday","Sunday")</f>
        <v>Friday</v>
      </c>
      <c r="K914">
        <v>1</v>
      </c>
      <c r="L914" t="str">
        <f>CHOOSE(K914+1,"error","Clear","Misty","Rainy","Severe heater")</f>
        <v>Clear</v>
      </c>
      <c r="M914" s="1">
        <v>0.12</v>
      </c>
      <c r="N914" t="str">
        <f>IF(M914&lt;=0.2,"Low",IF(M914&lt;=0.4,"Mid","High"))</f>
        <v>Low</v>
      </c>
      <c r="O914" s="1">
        <v>0.19700000000000001</v>
      </c>
      <c r="P914" t="str">
        <f>IF(O914&lt;=0.15,"Very Cold",IF(O914&lt;=0.3,"Cold",IF(O914&lt;=0.45,"Pleasant","Hot")))</f>
        <v>Cold</v>
      </c>
      <c r="Q914">
        <v>0.28999999999999998</v>
      </c>
      <c r="R914" t="str">
        <f>IF(Q914&lt;=0.25,"Low ",IF(Q914&lt;=0.5,"Moderate ",IF(Q914&lt;=0.75,"High ","Very High ")))</f>
        <v xml:space="preserve">Moderate </v>
      </c>
      <c r="S914">
        <v>0.29849999999999999</v>
      </c>
      <c r="T914" t="str">
        <f>IF(S914&lt;=0.15,"Calm",IF(S914&lt;=0.3,"Light Wind",IF(S914&lt;=0.45,"Moderate Wind","Strong Wind")))</f>
        <v>Light Wind</v>
      </c>
      <c r="U914">
        <v>3</v>
      </c>
      <c r="V914">
        <v>59</v>
      </c>
      <c r="W914">
        <v>62</v>
      </c>
      <c r="X914" t="str">
        <f>IF(W914&lt;=75,"Low Demand",IF(W914&lt;=150,"Medium Demand",IF(W914&lt;=225,"High Demand","Very High Demand")))</f>
        <v>Low Demand</v>
      </c>
    </row>
    <row r="915" spans="1:24" x14ac:dyDescent="0.25">
      <c r="A915">
        <v>914</v>
      </c>
      <c r="B915" s="2">
        <v>40584</v>
      </c>
      <c r="C915">
        <v>1</v>
      </c>
      <c r="D915">
        <v>0</v>
      </c>
      <c r="E915">
        <v>2</v>
      </c>
      <c r="F915">
        <v>14</v>
      </c>
      <c r="G915" t="str">
        <f>IF(F915&lt;6,"Night",IF(F915&lt;12,"Morning",IF(F915&lt;18,"Afternoon","Evening")))</f>
        <v>Afternoon</v>
      </c>
      <c r="H915">
        <v>0</v>
      </c>
      <c r="I915">
        <v>4</v>
      </c>
      <c r="J915" t="str">
        <f>CHOOSE(I915+1,"Monday","Tuesday","Wednesday","Thursday","Friday","Saturday","Sunday")</f>
        <v>Friday</v>
      </c>
      <c r="K915">
        <v>1</v>
      </c>
      <c r="L915" t="str">
        <f>CHOOSE(K915+1,"error","Clear","Misty","Rainy","Severe heater")</f>
        <v>Clear</v>
      </c>
      <c r="M915" s="1">
        <v>0.12</v>
      </c>
      <c r="N915" t="str">
        <f>IF(M915&lt;=0.2,"Low",IF(M915&lt;=0.4,"Mid","High"))</f>
        <v>Low</v>
      </c>
      <c r="O915" s="1">
        <v>0.1515</v>
      </c>
      <c r="P915" t="str">
        <f>IF(O915&lt;=0.15,"Very Cold",IF(O915&lt;=0.3,"Cold",IF(O915&lt;=0.45,"Pleasant","Hot")))</f>
        <v>Cold</v>
      </c>
      <c r="Q915">
        <v>0.27</v>
      </c>
      <c r="R915" t="str">
        <f>IF(Q915&lt;=0.25,"Low ",IF(Q915&lt;=0.5,"Moderate ",IF(Q915&lt;=0.75,"High ","Very High ")))</f>
        <v xml:space="preserve">Moderate </v>
      </c>
      <c r="S915">
        <v>0.28360000000000002</v>
      </c>
      <c r="T915" t="str">
        <f>IF(S915&lt;=0.15,"Calm",IF(S915&lt;=0.3,"Light Wind",IF(S915&lt;=0.45,"Moderate Wind","Strong Wind")))</f>
        <v>Light Wind</v>
      </c>
      <c r="U915">
        <v>6</v>
      </c>
      <c r="V915">
        <v>42</v>
      </c>
      <c r="W915">
        <v>48</v>
      </c>
      <c r="X915" t="str">
        <f>IF(W915&lt;=75,"Low Demand",IF(W915&lt;=150,"Medium Demand",IF(W915&lt;=225,"High Demand","Very High Demand")))</f>
        <v>Low Demand</v>
      </c>
    </row>
    <row r="916" spans="1:24" x14ac:dyDescent="0.25">
      <c r="A916">
        <v>915</v>
      </c>
      <c r="B916" s="2">
        <v>40584</v>
      </c>
      <c r="C916">
        <v>1</v>
      </c>
      <c r="D916">
        <v>0</v>
      </c>
      <c r="E916">
        <v>2</v>
      </c>
      <c r="F916">
        <v>15</v>
      </c>
      <c r="G916" t="str">
        <f>IF(F916&lt;6,"Night",IF(F916&lt;12,"Morning",IF(F916&lt;18,"Afternoon","Evening")))</f>
        <v>Afternoon</v>
      </c>
      <c r="H916">
        <v>0</v>
      </c>
      <c r="I916">
        <v>4</v>
      </c>
      <c r="J916" t="str">
        <f>CHOOSE(I916+1,"Monday","Tuesday","Wednesday","Thursday","Friday","Saturday","Sunday")</f>
        <v>Friday</v>
      </c>
      <c r="K916">
        <v>1</v>
      </c>
      <c r="L916" t="str">
        <f>CHOOSE(K916+1,"error","Clear","Misty","Rainy","Severe heater")</f>
        <v>Clear</v>
      </c>
      <c r="M916" s="1">
        <v>0.1</v>
      </c>
      <c r="N916" t="str">
        <f>IF(M916&lt;=0.2,"Low",IF(M916&lt;=0.4,"Mid","High"))</f>
        <v>Low</v>
      </c>
      <c r="O916" s="1">
        <v>0.13639999999999999</v>
      </c>
      <c r="P916" t="str">
        <f>IF(O916&lt;=0.15,"Very Cold",IF(O916&lt;=0.3,"Cold",IF(O916&lt;=0.45,"Pleasant","Hot")))</f>
        <v>Very Cold</v>
      </c>
      <c r="Q916">
        <v>0.25</v>
      </c>
      <c r="R916" t="str">
        <f>IF(Q916&lt;=0.25,"Low ",IF(Q916&lt;=0.5,"Moderate ",IF(Q916&lt;=0.75,"High ","Very High ")))</f>
        <v xml:space="preserve">Low </v>
      </c>
      <c r="S916">
        <v>0.25369999999999998</v>
      </c>
      <c r="T916" t="str">
        <f>IF(S916&lt;=0.15,"Calm",IF(S916&lt;=0.3,"Light Wind",IF(S916&lt;=0.45,"Moderate Wind","Strong Wind")))</f>
        <v>Light Wind</v>
      </c>
      <c r="U916">
        <v>0</v>
      </c>
      <c r="V916">
        <v>50</v>
      </c>
      <c r="W916">
        <v>50</v>
      </c>
      <c r="X916" t="str">
        <f>IF(W916&lt;=75,"Low Demand",IF(W916&lt;=150,"Medium Demand",IF(W916&lt;=225,"High Demand","Very High Demand")))</f>
        <v>Low Demand</v>
      </c>
    </row>
    <row r="917" spans="1:24" x14ac:dyDescent="0.25">
      <c r="A917">
        <v>916</v>
      </c>
      <c r="B917" s="2">
        <v>40584</v>
      </c>
      <c r="C917">
        <v>1</v>
      </c>
      <c r="D917">
        <v>0</v>
      </c>
      <c r="E917">
        <v>2</v>
      </c>
      <c r="F917">
        <v>16</v>
      </c>
      <c r="G917" t="str">
        <f>IF(F917&lt;6,"Night",IF(F917&lt;12,"Morning",IF(F917&lt;18,"Afternoon","Evening")))</f>
        <v>Afternoon</v>
      </c>
      <c r="H917">
        <v>0</v>
      </c>
      <c r="I917">
        <v>4</v>
      </c>
      <c r="J917" t="str">
        <f>CHOOSE(I917+1,"Monday","Tuesday","Wednesday","Thursday","Friday","Saturday","Sunday")</f>
        <v>Friday</v>
      </c>
      <c r="K917">
        <v>1</v>
      </c>
      <c r="L917" t="str">
        <f>CHOOSE(K917+1,"error","Clear","Misty","Rainy","Severe heater")</f>
        <v>Clear</v>
      </c>
      <c r="M917" s="1">
        <v>0.1</v>
      </c>
      <c r="N917" t="str">
        <f>IF(M917&lt;=0.2,"Low",IF(M917&lt;=0.4,"Mid","High"))</f>
        <v>Low</v>
      </c>
      <c r="O917" s="1">
        <v>0.13639999999999999</v>
      </c>
      <c r="P917" t="str">
        <f>IF(O917&lt;=0.15,"Very Cold",IF(O917&lt;=0.3,"Cold",IF(O917&lt;=0.45,"Pleasant","Hot")))</f>
        <v>Very Cold</v>
      </c>
      <c r="Q917">
        <v>0.27</v>
      </c>
      <c r="R917" t="str">
        <f>IF(Q917&lt;=0.25,"Low ",IF(Q917&lt;=0.5,"Moderate ",IF(Q917&lt;=0.75,"High ","Very High ")))</f>
        <v xml:space="preserve">Moderate </v>
      </c>
      <c r="S917">
        <v>0.29849999999999999</v>
      </c>
      <c r="T917" t="str">
        <f>IF(S917&lt;=0.15,"Calm",IF(S917&lt;=0.3,"Light Wind",IF(S917&lt;=0.45,"Moderate Wind","Strong Wind")))</f>
        <v>Light Wind</v>
      </c>
      <c r="U917">
        <v>4</v>
      </c>
      <c r="V917">
        <v>76</v>
      </c>
      <c r="W917">
        <v>80</v>
      </c>
      <c r="X917" t="str">
        <f>IF(W917&lt;=75,"Low Demand",IF(W917&lt;=150,"Medium Demand",IF(W917&lt;=225,"High Demand","Very High Demand")))</f>
        <v>Medium Demand</v>
      </c>
    </row>
    <row r="918" spans="1:24" x14ac:dyDescent="0.25">
      <c r="A918">
        <v>917</v>
      </c>
      <c r="B918" s="2">
        <v>40584</v>
      </c>
      <c r="C918">
        <v>1</v>
      </c>
      <c r="D918">
        <v>0</v>
      </c>
      <c r="E918">
        <v>2</v>
      </c>
      <c r="F918">
        <v>17</v>
      </c>
      <c r="G918" t="str">
        <f>IF(F918&lt;6,"Night",IF(F918&lt;12,"Morning",IF(F918&lt;18,"Afternoon","Evening")))</f>
        <v>Afternoon</v>
      </c>
      <c r="H918">
        <v>0</v>
      </c>
      <c r="I918">
        <v>4</v>
      </c>
      <c r="J918" t="str">
        <f>CHOOSE(I918+1,"Monday","Tuesday","Wednesday","Thursday","Friday","Saturday","Sunday")</f>
        <v>Friday</v>
      </c>
      <c r="K918">
        <v>1</v>
      </c>
      <c r="L918" t="str">
        <f>CHOOSE(K918+1,"error","Clear","Misty","Rainy","Severe heater")</f>
        <v>Clear</v>
      </c>
      <c r="M918" s="1">
        <v>0.1</v>
      </c>
      <c r="N918" t="str">
        <f>IF(M918&lt;=0.2,"Low",IF(M918&lt;=0.4,"Mid","High"))</f>
        <v>Low</v>
      </c>
      <c r="O918" s="1">
        <v>0.13639999999999999</v>
      </c>
      <c r="P918" t="str">
        <f>IF(O918&lt;=0.15,"Very Cold",IF(O918&lt;=0.3,"Cold",IF(O918&lt;=0.45,"Pleasant","Hot")))</f>
        <v>Very Cold</v>
      </c>
      <c r="Q918">
        <v>0.26</v>
      </c>
      <c r="R918" t="str">
        <f>IF(Q918&lt;=0.25,"Low ",IF(Q918&lt;=0.5,"Moderate ",IF(Q918&lt;=0.75,"High ","Very High ")))</f>
        <v xml:space="preserve">Moderate </v>
      </c>
      <c r="S918">
        <v>0.19400000000000001</v>
      </c>
      <c r="T918" t="str">
        <f>IF(S918&lt;=0.15,"Calm",IF(S918&lt;=0.3,"Light Wind",IF(S918&lt;=0.45,"Moderate Wind","Strong Wind")))</f>
        <v>Light Wind</v>
      </c>
      <c r="U918">
        <v>6</v>
      </c>
      <c r="V918">
        <v>159</v>
      </c>
      <c r="W918">
        <v>165</v>
      </c>
      <c r="X918" t="str">
        <f>IF(W918&lt;=75,"Low Demand",IF(W918&lt;=150,"Medium Demand",IF(W918&lt;=225,"High Demand","Very High Demand")))</f>
        <v>High Demand</v>
      </c>
    </row>
    <row r="919" spans="1:24" x14ac:dyDescent="0.25">
      <c r="A919">
        <v>918</v>
      </c>
      <c r="B919" s="2">
        <v>40584</v>
      </c>
      <c r="C919">
        <v>1</v>
      </c>
      <c r="D919">
        <v>0</v>
      </c>
      <c r="E919">
        <v>2</v>
      </c>
      <c r="F919">
        <v>18</v>
      </c>
      <c r="G919" t="str">
        <f>IF(F919&lt;6,"Night",IF(F919&lt;12,"Morning",IF(F919&lt;18,"Afternoon","Evening")))</f>
        <v>Evening</v>
      </c>
      <c r="H919">
        <v>0</v>
      </c>
      <c r="I919">
        <v>4</v>
      </c>
      <c r="J919" t="str">
        <f>CHOOSE(I919+1,"Monday","Tuesday","Wednesday","Thursday","Friday","Saturday","Sunday")</f>
        <v>Friday</v>
      </c>
      <c r="K919">
        <v>1</v>
      </c>
      <c r="L919" t="str">
        <f>CHOOSE(K919+1,"error","Clear","Misty","Rainy","Severe heater")</f>
        <v>Clear</v>
      </c>
      <c r="M919" s="1">
        <v>0.08</v>
      </c>
      <c r="N919" t="str">
        <f>IF(M919&lt;=0.2,"Low",IF(M919&lt;=0.4,"Mid","High"))</f>
        <v>Low</v>
      </c>
      <c r="O919" s="1">
        <v>0.1212</v>
      </c>
      <c r="P919" t="str">
        <f>IF(O919&lt;=0.15,"Very Cold",IF(O919&lt;=0.3,"Cold",IF(O919&lt;=0.45,"Pleasant","Hot")))</f>
        <v>Very Cold</v>
      </c>
      <c r="Q919">
        <v>0.28000000000000003</v>
      </c>
      <c r="R919" t="str">
        <f>IF(Q919&lt;=0.25,"Low ",IF(Q919&lt;=0.5,"Moderate ",IF(Q919&lt;=0.75,"High ","Very High ")))</f>
        <v xml:space="preserve">Moderate </v>
      </c>
      <c r="S919">
        <v>0.1343</v>
      </c>
      <c r="T919" t="str">
        <f>IF(S919&lt;=0.15,"Calm",IF(S919&lt;=0.3,"Light Wind",IF(S919&lt;=0.45,"Moderate Wind","Strong Wind")))</f>
        <v>Calm</v>
      </c>
      <c r="U919">
        <v>3</v>
      </c>
      <c r="V919">
        <v>157</v>
      </c>
      <c r="W919">
        <v>160</v>
      </c>
      <c r="X919" t="str">
        <f>IF(W919&lt;=75,"Low Demand",IF(W919&lt;=150,"Medium Demand",IF(W919&lt;=225,"High Demand","Very High Demand")))</f>
        <v>High Demand</v>
      </c>
    </row>
    <row r="920" spans="1:24" x14ac:dyDescent="0.25">
      <c r="A920">
        <v>919</v>
      </c>
      <c r="B920" s="2">
        <v>40584</v>
      </c>
      <c r="C920">
        <v>1</v>
      </c>
      <c r="D920">
        <v>0</v>
      </c>
      <c r="E920">
        <v>2</v>
      </c>
      <c r="F920">
        <v>19</v>
      </c>
      <c r="G920" t="str">
        <f>IF(F920&lt;6,"Night",IF(F920&lt;12,"Morning",IF(F920&lt;18,"Afternoon","Evening")))</f>
        <v>Evening</v>
      </c>
      <c r="H920">
        <v>0</v>
      </c>
      <c r="I920">
        <v>4</v>
      </c>
      <c r="J920" t="str">
        <f>CHOOSE(I920+1,"Monday","Tuesday","Wednesday","Thursday","Friday","Saturday","Sunday")</f>
        <v>Friday</v>
      </c>
      <c r="K920">
        <v>1</v>
      </c>
      <c r="L920" t="str">
        <f>CHOOSE(K920+1,"error","Clear","Misty","Rainy","Severe heater")</f>
        <v>Clear</v>
      </c>
      <c r="M920" s="1">
        <v>0.1</v>
      </c>
      <c r="N920" t="str">
        <f>IF(M920&lt;=0.2,"Low",IF(M920&lt;=0.4,"Mid","High"))</f>
        <v>Low</v>
      </c>
      <c r="O920" s="1">
        <v>0.18179999999999999</v>
      </c>
      <c r="P920" t="str">
        <f>IF(O920&lt;=0.15,"Very Cold",IF(O920&lt;=0.3,"Cold",IF(O920&lt;=0.45,"Pleasant","Hot")))</f>
        <v>Cold</v>
      </c>
      <c r="Q920">
        <v>0.28000000000000003</v>
      </c>
      <c r="R920" t="str">
        <f>IF(Q920&lt;=0.25,"Low ",IF(Q920&lt;=0.5,"Moderate ",IF(Q920&lt;=0.75,"High ","Very High ")))</f>
        <v xml:space="preserve">Moderate </v>
      </c>
      <c r="S920">
        <v>0.1045</v>
      </c>
      <c r="T920" t="str">
        <f>IF(S920&lt;=0.15,"Calm",IF(S920&lt;=0.3,"Light Wind",IF(S920&lt;=0.45,"Moderate Wind","Strong Wind")))</f>
        <v>Calm</v>
      </c>
      <c r="U920">
        <v>2</v>
      </c>
      <c r="V920">
        <v>110</v>
      </c>
      <c r="W920">
        <v>112</v>
      </c>
      <c r="X920" t="str">
        <f>IF(W920&lt;=75,"Low Demand",IF(W920&lt;=150,"Medium Demand",IF(W920&lt;=225,"High Demand","Very High Demand")))</f>
        <v>Medium Demand</v>
      </c>
    </row>
    <row r="921" spans="1:24" x14ac:dyDescent="0.25">
      <c r="A921">
        <v>920</v>
      </c>
      <c r="B921" s="2">
        <v>40584</v>
      </c>
      <c r="C921">
        <v>1</v>
      </c>
      <c r="D921">
        <v>0</v>
      </c>
      <c r="E921">
        <v>2</v>
      </c>
      <c r="F921">
        <v>20</v>
      </c>
      <c r="G921" t="str">
        <f>IF(F921&lt;6,"Night",IF(F921&lt;12,"Morning",IF(F921&lt;18,"Afternoon","Evening")))</f>
        <v>Evening</v>
      </c>
      <c r="H921">
        <v>0</v>
      </c>
      <c r="I921">
        <v>4</v>
      </c>
      <c r="J921" t="str">
        <f>CHOOSE(I921+1,"Monday","Tuesday","Wednesday","Thursday","Friday","Saturday","Sunday")</f>
        <v>Friday</v>
      </c>
      <c r="K921">
        <v>1</v>
      </c>
      <c r="L921" t="str">
        <f>CHOOSE(K921+1,"error","Clear","Misty","Rainy","Severe heater")</f>
        <v>Clear</v>
      </c>
      <c r="M921" s="1">
        <v>0.08</v>
      </c>
      <c r="N921" t="str">
        <f>IF(M921&lt;=0.2,"Low",IF(M921&lt;=0.4,"Mid","High"))</f>
        <v>Low</v>
      </c>
      <c r="O921" s="1">
        <v>0.16669999999999999</v>
      </c>
      <c r="P921" t="str">
        <f>IF(O921&lt;=0.15,"Very Cold",IF(O921&lt;=0.3,"Cold",IF(O921&lt;=0.45,"Pleasant","Hot")))</f>
        <v>Cold</v>
      </c>
      <c r="Q921">
        <v>0.31</v>
      </c>
      <c r="R921" t="str">
        <f>IF(Q921&lt;=0.25,"Low ",IF(Q921&lt;=0.5,"Moderate ",IF(Q921&lt;=0.75,"High ","Very High ")))</f>
        <v xml:space="preserve">Moderate </v>
      </c>
      <c r="S921">
        <v>8.9599999999999999E-2</v>
      </c>
      <c r="T921" t="str">
        <f>IF(S921&lt;=0.15,"Calm",IF(S921&lt;=0.3,"Light Wind",IF(S921&lt;=0.45,"Moderate Wind","Strong Wind")))</f>
        <v>Calm</v>
      </c>
      <c r="U921">
        <v>4</v>
      </c>
      <c r="V921">
        <v>93</v>
      </c>
      <c r="W921">
        <v>97</v>
      </c>
      <c r="X921" t="str">
        <f>IF(W921&lt;=75,"Low Demand",IF(W921&lt;=150,"Medium Demand",IF(W921&lt;=225,"High Demand","Very High Demand")))</f>
        <v>Medium Demand</v>
      </c>
    </row>
    <row r="922" spans="1:24" x14ac:dyDescent="0.25">
      <c r="A922">
        <v>921</v>
      </c>
      <c r="B922" s="2">
        <v>40584</v>
      </c>
      <c r="C922">
        <v>1</v>
      </c>
      <c r="D922">
        <v>0</v>
      </c>
      <c r="E922">
        <v>2</v>
      </c>
      <c r="F922">
        <v>21</v>
      </c>
      <c r="G922" t="str">
        <f>IF(F922&lt;6,"Night",IF(F922&lt;12,"Morning",IF(F922&lt;18,"Afternoon","Evening")))</f>
        <v>Evening</v>
      </c>
      <c r="H922">
        <v>0</v>
      </c>
      <c r="I922">
        <v>4</v>
      </c>
      <c r="J922" t="str">
        <f>CHOOSE(I922+1,"Monday","Tuesday","Wednesday","Thursday","Friday","Saturday","Sunday")</f>
        <v>Friday</v>
      </c>
      <c r="K922">
        <v>1</v>
      </c>
      <c r="L922" t="str">
        <f>CHOOSE(K922+1,"error","Clear","Misty","Rainy","Severe heater")</f>
        <v>Clear</v>
      </c>
      <c r="M922" s="1">
        <v>0.1</v>
      </c>
      <c r="N922" t="str">
        <f>IF(M922&lt;=0.2,"Low",IF(M922&lt;=0.4,"Mid","High"))</f>
        <v>Low</v>
      </c>
      <c r="O922" s="1">
        <v>0.1212</v>
      </c>
      <c r="P922" t="str">
        <f>IF(O922&lt;=0.15,"Very Cold",IF(O922&lt;=0.3,"Cold",IF(O922&lt;=0.45,"Pleasant","Hot")))</f>
        <v>Very Cold</v>
      </c>
      <c r="Q922">
        <v>0.39</v>
      </c>
      <c r="R922" t="str">
        <f>IF(Q922&lt;=0.25,"Low ",IF(Q922&lt;=0.5,"Moderate ",IF(Q922&lt;=0.75,"High ","Very High ")))</f>
        <v xml:space="preserve">Moderate </v>
      </c>
      <c r="S922">
        <v>0</v>
      </c>
      <c r="T922" t="str">
        <f>IF(S922&lt;=0.15,"Calm",IF(S922&lt;=0.3,"Light Wind",IF(S922&lt;=0.45,"Moderate Wind","Strong Wind")))</f>
        <v>Calm</v>
      </c>
      <c r="U922">
        <v>2</v>
      </c>
      <c r="V922">
        <v>70</v>
      </c>
      <c r="W922">
        <v>72</v>
      </c>
      <c r="X922" t="str">
        <f>IF(W922&lt;=75,"Low Demand",IF(W922&lt;=150,"Medium Demand",IF(W922&lt;=225,"High Demand","Very High Demand")))</f>
        <v>Low Demand</v>
      </c>
    </row>
    <row r="923" spans="1:24" x14ac:dyDescent="0.25">
      <c r="A923">
        <v>922</v>
      </c>
      <c r="B923" s="2">
        <v>40584</v>
      </c>
      <c r="C923">
        <v>1</v>
      </c>
      <c r="D923">
        <v>0</v>
      </c>
      <c r="E923">
        <v>2</v>
      </c>
      <c r="F923">
        <v>22</v>
      </c>
      <c r="G923" t="str">
        <f>IF(F923&lt;6,"Night",IF(F923&lt;12,"Morning",IF(F923&lt;18,"Afternoon","Evening")))</f>
        <v>Evening</v>
      </c>
      <c r="H923">
        <v>0</v>
      </c>
      <c r="I923">
        <v>4</v>
      </c>
      <c r="J923" t="str">
        <f>CHOOSE(I923+1,"Monday","Tuesday","Wednesday","Thursday","Friday","Saturday","Sunday")</f>
        <v>Friday</v>
      </c>
      <c r="K923">
        <v>1</v>
      </c>
      <c r="L923" t="str">
        <f>CHOOSE(K923+1,"error","Clear","Misty","Rainy","Severe heater")</f>
        <v>Clear</v>
      </c>
      <c r="M923" s="1">
        <v>0.12</v>
      </c>
      <c r="N923" t="str">
        <f>IF(M923&lt;=0.2,"Low",IF(M923&lt;=0.4,"Mid","High"))</f>
        <v>Low</v>
      </c>
      <c r="O923" s="1">
        <v>0.1212</v>
      </c>
      <c r="P923" t="str">
        <f>IF(O923&lt;=0.15,"Very Cold",IF(O923&lt;=0.3,"Cold",IF(O923&lt;=0.45,"Pleasant","Hot")))</f>
        <v>Very Cold</v>
      </c>
      <c r="Q923">
        <v>0.39</v>
      </c>
      <c r="R923" t="str">
        <f>IF(Q923&lt;=0.25,"Low ",IF(Q923&lt;=0.5,"Moderate ",IF(Q923&lt;=0.75,"High ","Very High ")))</f>
        <v xml:space="preserve">Moderate </v>
      </c>
      <c r="S923">
        <v>0</v>
      </c>
      <c r="T923" t="str">
        <f>IF(S923&lt;=0.15,"Calm",IF(S923&lt;=0.3,"Light Wind",IF(S923&lt;=0.45,"Moderate Wind","Strong Wind")))</f>
        <v>Calm</v>
      </c>
      <c r="U923">
        <v>4</v>
      </c>
      <c r="V923">
        <v>47</v>
      </c>
      <c r="W923">
        <v>51</v>
      </c>
      <c r="X923" t="str">
        <f>IF(W923&lt;=75,"Low Demand",IF(W923&lt;=150,"Medium Demand",IF(W923&lt;=225,"High Demand","Very High Demand")))</f>
        <v>Low Demand</v>
      </c>
    </row>
    <row r="924" spans="1:24" x14ac:dyDescent="0.25">
      <c r="A924">
        <v>923</v>
      </c>
      <c r="B924" s="2">
        <v>40584</v>
      </c>
      <c r="C924">
        <v>1</v>
      </c>
      <c r="D924">
        <v>0</v>
      </c>
      <c r="E924">
        <v>2</v>
      </c>
      <c r="F924">
        <v>23</v>
      </c>
      <c r="G924" t="str">
        <f>IF(F924&lt;6,"Night",IF(F924&lt;12,"Morning",IF(F924&lt;18,"Afternoon","Evening")))</f>
        <v>Evening</v>
      </c>
      <c r="H924">
        <v>0</v>
      </c>
      <c r="I924">
        <v>4</v>
      </c>
      <c r="J924" t="str">
        <f>CHOOSE(I924+1,"Monday","Tuesday","Wednesday","Thursday","Friday","Saturday","Sunday")</f>
        <v>Friday</v>
      </c>
      <c r="K924">
        <v>1</v>
      </c>
      <c r="L924" t="str">
        <f>CHOOSE(K924+1,"error","Clear","Misty","Rainy","Severe heater")</f>
        <v>Clear</v>
      </c>
      <c r="M924" s="1">
        <v>0.14000000000000001</v>
      </c>
      <c r="N924" t="str">
        <f>IF(M924&lt;=0.2,"Low",IF(M924&lt;=0.4,"Mid","High"))</f>
        <v>Low</v>
      </c>
      <c r="O924" s="1">
        <v>0.13639999999999999</v>
      </c>
      <c r="P924" t="str">
        <f>IF(O924&lt;=0.15,"Very Cold",IF(O924&lt;=0.3,"Cold",IF(O924&lt;=0.45,"Pleasant","Hot")))</f>
        <v>Very Cold</v>
      </c>
      <c r="Q924">
        <v>0.42</v>
      </c>
      <c r="R924" t="str">
        <f>IF(Q924&lt;=0.25,"Low ",IF(Q924&lt;=0.5,"Moderate ",IF(Q924&lt;=0.75,"High ","Very High ")))</f>
        <v xml:space="preserve">Moderate </v>
      </c>
      <c r="S924">
        <v>0.1045</v>
      </c>
      <c r="T924" t="str">
        <f>IF(S924&lt;=0.15,"Calm",IF(S924&lt;=0.3,"Light Wind",IF(S924&lt;=0.45,"Moderate Wind","Strong Wind")))</f>
        <v>Calm</v>
      </c>
      <c r="U924">
        <v>1</v>
      </c>
      <c r="V924">
        <v>33</v>
      </c>
      <c r="W924">
        <v>34</v>
      </c>
      <c r="X924" t="str">
        <f>IF(W924&lt;=75,"Low Demand",IF(W924&lt;=150,"Medium Demand",IF(W924&lt;=225,"High Demand","Very High Demand")))</f>
        <v>Low Demand</v>
      </c>
    </row>
    <row r="925" spans="1:24" x14ac:dyDescent="0.25">
      <c r="A925">
        <v>924</v>
      </c>
      <c r="B925" s="2">
        <v>40585</v>
      </c>
      <c r="C925">
        <v>1</v>
      </c>
      <c r="D925">
        <v>0</v>
      </c>
      <c r="E925">
        <v>2</v>
      </c>
      <c r="F925">
        <v>0</v>
      </c>
      <c r="G925" t="str">
        <f>IF(F925&lt;6,"Night",IF(F925&lt;12,"Morning",IF(F925&lt;18,"Afternoon","Evening")))</f>
        <v>Night</v>
      </c>
      <c r="H925">
        <v>0</v>
      </c>
      <c r="I925">
        <v>5</v>
      </c>
      <c r="J925" t="str">
        <f>CHOOSE(I925+1,"Monday","Tuesday","Wednesday","Thursday","Friday","Saturday","Sunday")</f>
        <v>Saturday</v>
      </c>
      <c r="K925">
        <v>1</v>
      </c>
      <c r="L925" t="str">
        <f>CHOOSE(K925+1,"error","Clear","Misty","Rainy","Severe heater")</f>
        <v>Clear</v>
      </c>
      <c r="M925" s="1">
        <v>0.22</v>
      </c>
      <c r="N925" t="str">
        <f>IF(M925&lt;=0.2,"Low",IF(M925&lt;=0.4,"Mid","High"))</f>
        <v>Mid</v>
      </c>
      <c r="O925" s="1">
        <v>0.2273</v>
      </c>
      <c r="P925" t="str">
        <f>IF(O925&lt;=0.15,"Very Cold",IF(O925&lt;=0.3,"Cold",IF(O925&lt;=0.45,"Pleasant","Hot")))</f>
        <v>Cold</v>
      </c>
      <c r="Q925">
        <v>0.49</v>
      </c>
      <c r="R925" t="str">
        <f>IF(Q925&lt;=0.25,"Low ",IF(Q925&lt;=0.5,"Moderate ",IF(Q925&lt;=0.75,"High ","Very High ")))</f>
        <v xml:space="preserve">Moderate </v>
      </c>
      <c r="S925">
        <v>0.1045</v>
      </c>
      <c r="T925" t="str">
        <f>IF(S925&lt;=0.15,"Calm",IF(S925&lt;=0.3,"Light Wind",IF(S925&lt;=0.45,"Moderate Wind","Strong Wind")))</f>
        <v>Calm</v>
      </c>
      <c r="U925">
        <v>2</v>
      </c>
      <c r="V925">
        <v>12</v>
      </c>
      <c r="W925">
        <v>14</v>
      </c>
      <c r="X925" t="str">
        <f>IF(W925&lt;=75,"Low Demand",IF(W925&lt;=150,"Medium Demand",IF(W925&lt;=225,"High Demand","Very High Demand")))</f>
        <v>Low Demand</v>
      </c>
    </row>
    <row r="926" spans="1:24" x14ac:dyDescent="0.25">
      <c r="A926">
        <v>925</v>
      </c>
      <c r="B926" s="2">
        <v>40585</v>
      </c>
      <c r="C926">
        <v>1</v>
      </c>
      <c r="D926">
        <v>0</v>
      </c>
      <c r="E926">
        <v>2</v>
      </c>
      <c r="F926">
        <v>1</v>
      </c>
      <c r="G926" t="str">
        <f>IF(F926&lt;6,"Night",IF(F926&lt;12,"Morning",IF(F926&lt;18,"Afternoon","Evening")))</f>
        <v>Night</v>
      </c>
      <c r="H926">
        <v>0</v>
      </c>
      <c r="I926">
        <v>5</v>
      </c>
      <c r="J926" t="str">
        <f>CHOOSE(I926+1,"Monday","Tuesday","Wednesday","Thursday","Friday","Saturday","Sunday")</f>
        <v>Saturday</v>
      </c>
      <c r="K926">
        <v>1</v>
      </c>
      <c r="L926" t="str">
        <f>CHOOSE(K926+1,"error","Clear","Misty","Rainy","Severe heater")</f>
        <v>Clear</v>
      </c>
      <c r="M926" s="1">
        <v>0.22</v>
      </c>
      <c r="N926" t="str">
        <f>IF(M926&lt;=0.2,"Low",IF(M926&lt;=0.4,"Mid","High"))</f>
        <v>Mid</v>
      </c>
      <c r="O926" s="1">
        <v>0.2273</v>
      </c>
      <c r="P926" t="str">
        <f>IF(O926&lt;=0.15,"Very Cold",IF(O926&lt;=0.3,"Cold",IF(O926&lt;=0.45,"Pleasant","Hot")))</f>
        <v>Cold</v>
      </c>
      <c r="Q926">
        <v>0.54</v>
      </c>
      <c r="R926" t="str">
        <f>IF(Q926&lt;=0.25,"Low ",IF(Q926&lt;=0.5,"Moderate ",IF(Q926&lt;=0.75,"High ","Very High ")))</f>
        <v xml:space="preserve">High </v>
      </c>
      <c r="S926">
        <v>8.9599999999999999E-2</v>
      </c>
      <c r="T926" t="str">
        <f>IF(S926&lt;=0.15,"Calm",IF(S926&lt;=0.3,"Light Wind",IF(S926&lt;=0.45,"Moderate Wind","Strong Wind")))</f>
        <v>Calm</v>
      </c>
      <c r="U926">
        <v>1</v>
      </c>
      <c r="V926">
        <v>6</v>
      </c>
      <c r="W926">
        <v>7</v>
      </c>
      <c r="X926" t="str">
        <f>IF(W926&lt;=75,"Low Demand",IF(W926&lt;=150,"Medium Demand",IF(W926&lt;=225,"High Demand","Very High Demand")))</f>
        <v>Low Demand</v>
      </c>
    </row>
    <row r="927" spans="1:24" x14ac:dyDescent="0.25">
      <c r="A927">
        <v>926</v>
      </c>
      <c r="B927" s="2">
        <v>40585</v>
      </c>
      <c r="C927">
        <v>1</v>
      </c>
      <c r="D927">
        <v>0</v>
      </c>
      <c r="E927">
        <v>2</v>
      </c>
      <c r="F927">
        <v>2</v>
      </c>
      <c r="G927" t="str">
        <f>IF(F927&lt;6,"Night",IF(F927&lt;12,"Morning",IF(F927&lt;18,"Afternoon","Evening")))</f>
        <v>Night</v>
      </c>
      <c r="H927">
        <v>0</v>
      </c>
      <c r="I927">
        <v>5</v>
      </c>
      <c r="J927" t="str">
        <f>CHOOSE(I927+1,"Monday","Tuesday","Wednesday","Thursday","Friday","Saturday","Sunday")</f>
        <v>Saturday</v>
      </c>
      <c r="K927">
        <v>1</v>
      </c>
      <c r="L927" t="str">
        <f>CHOOSE(K927+1,"error","Clear","Misty","Rainy","Severe heater")</f>
        <v>Clear</v>
      </c>
      <c r="M927" s="1">
        <v>0.24</v>
      </c>
      <c r="N927" t="str">
        <f>IF(M927&lt;=0.2,"Low",IF(M927&lt;=0.4,"Mid","High"))</f>
        <v>Mid</v>
      </c>
      <c r="O927" s="1">
        <v>0.2273</v>
      </c>
      <c r="P927" t="str">
        <f>IF(O927&lt;=0.15,"Very Cold",IF(O927&lt;=0.3,"Cold",IF(O927&lt;=0.45,"Pleasant","Hot")))</f>
        <v>Cold</v>
      </c>
      <c r="Q927">
        <v>0.54</v>
      </c>
      <c r="R927" t="str">
        <f>IF(Q927&lt;=0.25,"Low ",IF(Q927&lt;=0.5,"Moderate ",IF(Q927&lt;=0.75,"High ","Very High ")))</f>
        <v xml:space="preserve">High </v>
      </c>
      <c r="S927">
        <v>8.9599999999999999E-2</v>
      </c>
      <c r="T927" t="str">
        <f>IF(S927&lt;=0.15,"Calm",IF(S927&lt;=0.3,"Light Wind",IF(S927&lt;=0.45,"Moderate Wind","Strong Wind")))</f>
        <v>Calm</v>
      </c>
      <c r="U927">
        <v>0</v>
      </c>
      <c r="V927">
        <v>3</v>
      </c>
      <c r="W927">
        <v>3</v>
      </c>
      <c r="X927" t="str">
        <f>IF(W927&lt;=75,"Low Demand",IF(W927&lt;=150,"Medium Demand",IF(W927&lt;=225,"High Demand","Very High Demand")))</f>
        <v>Low Demand</v>
      </c>
    </row>
    <row r="928" spans="1:24" x14ac:dyDescent="0.25">
      <c r="A928">
        <v>927</v>
      </c>
      <c r="B928" s="2">
        <v>40585</v>
      </c>
      <c r="C928">
        <v>1</v>
      </c>
      <c r="D928">
        <v>0</v>
      </c>
      <c r="E928">
        <v>2</v>
      </c>
      <c r="F928">
        <v>5</v>
      </c>
      <c r="G928" t="str">
        <f>IF(F928&lt;6,"Night",IF(F928&lt;12,"Morning",IF(F928&lt;18,"Afternoon","Evening")))</f>
        <v>Night</v>
      </c>
      <c r="H928">
        <v>0</v>
      </c>
      <c r="I928">
        <v>5</v>
      </c>
      <c r="J928" t="str">
        <f>CHOOSE(I928+1,"Monday","Tuesday","Wednesday","Thursday","Friday","Saturday","Sunday")</f>
        <v>Saturday</v>
      </c>
      <c r="K928">
        <v>1</v>
      </c>
      <c r="L928" t="str">
        <f>CHOOSE(K928+1,"error","Clear","Misty","Rainy","Severe heater")</f>
        <v>Clear</v>
      </c>
      <c r="M928" s="1">
        <v>0.3</v>
      </c>
      <c r="N928" t="str">
        <f>IF(M928&lt;=0.2,"Low",IF(M928&lt;=0.4,"Mid","High"))</f>
        <v>Mid</v>
      </c>
      <c r="O928" s="1">
        <v>0.28789999999999999</v>
      </c>
      <c r="P928" t="str">
        <f>IF(O928&lt;=0.15,"Very Cold",IF(O928&lt;=0.3,"Cold",IF(O928&lt;=0.45,"Pleasant","Hot")))</f>
        <v>Cold</v>
      </c>
      <c r="Q928">
        <v>0.63</v>
      </c>
      <c r="R928" t="str">
        <f>IF(Q928&lt;=0.25,"Low ",IF(Q928&lt;=0.5,"Moderate ",IF(Q928&lt;=0.75,"High ","Very High ")))</f>
        <v xml:space="preserve">High </v>
      </c>
      <c r="S928">
        <v>8.9599999999999999E-2</v>
      </c>
      <c r="T928" t="str">
        <f>IF(S928&lt;=0.15,"Calm",IF(S928&lt;=0.3,"Light Wind",IF(S928&lt;=0.45,"Moderate Wind","Strong Wind")))</f>
        <v>Calm</v>
      </c>
      <c r="U928">
        <v>0</v>
      </c>
      <c r="V928">
        <v>4</v>
      </c>
      <c r="W928">
        <v>4</v>
      </c>
      <c r="X928" t="str">
        <f>IF(W928&lt;=75,"Low Demand",IF(W928&lt;=150,"Medium Demand",IF(W928&lt;=225,"High Demand","Very High Demand")))</f>
        <v>Low Demand</v>
      </c>
    </row>
    <row r="929" spans="1:24" x14ac:dyDescent="0.25">
      <c r="A929">
        <v>928</v>
      </c>
      <c r="B929" s="2">
        <v>40585</v>
      </c>
      <c r="C929">
        <v>1</v>
      </c>
      <c r="D929">
        <v>0</v>
      </c>
      <c r="E929">
        <v>2</v>
      </c>
      <c r="F929">
        <v>6</v>
      </c>
      <c r="G929" t="str">
        <f>IF(F929&lt;6,"Night",IF(F929&lt;12,"Morning",IF(F929&lt;18,"Afternoon","Evening")))</f>
        <v>Morning</v>
      </c>
      <c r="H929">
        <v>0</v>
      </c>
      <c r="I929">
        <v>5</v>
      </c>
      <c r="J929" t="str">
        <f>CHOOSE(I929+1,"Monday","Tuesday","Wednesday","Thursday","Friday","Saturday","Sunday")</f>
        <v>Saturday</v>
      </c>
      <c r="K929">
        <v>1</v>
      </c>
      <c r="L929" t="str">
        <f>CHOOSE(K929+1,"error","Clear","Misty","Rainy","Severe heater")</f>
        <v>Clear</v>
      </c>
      <c r="M929" s="1">
        <v>0.32</v>
      </c>
      <c r="N929" t="str">
        <f>IF(M929&lt;=0.2,"Low",IF(M929&lt;=0.4,"Mid","High"))</f>
        <v>Mid</v>
      </c>
      <c r="O929" s="1">
        <v>0.31819999999999998</v>
      </c>
      <c r="P929" t="str">
        <f>IF(O929&lt;=0.15,"Very Cold",IF(O929&lt;=0.3,"Cold",IF(O929&lt;=0.45,"Pleasant","Hot")))</f>
        <v>Pleasant</v>
      </c>
      <c r="Q929">
        <v>0.68</v>
      </c>
      <c r="R929" t="str">
        <f>IF(Q929&lt;=0.25,"Low ",IF(Q929&lt;=0.5,"Moderate ",IF(Q929&lt;=0.75,"High ","Very High ")))</f>
        <v xml:space="preserve">High </v>
      </c>
      <c r="S929">
        <v>0</v>
      </c>
      <c r="T929" t="str">
        <f>IF(S929&lt;=0.15,"Calm",IF(S929&lt;=0.3,"Light Wind",IF(S929&lt;=0.45,"Moderate Wind","Strong Wind")))</f>
        <v>Calm</v>
      </c>
      <c r="U929">
        <v>1</v>
      </c>
      <c r="V929">
        <v>23</v>
      </c>
      <c r="W929">
        <v>24</v>
      </c>
      <c r="X929" t="str">
        <f>IF(W929&lt;=75,"Low Demand",IF(W929&lt;=150,"Medium Demand",IF(W929&lt;=225,"High Demand","Very High Demand")))</f>
        <v>Low Demand</v>
      </c>
    </row>
    <row r="930" spans="1:24" x14ac:dyDescent="0.25">
      <c r="A930">
        <v>929</v>
      </c>
      <c r="B930" s="2">
        <v>40585</v>
      </c>
      <c r="C930">
        <v>1</v>
      </c>
      <c r="D930">
        <v>0</v>
      </c>
      <c r="E930">
        <v>2</v>
      </c>
      <c r="F930">
        <v>7</v>
      </c>
      <c r="G930" t="str">
        <f>IF(F930&lt;6,"Night",IF(F930&lt;12,"Morning",IF(F930&lt;18,"Afternoon","Evening")))</f>
        <v>Morning</v>
      </c>
      <c r="H930">
        <v>0</v>
      </c>
      <c r="I930">
        <v>5</v>
      </c>
      <c r="J930" t="str">
        <f>CHOOSE(I930+1,"Monday","Tuesday","Wednesday","Thursday","Friday","Saturday","Sunday")</f>
        <v>Saturday</v>
      </c>
      <c r="K930">
        <v>1</v>
      </c>
      <c r="L930" t="str">
        <f>CHOOSE(K930+1,"error","Clear","Misty","Rainy","Severe heater")</f>
        <v>Clear</v>
      </c>
      <c r="M930" s="1">
        <v>0.3</v>
      </c>
      <c r="N930" t="str">
        <f>IF(M930&lt;=0.2,"Low",IF(M930&lt;=0.4,"Mid","High"))</f>
        <v>Mid</v>
      </c>
      <c r="O930" s="1">
        <v>0.28789999999999999</v>
      </c>
      <c r="P930" t="str">
        <f>IF(O930&lt;=0.15,"Very Cold",IF(O930&lt;=0.3,"Cold",IF(O930&lt;=0.45,"Pleasant","Hot")))</f>
        <v>Cold</v>
      </c>
      <c r="Q930">
        <v>0.73</v>
      </c>
      <c r="R930" t="str">
        <f>IF(Q930&lt;=0.25,"Low ",IF(Q930&lt;=0.5,"Moderate ",IF(Q930&lt;=0.75,"High ","Very High ")))</f>
        <v xml:space="preserve">High </v>
      </c>
      <c r="S930">
        <v>0</v>
      </c>
      <c r="T930" t="str">
        <f>IF(S930&lt;=0.15,"Calm",IF(S930&lt;=0.3,"Light Wind",IF(S930&lt;=0.45,"Moderate Wind","Strong Wind")))</f>
        <v>Calm</v>
      </c>
      <c r="U930">
        <v>1</v>
      </c>
      <c r="V930">
        <v>73</v>
      </c>
      <c r="W930">
        <v>74</v>
      </c>
      <c r="X930" t="str">
        <f>IF(W930&lt;=75,"Low Demand",IF(W930&lt;=150,"Medium Demand",IF(W930&lt;=225,"High Demand","Very High Demand")))</f>
        <v>Low Demand</v>
      </c>
    </row>
    <row r="931" spans="1:24" x14ac:dyDescent="0.25">
      <c r="A931">
        <v>930</v>
      </c>
      <c r="B931" s="2">
        <v>40585</v>
      </c>
      <c r="C931">
        <v>1</v>
      </c>
      <c r="D931">
        <v>0</v>
      </c>
      <c r="E931">
        <v>2</v>
      </c>
      <c r="F931">
        <v>8</v>
      </c>
      <c r="G931" t="str">
        <f>IF(F931&lt;6,"Night",IF(F931&lt;12,"Morning",IF(F931&lt;18,"Afternoon","Evening")))</f>
        <v>Morning</v>
      </c>
      <c r="H931">
        <v>0</v>
      </c>
      <c r="I931">
        <v>5</v>
      </c>
      <c r="J931" t="str">
        <f>CHOOSE(I931+1,"Monday","Tuesday","Wednesday","Thursday","Friday","Saturday","Sunday")</f>
        <v>Saturday</v>
      </c>
      <c r="K931">
        <v>1</v>
      </c>
      <c r="L931" t="str">
        <f>CHOOSE(K931+1,"error","Clear","Misty","Rainy","Severe heater")</f>
        <v>Clear</v>
      </c>
      <c r="M931" s="1">
        <v>0.3</v>
      </c>
      <c r="N931" t="str">
        <f>IF(M931&lt;=0.2,"Low",IF(M931&lt;=0.4,"Mid","High"))</f>
        <v>Mid</v>
      </c>
      <c r="O931" s="1">
        <v>0.33329999999999999</v>
      </c>
      <c r="P931" t="str">
        <f>IF(O931&lt;=0.15,"Very Cold",IF(O931&lt;=0.3,"Cold",IF(O931&lt;=0.45,"Pleasant","Hot")))</f>
        <v>Pleasant</v>
      </c>
      <c r="Q931">
        <v>0.74</v>
      </c>
      <c r="R931" t="str">
        <f>IF(Q931&lt;=0.25,"Low ",IF(Q931&lt;=0.5,"Moderate ",IF(Q931&lt;=0.75,"High ","Very High ")))</f>
        <v xml:space="preserve">High </v>
      </c>
      <c r="S931">
        <v>0.16420000000000001</v>
      </c>
      <c r="T931" t="str">
        <f>IF(S931&lt;=0.15,"Calm",IF(S931&lt;=0.3,"Light Wind",IF(S931&lt;=0.45,"Moderate Wind","Strong Wind")))</f>
        <v>Light Wind</v>
      </c>
      <c r="U931">
        <v>4</v>
      </c>
      <c r="V931">
        <v>212</v>
      </c>
      <c r="W931">
        <v>216</v>
      </c>
      <c r="X931" t="str">
        <f>IF(W931&lt;=75,"Low Demand",IF(W931&lt;=150,"Medium Demand",IF(W931&lt;=225,"High Demand","Very High Demand")))</f>
        <v>High Demand</v>
      </c>
    </row>
    <row r="932" spans="1:24" x14ac:dyDescent="0.25">
      <c r="A932">
        <v>931</v>
      </c>
      <c r="B932" s="2">
        <v>40585</v>
      </c>
      <c r="C932">
        <v>1</v>
      </c>
      <c r="D932">
        <v>0</v>
      </c>
      <c r="E932">
        <v>2</v>
      </c>
      <c r="F932">
        <v>9</v>
      </c>
      <c r="G932" t="str">
        <f>IF(F932&lt;6,"Night",IF(F932&lt;12,"Morning",IF(F932&lt;18,"Afternoon","Evening")))</f>
        <v>Morning</v>
      </c>
      <c r="H932">
        <v>0</v>
      </c>
      <c r="I932">
        <v>5</v>
      </c>
      <c r="J932" t="str">
        <f>CHOOSE(I932+1,"Monday","Tuesday","Wednesday","Thursday","Friday","Saturday","Sunday")</f>
        <v>Saturday</v>
      </c>
      <c r="K932">
        <v>1</v>
      </c>
      <c r="L932" t="str">
        <f>CHOOSE(K932+1,"error","Clear","Misty","Rainy","Severe heater")</f>
        <v>Clear</v>
      </c>
      <c r="M932" s="1">
        <v>0.28000000000000003</v>
      </c>
      <c r="N932" t="str">
        <f>IF(M932&lt;=0.2,"Low",IF(M932&lt;=0.4,"Mid","High"))</f>
        <v>Mid</v>
      </c>
      <c r="O932" s="1">
        <v>0.31819999999999998</v>
      </c>
      <c r="P932" t="str">
        <f>IF(O932&lt;=0.15,"Very Cold",IF(O932&lt;=0.3,"Cold",IF(O932&lt;=0.45,"Pleasant","Hot")))</f>
        <v>Pleasant</v>
      </c>
      <c r="Q932">
        <v>0.74</v>
      </c>
      <c r="R932" t="str">
        <f>IF(Q932&lt;=0.25,"Low ",IF(Q932&lt;=0.5,"Moderate ",IF(Q932&lt;=0.75,"High ","Very High ")))</f>
        <v xml:space="preserve">High </v>
      </c>
      <c r="S932">
        <v>0.22389999999999999</v>
      </c>
      <c r="T932" t="str">
        <f>IF(S932&lt;=0.15,"Calm",IF(S932&lt;=0.3,"Light Wind",IF(S932&lt;=0.45,"Moderate Wind","Strong Wind")))</f>
        <v>Light Wind</v>
      </c>
      <c r="U932">
        <v>8</v>
      </c>
      <c r="V932">
        <v>132</v>
      </c>
      <c r="W932">
        <v>140</v>
      </c>
      <c r="X932" t="str">
        <f>IF(W932&lt;=75,"Low Demand",IF(W932&lt;=150,"Medium Demand",IF(W932&lt;=225,"High Demand","Very High Demand")))</f>
        <v>Medium Demand</v>
      </c>
    </row>
    <row r="933" spans="1:24" x14ac:dyDescent="0.25">
      <c r="A933">
        <v>932</v>
      </c>
      <c r="B933" s="2">
        <v>40585</v>
      </c>
      <c r="C933">
        <v>1</v>
      </c>
      <c r="D933">
        <v>0</v>
      </c>
      <c r="E933">
        <v>2</v>
      </c>
      <c r="F933">
        <v>10</v>
      </c>
      <c r="G933" t="str">
        <f>IF(F933&lt;6,"Night",IF(F933&lt;12,"Morning",IF(F933&lt;18,"Afternoon","Evening")))</f>
        <v>Morning</v>
      </c>
      <c r="H933">
        <v>0</v>
      </c>
      <c r="I933">
        <v>5</v>
      </c>
      <c r="J933" t="str">
        <f>CHOOSE(I933+1,"Monday","Tuesday","Wednesday","Thursday","Friday","Saturday","Sunday")</f>
        <v>Saturday</v>
      </c>
      <c r="K933">
        <v>1</v>
      </c>
      <c r="L933" t="str">
        <f>CHOOSE(K933+1,"error","Clear","Misty","Rainy","Severe heater")</f>
        <v>Clear</v>
      </c>
      <c r="M933" s="1">
        <v>0.26</v>
      </c>
      <c r="N933" t="str">
        <f>IF(M933&lt;=0.2,"Low",IF(M933&lt;=0.4,"Mid","High"))</f>
        <v>Mid</v>
      </c>
      <c r="O933" s="1">
        <v>0.30299999999999999</v>
      </c>
      <c r="P933" t="str">
        <f>IF(O933&lt;=0.15,"Very Cold",IF(O933&lt;=0.3,"Cold",IF(O933&lt;=0.45,"Pleasant","Hot")))</f>
        <v>Pleasant</v>
      </c>
      <c r="Q933">
        <v>0.69</v>
      </c>
      <c r="R933" t="str">
        <f>IF(Q933&lt;=0.25,"Low ",IF(Q933&lt;=0.5,"Moderate ",IF(Q933&lt;=0.75,"High ","Very High ")))</f>
        <v xml:space="preserve">High </v>
      </c>
      <c r="S933">
        <v>0.19400000000000001</v>
      </c>
      <c r="T933" t="str">
        <f>IF(S933&lt;=0.15,"Calm",IF(S933&lt;=0.3,"Light Wind",IF(S933&lt;=0.45,"Moderate Wind","Strong Wind")))</f>
        <v>Light Wind</v>
      </c>
      <c r="U933">
        <v>5</v>
      </c>
      <c r="V933">
        <v>39</v>
      </c>
      <c r="W933">
        <v>44</v>
      </c>
      <c r="X933" t="str">
        <f>IF(W933&lt;=75,"Low Demand",IF(W933&lt;=150,"Medium Demand",IF(W933&lt;=225,"High Demand","Very High Demand")))</f>
        <v>Low Demand</v>
      </c>
    </row>
    <row r="934" spans="1:24" x14ac:dyDescent="0.25">
      <c r="A934">
        <v>933</v>
      </c>
      <c r="B934" s="2">
        <v>40585</v>
      </c>
      <c r="C934">
        <v>1</v>
      </c>
      <c r="D934">
        <v>0</v>
      </c>
      <c r="E934">
        <v>2</v>
      </c>
      <c r="F934">
        <v>11</v>
      </c>
      <c r="G934" t="str">
        <f>IF(F934&lt;6,"Night",IF(F934&lt;12,"Morning",IF(F934&lt;18,"Afternoon","Evening")))</f>
        <v>Morning</v>
      </c>
      <c r="H934">
        <v>0</v>
      </c>
      <c r="I934">
        <v>5</v>
      </c>
      <c r="J934" t="str">
        <f>CHOOSE(I934+1,"Monday","Tuesday","Wednesday","Thursday","Friday","Saturday","Sunday")</f>
        <v>Saturday</v>
      </c>
      <c r="K934">
        <v>1</v>
      </c>
      <c r="L934" t="str">
        <f>CHOOSE(K934+1,"error","Clear","Misty","Rainy","Severe heater")</f>
        <v>Clear</v>
      </c>
      <c r="M934" s="1">
        <v>0.22</v>
      </c>
      <c r="N934" t="str">
        <f>IF(M934&lt;=0.2,"Low",IF(M934&lt;=0.4,"Mid","High"))</f>
        <v>Mid</v>
      </c>
      <c r="O934" s="1">
        <v>0.2273</v>
      </c>
      <c r="P934" t="str">
        <f>IF(O934&lt;=0.15,"Very Cold",IF(O934&lt;=0.3,"Cold",IF(O934&lt;=0.45,"Pleasant","Hot")))</f>
        <v>Cold</v>
      </c>
      <c r="Q934">
        <v>0.47</v>
      </c>
      <c r="R934" t="str">
        <f>IF(Q934&lt;=0.25,"Low ",IF(Q934&lt;=0.5,"Moderate ",IF(Q934&lt;=0.75,"High ","Very High ")))</f>
        <v xml:space="preserve">Moderate </v>
      </c>
      <c r="S934">
        <v>0.1343</v>
      </c>
      <c r="T934" t="str">
        <f>IF(S934&lt;=0.15,"Calm",IF(S934&lt;=0.3,"Light Wind",IF(S934&lt;=0.45,"Moderate Wind","Strong Wind")))</f>
        <v>Calm</v>
      </c>
      <c r="U934">
        <v>12</v>
      </c>
      <c r="V934">
        <v>52</v>
      </c>
      <c r="W934">
        <v>64</v>
      </c>
      <c r="X934" t="str">
        <f>IF(W934&lt;=75,"Low Demand",IF(W934&lt;=150,"Medium Demand",IF(W934&lt;=225,"High Demand","Very High Demand")))</f>
        <v>Low Demand</v>
      </c>
    </row>
    <row r="935" spans="1:24" x14ac:dyDescent="0.25">
      <c r="A935">
        <v>934</v>
      </c>
      <c r="B935" s="2">
        <v>40585</v>
      </c>
      <c r="C935">
        <v>1</v>
      </c>
      <c r="D935">
        <v>0</v>
      </c>
      <c r="E935">
        <v>2</v>
      </c>
      <c r="F935">
        <v>12</v>
      </c>
      <c r="G935" t="str">
        <f>IF(F935&lt;6,"Night",IF(F935&lt;12,"Morning",IF(F935&lt;18,"Afternoon","Evening")))</f>
        <v>Afternoon</v>
      </c>
      <c r="H935">
        <v>0</v>
      </c>
      <c r="I935">
        <v>5</v>
      </c>
      <c r="J935" t="str">
        <f>CHOOSE(I935+1,"Monday","Tuesday","Wednesday","Thursday","Friday","Saturday","Sunday")</f>
        <v>Saturday</v>
      </c>
      <c r="K935">
        <v>1</v>
      </c>
      <c r="L935" t="str">
        <f>CHOOSE(K935+1,"error","Clear","Misty","Rainy","Severe heater")</f>
        <v>Clear</v>
      </c>
      <c r="M935" s="1">
        <v>0.2</v>
      </c>
      <c r="N935" t="str">
        <f>IF(M935&lt;=0.2,"Low",IF(M935&lt;=0.4,"Mid","High"))</f>
        <v>Low</v>
      </c>
      <c r="O935" s="1">
        <v>0.21210000000000001</v>
      </c>
      <c r="P935" t="str">
        <f>IF(O935&lt;=0.15,"Very Cold",IF(O935&lt;=0.3,"Cold",IF(O935&lt;=0.45,"Pleasant","Hot")))</f>
        <v>Cold</v>
      </c>
      <c r="Q935">
        <v>0.47</v>
      </c>
      <c r="R935" t="str">
        <f>IF(Q935&lt;=0.25,"Low ",IF(Q935&lt;=0.5,"Moderate ",IF(Q935&lt;=0.75,"High ","Very High ")))</f>
        <v xml:space="preserve">Moderate </v>
      </c>
      <c r="S935">
        <v>0.1343</v>
      </c>
      <c r="T935" t="str">
        <f>IF(S935&lt;=0.15,"Calm",IF(S935&lt;=0.3,"Light Wind",IF(S935&lt;=0.45,"Moderate Wind","Strong Wind")))</f>
        <v>Calm</v>
      </c>
      <c r="U935">
        <v>7</v>
      </c>
      <c r="V935">
        <v>64</v>
      </c>
      <c r="W935">
        <v>71</v>
      </c>
      <c r="X935" t="str">
        <f>IF(W935&lt;=75,"Low Demand",IF(W935&lt;=150,"Medium Demand",IF(W935&lt;=225,"High Demand","Very High Demand")))</f>
        <v>Low Demand</v>
      </c>
    </row>
    <row r="936" spans="1:24" x14ac:dyDescent="0.25">
      <c r="A936">
        <v>935</v>
      </c>
      <c r="B936" s="2">
        <v>40585</v>
      </c>
      <c r="C936">
        <v>1</v>
      </c>
      <c r="D936">
        <v>0</v>
      </c>
      <c r="E936">
        <v>2</v>
      </c>
      <c r="F936">
        <v>13</v>
      </c>
      <c r="G936" t="str">
        <f>IF(F936&lt;6,"Night",IF(F936&lt;12,"Morning",IF(F936&lt;18,"Afternoon","Evening")))</f>
        <v>Afternoon</v>
      </c>
      <c r="H936">
        <v>0</v>
      </c>
      <c r="I936">
        <v>5</v>
      </c>
      <c r="J936" t="str">
        <f>CHOOSE(I936+1,"Monday","Tuesday","Wednesday","Thursday","Friday","Saturday","Sunday")</f>
        <v>Saturday</v>
      </c>
      <c r="K936">
        <v>1</v>
      </c>
      <c r="L936" t="str">
        <f>CHOOSE(K936+1,"error","Clear","Misty","Rainy","Severe heater")</f>
        <v>Clear</v>
      </c>
      <c r="M936" s="1">
        <v>0.2</v>
      </c>
      <c r="N936" t="str">
        <f>IF(M936&lt;=0.2,"Low",IF(M936&lt;=0.4,"Mid","High"))</f>
        <v>Low</v>
      </c>
      <c r="O936" s="1">
        <v>0.2273</v>
      </c>
      <c r="P936" t="str">
        <f>IF(O936&lt;=0.15,"Very Cold",IF(O936&lt;=0.3,"Cold",IF(O936&lt;=0.45,"Pleasant","Hot")))</f>
        <v>Cold</v>
      </c>
      <c r="Q936">
        <v>0.35</v>
      </c>
      <c r="R936" t="str">
        <f>IF(Q936&lt;=0.25,"Low ",IF(Q936&lt;=0.5,"Moderate ",IF(Q936&lt;=0.75,"High ","Very High ")))</f>
        <v xml:space="preserve">Moderate </v>
      </c>
      <c r="S936">
        <v>0.19400000000000001</v>
      </c>
      <c r="T936" t="str">
        <f>IF(S936&lt;=0.15,"Calm",IF(S936&lt;=0.3,"Light Wind",IF(S936&lt;=0.45,"Moderate Wind","Strong Wind")))</f>
        <v>Light Wind</v>
      </c>
      <c r="U936">
        <v>21</v>
      </c>
      <c r="V936">
        <v>89</v>
      </c>
      <c r="W936">
        <v>110</v>
      </c>
      <c r="X936" t="str">
        <f>IF(W936&lt;=75,"Low Demand",IF(W936&lt;=150,"Medium Demand",IF(W936&lt;=225,"High Demand","Very High Demand")))</f>
        <v>Medium Demand</v>
      </c>
    </row>
    <row r="937" spans="1:24" x14ac:dyDescent="0.25">
      <c r="A937">
        <v>936</v>
      </c>
      <c r="B937" s="2">
        <v>40585</v>
      </c>
      <c r="C937">
        <v>1</v>
      </c>
      <c r="D937">
        <v>0</v>
      </c>
      <c r="E937">
        <v>2</v>
      </c>
      <c r="F937">
        <v>14</v>
      </c>
      <c r="G937" t="str">
        <f>IF(F937&lt;6,"Night",IF(F937&lt;12,"Morning",IF(F937&lt;18,"Afternoon","Evening")))</f>
        <v>Afternoon</v>
      </c>
      <c r="H937">
        <v>0</v>
      </c>
      <c r="I937">
        <v>5</v>
      </c>
      <c r="J937" t="str">
        <f>CHOOSE(I937+1,"Monday","Tuesday","Wednesday","Thursday","Friday","Saturday","Sunday")</f>
        <v>Saturday</v>
      </c>
      <c r="K937">
        <v>1</v>
      </c>
      <c r="L937" t="str">
        <f>CHOOSE(K937+1,"error","Clear","Misty","Rainy","Severe heater")</f>
        <v>Clear</v>
      </c>
      <c r="M937" s="1">
        <v>0.18</v>
      </c>
      <c r="N937" t="str">
        <f>IF(M937&lt;=0.2,"Low",IF(M937&lt;=0.4,"Mid","High"))</f>
        <v>Low</v>
      </c>
      <c r="O937" s="1">
        <v>0.2424</v>
      </c>
      <c r="P937" t="str">
        <f>IF(O937&lt;=0.15,"Very Cold",IF(O937&lt;=0.3,"Cold",IF(O937&lt;=0.45,"Pleasant","Hot")))</f>
        <v>Cold</v>
      </c>
      <c r="Q937">
        <v>0.26</v>
      </c>
      <c r="R937" t="str">
        <f>IF(Q937&lt;=0.25,"Low ",IF(Q937&lt;=0.5,"Moderate ",IF(Q937&lt;=0.75,"High ","Very High ")))</f>
        <v xml:space="preserve">Moderate </v>
      </c>
      <c r="S937">
        <v>0.25369999999999998</v>
      </c>
      <c r="T937" t="str">
        <f>IF(S937&lt;=0.15,"Calm",IF(S937&lt;=0.3,"Light Wind",IF(S937&lt;=0.45,"Moderate Wind","Strong Wind")))</f>
        <v>Light Wind</v>
      </c>
      <c r="U937">
        <v>17</v>
      </c>
      <c r="V937">
        <v>67</v>
      </c>
      <c r="W937">
        <v>84</v>
      </c>
      <c r="X937" t="str">
        <f>IF(W937&lt;=75,"Low Demand",IF(W937&lt;=150,"Medium Demand",IF(W937&lt;=225,"High Demand","Very High Demand")))</f>
        <v>Medium Demand</v>
      </c>
    </row>
    <row r="938" spans="1:24" x14ac:dyDescent="0.25">
      <c r="A938">
        <v>937</v>
      </c>
      <c r="B938" s="2">
        <v>40585</v>
      </c>
      <c r="C938">
        <v>1</v>
      </c>
      <c r="D938">
        <v>0</v>
      </c>
      <c r="E938">
        <v>2</v>
      </c>
      <c r="F938">
        <v>15</v>
      </c>
      <c r="G938" t="str">
        <f>IF(F938&lt;6,"Night",IF(F938&lt;12,"Morning",IF(F938&lt;18,"Afternoon","Evening")))</f>
        <v>Afternoon</v>
      </c>
      <c r="H938">
        <v>0</v>
      </c>
      <c r="I938">
        <v>5</v>
      </c>
      <c r="J938" t="str">
        <f>CHOOSE(I938+1,"Monday","Tuesday","Wednesday","Thursday","Friday","Saturday","Sunday")</f>
        <v>Saturday</v>
      </c>
      <c r="K938">
        <v>1</v>
      </c>
      <c r="L938" t="str">
        <f>CHOOSE(K938+1,"error","Clear","Misty","Rainy","Severe heater")</f>
        <v>Clear</v>
      </c>
      <c r="M938" s="1">
        <v>0.16</v>
      </c>
      <c r="N938" t="str">
        <f>IF(M938&lt;=0.2,"Low",IF(M938&lt;=0.4,"Mid","High"))</f>
        <v>Low</v>
      </c>
      <c r="O938" s="1">
        <v>0.19700000000000001</v>
      </c>
      <c r="P938" t="str">
        <f>IF(O938&lt;=0.15,"Very Cold",IF(O938&lt;=0.3,"Cold",IF(O938&lt;=0.45,"Pleasant","Hot")))</f>
        <v>Cold</v>
      </c>
      <c r="Q938">
        <v>0.21</v>
      </c>
      <c r="R938" t="str">
        <f>IF(Q938&lt;=0.25,"Low ",IF(Q938&lt;=0.5,"Moderate ",IF(Q938&lt;=0.75,"High ","Very High ")))</f>
        <v xml:space="preserve">Low </v>
      </c>
      <c r="S938">
        <v>0.16420000000000001</v>
      </c>
      <c r="T938" t="str">
        <f>IF(S938&lt;=0.15,"Calm",IF(S938&lt;=0.3,"Light Wind",IF(S938&lt;=0.45,"Moderate Wind","Strong Wind")))</f>
        <v>Light Wind</v>
      </c>
      <c r="U938">
        <v>12</v>
      </c>
      <c r="V938">
        <v>62</v>
      </c>
      <c r="W938">
        <v>74</v>
      </c>
      <c r="X938" t="str">
        <f>IF(W938&lt;=75,"Low Demand",IF(W938&lt;=150,"Medium Demand",IF(W938&lt;=225,"High Demand","Very High Demand")))</f>
        <v>Low Demand</v>
      </c>
    </row>
    <row r="939" spans="1:24" x14ac:dyDescent="0.25">
      <c r="A939">
        <v>938</v>
      </c>
      <c r="B939" s="2">
        <v>40585</v>
      </c>
      <c r="C939">
        <v>1</v>
      </c>
      <c r="D939">
        <v>0</v>
      </c>
      <c r="E939">
        <v>2</v>
      </c>
      <c r="F939">
        <v>16</v>
      </c>
      <c r="G939" t="str">
        <f>IF(F939&lt;6,"Night",IF(F939&lt;12,"Morning",IF(F939&lt;18,"Afternoon","Evening")))</f>
        <v>Afternoon</v>
      </c>
      <c r="H939">
        <v>0</v>
      </c>
      <c r="I939">
        <v>5</v>
      </c>
      <c r="J939" t="str">
        <f>CHOOSE(I939+1,"Monday","Tuesday","Wednesday","Thursday","Friday","Saturday","Sunday")</f>
        <v>Saturday</v>
      </c>
      <c r="K939">
        <v>1</v>
      </c>
      <c r="L939" t="str">
        <f>CHOOSE(K939+1,"error","Clear","Misty","Rainy","Severe heater")</f>
        <v>Clear</v>
      </c>
      <c r="M939" s="1">
        <v>0.14000000000000001</v>
      </c>
      <c r="N939" t="str">
        <f>IF(M939&lt;=0.2,"Low",IF(M939&lt;=0.4,"Mid","High"))</f>
        <v>Low</v>
      </c>
      <c r="O939" s="1">
        <v>0.21210000000000001</v>
      </c>
      <c r="P939" t="str">
        <f>IF(O939&lt;=0.15,"Very Cold",IF(O939&lt;=0.3,"Cold",IF(O939&lt;=0.45,"Pleasant","Hot")))</f>
        <v>Cold</v>
      </c>
      <c r="Q939">
        <v>0.28000000000000003</v>
      </c>
      <c r="R939" t="str">
        <f>IF(Q939&lt;=0.25,"Low ",IF(Q939&lt;=0.5,"Moderate ",IF(Q939&lt;=0.75,"High ","Very High ")))</f>
        <v xml:space="preserve">Moderate </v>
      </c>
      <c r="S939">
        <v>0.19400000000000001</v>
      </c>
      <c r="T939" t="str">
        <f>IF(S939&lt;=0.15,"Calm",IF(S939&lt;=0.3,"Light Wind",IF(S939&lt;=0.45,"Moderate Wind","Strong Wind")))</f>
        <v>Light Wind</v>
      </c>
      <c r="U939">
        <v>14</v>
      </c>
      <c r="V939">
        <v>111</v>
      </c>
      <c r="W939">
        <v>125</v>
      </c>
      <c r="X939" t="str">
        <f>IF(W939&lt;=75,"Low Demand",IF(W939&lt;=150,"Medium Demand",IF(W939&lt;=225,"High Demand","Very High Demand")))</f>
        <v>Medium Demand</v>
      </c>
    </row>
    <row r="940" spans="1:24" x14ac:dyDescent="0.25">
      <c r="A940">
        <v>939</v>
      </c>
      <c r="B940" s="2">
        <v>40585</v>
      </c>
      <c r="C940">
        <v>1</v>
      </c>
      <c r="D940">
        <v>0</v>
      </c>
      <c r="E940">
        <v>2</v>
      </c>
      <c r="F940">
        <v>17</v>
      </c>
      <c r="G940" t="str">
        <f>IF(F940&lt;6,"Night",IF(F940&lt;12,"Morning",IF(F940&lt;18,"Afternoon","Evening")))</f>
        <v>Afternoon</v>
      </c>
      <c r="H940">
        <v>0</v>
      </c>
      <c r="I940">
        <v>5</v>
      </c>
      <c r="J940" t="str">
        <f>CHOOSE(I940+1,"Monday","Tuesday","Wednesday","Thursday","Friday","Saturday","Sunday")</f>
        <v>Saturday</v>
      </c>
      <c r="K940">
        <v>1</v>
      </c>
      <c r="L940" t="str">
        <f>CHOOSE(K940+1,"error","Clear","Misty","Rainy","Severe heater")</f>
        <v>Clear</v>
      </c>
      <c r="M940" s="1">
        <v>0.14000000000000001</v>
      </c>
      <c r="N940" t="str">
        <f>IF(M940&lt;=0.2,"Low",IF(M940&lt;=0.4,"Mid","High"))</f>
        <v>Low</v>
      </c>
      <c r="O940" s="1">
        <v>0.21210000000000001</v>
      </c>
      <c r="P940" t="str">
        <f>IF(O940&lt;=0.15,"Very Cold",IF(O940&lt;=0.3,"Cold",IF(O940&lt;=0.45,"Pleasant","Hot")))</f>
        <v>Cold</v>
      </c>
      <c r="Q940">
        <v>0.24</v>
      </c>
      <c r="R940" t="str">
        <f>IF(Q940&lt;=0.25,"Low ",IF(Q940&lt;=0.5,"Moderate ",IF(Q940&lt;=0.75,"High ","Very High ")))</f>
        <v xml:space="preserve">Low </v>
      </c>
      <c r="S940">
        <v>0</v>
      </c>
      <c r="T940" t="str">
        <f>IF(S940&lt;=0.15,"Calm",IF(S940&lt;=0.3,"Light Wind",IF(S940&lt;=0.45,"Moderate Wind","Strong Wind")))</f>
        <v>Calm</v>
      </c>
      <c r="U940">
        <v>18</v>
      </c>
      <c r="V940">
        <v>193</v>
      </c>
      <c r="W940">
        <v>211</v>
      </c>
      <c r="X940" t="str">
        <f>IF(W940&lt;=75,"Low Demand",IF(W940&lt;=150,"Medium Demand",IF(W940&lt;=225,"High Demand","Very High Demand")))</f>
        <v>High Demand</v>
      </c>
    </row>
    <row r="941" spans="1:24" x14ac:dyDescent="0.25">
      <c r="A941">
        <v>940</v>
      </c>
      <c r="B941" s="2">
        <v>40585</v>
      </c>
      <c r="C941">
        <v>1</v>
      </c>
      <c r="D941">
        <v>0</v>
      </c>
      <c r="E941">
        <v>2</v>
      </c>
      <c r="F941">
        <v>18</v>
      </c>
      <c r="G941" t="str">
        <f>IF(F941&lt;6,"Night",IF(F941&lt;12,"Morning",IF(F941&lt;18,"Afternoon","Evening")))</f>
        <v>Evening</v>
      </c>
      <c r="H941">
        <v>0</v>
      </c>
      <c r="I941">
        <v>5</v>
      </c>
      <c r="J941" t="str">
        <f>CHOOSE(I941+1,"Monday","Tuesday","Wednesday","Thursday","Friday","Saturday","Sunday")</f>
        <v>Saturday</v>
      </c>
      <c r="K941">
        <v>1</v>
      </c>
      <c r="L941" t="str">
        <f>CHOOSE(K941+1,"error","Clear","Misty","Rainy","Severe heater")</f>
        <v>Clear</v>
      </c>
      <c r="M941" s="1">
        <v>0.12</v>
      </c>
      <c r="N941" t="str">
        <f>IF(M941&lt;=0.2,"Low",IF(M941&lt;=0.4,"Mid","High"))</f>
        <v>Low</v>
      </c>
      <c r="O941" s="1">
        <v>0.19700000000000001</v>
      </c>
      <c r="P941" t="str">
        <f>IF(O941&lt;=0.15,"Very Cold",IF(O941&lt;=0.3,"Cold",IF(O941&lt;=0.45,"Pleasant","Hot")))</f>
        <v>Cold</v>
      </c>
      <c r="Q941">
        <v>0.28000000000000003</v>
      </c>
      <c r="R941" t="str">
        <f>IF(Q941&lt;=0.25,"Low ",IF(Q941&lt;=0.5,"Moderate ",IF(Q941&lt;=0.75,"High ","Very High ")))</f>
        <v xml:space="preserve">Moderate </v>
      </c>
      <c r="S941">
        <v>0</v>
      </c>
      <c r="T941" t="str">
        <f>IF(S941&lt;=0.15,"Calm",IF(S941&lt;=0.3,"Light Wind",IF(S941&lt;=0.45,"Moderate Wind","Strong Wind")))</f>
        <v>Calm</v>
      </c>
      <c r="U941">
        <v>9</v>
      </c>
      <c r="V941">
        <v>165</v>
      </c>
      <c r="W941">
        <v>174</v>
      </c>
      <c r="X941" t="str">
        <f>IF(W941&lt;=75,"Low Demand",IF(W941&lt;=150,"Medium Demand",IF(W941&lt;=225,"High Demand","Very High Demand")))</f>
        <v>High Demand</v>
      </c>
    </row>
    <row r="942" spans="1:24" x14ac:dyDescent="0.25">
      <c r="A942">
        <v>941</v>
      </c>
      <c r="B942" s="2">
        <v>40585</v>
      </c>
      <c r="C942">
        <v>1</v>
      </c>
      <c r="D942">
        <v>0</v>
      </c>
      <c r="E942">
        <v>2</v>
      </c>
      <c r="F942">
        <v>19</v>
      </c>
      <c r="G942" t="str">
        <f>IF(F942&lt;6,"Night",IF(F942&lt;12,"Morning",IF(F942&lt;18,"Afternoon","Evening")))</f>
        <v>Evening</v>
      </c>
      <c r="H942">
        <v>0</v>
      </c>
      <c r="I942">
        <v>5</v>
      </c>
      <c r="J942" t="str">
        <f>CHOOSE(I942+1,"Monday","Tuesday","Wednesday","Thursday","Friday","Saturday","Sunday")</f>
        <v>Saturday</v>
      </c>
      <c r="K942">
        <v>1</v>
      </c>
      <c r="L942" t="str">
        <f>CHOOSE(K942+1,"error","Clear","Misty","Rainy","Severe heater")</f>
        <v>Clear</v>
      </c>
      <c r="M942" s="1">
        <v>0.12</v>
      </c>
      <c r="N942" t="str">
        <f>IF(M942&lt;=0.2,"Low",IF(M942&lt;=0.4,"Mid","High"))</f>
        <v>Low</v>
      </c>
      <c r="O942" s="1">
        <v>0.16669999999999999</v>
      </c>
      <c r="P942" t="str">
        <f>IF(O942&lt;=0.15,"Very Cold",IF(O942&lt;=0.3,"Cold",IF(O942&lt;=0.45,"Pleasant","Hot")))</f>
        <v>Cold</v>
      </c>
      <c r="Q942">
        <v>0.33</v>
      </c>
      <c r="R942" t="str">
        <f>IF(Q942&lt;=0.25,"Low ",IF(Q942&lt;=0.5,"Moderate ",IF(Q942&lt;=0.75,"High ","Very High ")))</f>
        <v xml:space="preserve">Moderate </v>
      </c>
      <c r="S942">
        <v>0</v>
      </c>
      <c r="T942" t="str">
        <f>IF(S942&lt;=0.15,"Calm",IF(S942&lt;=0.3,"Light Wind",IF(S942&lt;=0.45,"Moderate Wind","Strong Wind")))</f>
        <v>Calm</v>
      </c>
      <c r="U942">
        <v>7</v>
      </c>
      <c r="V942">
        <v>94</v>
      </c>
      <c r="W942">
        <v>101</v>
      </c>
      <c r="X942" t="str">
        <f>IF(W942&lt;=75,"Low Demand",IF(W942&lt;=150,"Medium Demand",IF(W942&lt;=225,"High Demand","Very High Demand")))</f>
        <v>Medium Demand</v>
      </c>
    </row>
    <row r="943" spans="1:24" x14ac:dyDescent="0.25">
      <c r="A943">
        <v>942</v>
      </c>
      <c r="B943" s="2">
        <v>40585</v>
      </c>
      <c r="C943">
        <v>1</v>
      </c>
      <c r="D943">
        <v>0</v>
      </c>
      <c r="E943">
        <v>2</v>
      </c>
      <c r="F943">
        <v>20</v>
      </c>
      <c r="G943" t="str">
        <f>IF(F943&lt;6,"Night",IF(F943&lt;12,"Morning",IF(F943&lt;18,"Afternoon","Evening")))</f>
        <v>Evening</v>
      </c>
      <c r="H943">
        <v>0</v>
      </c>
      <c r="I943">
        <v>5</v>
      </c>
      <c r="J943" t="str">
        <f>CHOOSE(I943+1,"Monday","Tuesday","Wednesday","Thursday","Friday","Saturday","Sunday")</f>
        <v>Saturday</v>
      </c>
      <c r="K943">
        <v>1</v>
      </c>
      <c r="L943" t="str">
        <f>CHOOSE(K943+1,"error","Clear","Misty","Rainy","Severe heater")</f>
        <v>Clear</v>
      </c>
      <c r="M943" s="1">
        <v>0.12</v>
      </c>
      <c r="N943" t="str">
        <f>IF(M943&lt;=0.2,"Low",IF(M943&lt;=0.4,"Mid","High"))</f>
        <v>Low</v>
      </c>
      <c r="O943" s="1">
        <v>0.16669999999999999</v>
      </c>
      <c r="P943" t="str">
        <f>IF(O943&lt;=0.15,"Very Cold",IF(O943&lt;=0.3,"Cold",IF(O943&lt;=0.45,"Pleasant","Hot")))</f>
        <v>Cold</v>
      </c>
      <c r="Q943">
        <v>0.55000000000000004</v>
      </c>
      <c r="R943" t="str">
        <f>IF(Q943&lt;=0.25,"Low ",IF(Q943&lt;=0.5,"Moderate ",IF(Q943&lt;=0.75,"High ","Very High ")))</f>
        <v xml:space="preserve">High </v>
      </c>
      <c r="S943">
        <v>0.1343</v>
      </c>
      <c r="T943" t="str">
        <f>IF(S943&lt;=0.15,"Calm",IF(S943&lt;=0.3,"Light Wind",IF(S943&lt;=0.45,"Moderate Wind","Strong Wind")))</f>
        <v>Calm</v>
      </c>
      <c r="U943">
        <v>2</v>
      </c>
      <c r="V943">
        <v>61</v>
      </c>
      <c r="W943">
        <v>63</v>
      </c>
      <c r="X943" t="str">
        <f>IF(W943&lt;=75,"Low Demand",IF(W943&lt;=150,"Medium Demand",IF(W943&lt;=225,"High Demand","Very High Demand")))</f>
        <v>Low Demand</v>
      </c>
    </row>
    <row r="944" spans="1:24" x14ac:dyDescent="0.25">
      <c r="A944">
        <v>943</v>
      </c>
      <c r="B944" s="2">
        <v>40585</v>
      </c>
      <c r="C944">
        <v>1</v>
      </c>
      <c r="D944">
        <v>0</v>
      </c>
      <c r="E944">
        <v>2</v>
      </c>
      <c r="F944">
        <v>21</v>
      </c>
      <c r="G944" t="str">
        <f>IF(F944&lt;6,"Night",IF(F944&lt;12,"Morning",IF(F944&lt;18,"Afternoon","Evening")))</f>
        <v>Evening</v>
      </c>
      <c r="H944">
        <v>0</v>
      </c>
      <c r="I944">
        <v>5</v>
      </c>
      <c r="J944" t="str">
        <f>CHOOSE(I944+1,"Monday","Tuesday","Wednesday","Thursday","Friday","Saturday","Sunday")</f>
        <v>Saturday</v>
      </c>
      <c r="K944">
        <v>1</v>
      </c>
      <c r="L944" t="str">
        <f>CHOOSE(K944+1,"error","Clear","Misty","Rainy","Severe heater")</f>
        <v>Clear</v>
      </c>
      <c r="M944" s="1">
        <v>0.12</v>
      </c>
      <c r="N944" t="str">
        <f>IF(M944&lt;=0.2,"Low",IF(M944&lt;=0.4,"Mid","High"))</f>
        <v>Low</v>
      </c>
      <c r="O944" s="1">
        <v>0.13639999999999999</v>
      </c>
      <c r="P944" t="str">
        <f>IF(O944&lt;=0.15,"Very Cold",IF(O944&lt;=0.3,"Cold",IF(O944&lt;=0.45,"Pleasant","Hot")))</f>
        <v>Very Cold</v>
      </c>
      <c r="Q944">
        <v>0.59</v>
      </c>
      <c r="R944" t="str">
        <f>IF(Q944&lt;=0.25,"Low ",IF(Q944&lt;=0.5,"Moderate ",IF(Q944&lt;=0.75,"High ","Very High ")))</f>
        <v xml:space="preserve">High </v>
      </c>
      <c r="S944">
        <v>0.1343</v>
      </c>
      <c r="T944" t="str">
        <f>IF(S944&lt;=0.15,"Calm",IF(S944&lt;=0.3,"Light Wind",IF(S944&lt;=0.45,"Moderate Wind","Strong Wind")))</f>
        <v>Calm</v>
      </c>
      <c r="U944">
        <v>1</v>
      </c>
      <c r="V944">
        <v>46</v>
      </c>
      <c r="W944">
        <v>47</v>
      </c>
      <c r="X944" t="str">
        <f>IF(W944&lt;=75,"Low Demand",IF(W944&lt;=150,"Medium Demand",IF(W944&lt;=225,"High Demand","Very High Demand")))</f>
        <v>Low Demand</v>
      </c>
    </row>
    <row r="945" spans="1:24" x14ac:dyDescent="0.25">
      <c r="A945">
        <v>944</v>
      </c>
      <c r="B945" s="2">
        <v>40585</v>
      </c>
      <c r="C945">
        <v>1</v>
      </c>
      <c r="D945">
        <v>0</v>
      </c>
      <c r="E945">
        <v>2</v>
      </c>
      <c r="F945">
        <v>22</v>
      </c>
      <c r="G945" t="str">
        <f>IF(F945&lt;6,"Night",IF(F945&lt;12,"Morning",IF(F945&lt;18,"Afternoon","Evening")))</f>
        <v>Evening</v>
      </c>
      <c r="H945">
        <v>0</v>
      </c>
      <c r="I945">
        <v>5</v>
      </c>
      <c r="J945" t="str">
        <f>CHOOSE(I945+1,"Monday","Tuesday","Wednesday","Thursday","Friday","Saturday","Sunday")</f>
        <v>Saturday</v>
      </c>
      <c r="K945">
        <v>1</v>
      </c>
      <c r="L945" t="str">
        <f>CHOOSE(K945+1,"error","Clear","Misty","Rainy","Severe heater")</f>
        <v>Clear</v>
      </c>
      <c r="M945" s="1">
        <v>0.12</v>
      </c>
      <c r="N945" t="str">
        <f>IF(M945&lt;=0.2,"Low",IF(M945&lt;=0.4,"Mid","High"))</f>
        <v>Low</v>
      </c>
      <c r="O945" s="1">
        <v>0.1515</v>
      </c>
      <c r="P945" t="str">
        <f>IF(O945&lt;=0.15,"Very Cold",IF(O945&lt;=0.3,"Cold",IF(O945&lt;=0.45,"Pleasant","Hot")))</f>
        <v>Cold</v>
      </c>
      <c r="Q945">
        <v>0.64</v>
      </c>
      <c r="R945" t="str">
        <f>IF(Q945&lt;=0.25,"Low ",IF(Q945&lt;=0.5,"Moderate ",IF(Q945&lt;=0.75,"High ","Very High ")))</f>
        <v xml:space="preserve">High </v>
      </c>
      <c r="S945">
        <v>8.9599999999999999E-2</v>
      </c>
      <c r="T945" t="str">
        <f>IF(S945&lt;=0.15,"Calm",IF(S945&lt;=0.3,"Light Wind",IF(S945&lt;=0.45,"Moderate Wind","Strong Wind")))</f>
        <v>Calm</v>
      </c>
      <c r="U945">
        <v>2</v>
      </c>
      <c r="V945">
        <v>41</v>
      </c>
      <c r="W945">
        <v>43</v>
      </c>
      <c r="X945" t="str">
        <f>IF(W945&lt;=75,"Low Demand",IF(W945&lt;=150,"Medium Demand",IF(W945&lt;=225,"High Demand","Very High Demand")))</f>
        <v>Low Demand</v>
      </c>
    </row>
    <row r="946" spans="1:24" x14ac:dyDescent="0.25">
      <c r="A946">
        <v>945</v>
      </c>
      <c r="B946" s="2">
        <v>40585</v>
      </c>
      <c r="C946">
        <v>1</v>
      </c>
      <c r="D946">
        <v>0</v>
      </c>
      <c r="E946">
        <v>2</v>
      </c>
      <c r="F946">
        <v>23</v>
      </c>
      <c r="G946" t="str">
        <f>IF(F946&lt;6,"Night",IF(F946&lt;12,"Morning",IF(F946&lt;18,"Afternoon","Evening")))</f>
        <v>Evening</v>
      </c>
      <c r="H946">
        <v>0</v>
      </c>
      <c r="I946">
        <v>5</v>
      </c>
      <c r="J946" t="str">
        <f>CHOOSE(I946+1,"Monday","Tuesday","Wednesday","Thursday","Friday","Saturday","Sunday")</f>
        <v>Saturday</v>
      </c>
      <c r="K946">
        <v>1</v>
      </c>
      <c r="L946" t="str">
        <f>CHOOSE(K946+1,"error","Clear","Misty","Rainy","Severe heater")</f>
        <v>Clear</v>
      </c>
      <c r="M946" s="1">
        <v>0.14000000000000001</v>
      </c>
      <c r="N946" t="str">
        <f>IF(M946&lt;=0.2,"Low",IF(M946&lt;=0.4,"Mid","High"))</f>
        <v>Low</v>
      </c>
      <c r="O946" s="1">
        <v>0.1515</v>
      </c>
      <c r="P946" t="str">
        <f>IF(O946&lt;=0.15,"Very Cold",IF(O946&lt;=0.3,"Cold",IF(O946&lt;=0.45,"Pleasant","Hot")))</f>
        <v>Cold</v>
      </c>
      <c r="Q946">
        <v>0.69</v>
      </c>
      <c r="R946" t="str">
        <f>IF(Q946&lt;=0.25,"Low ",IF(Q946&lt;=0.5,"Moderate ",IF(Q946&lt;=0.75,"High ","Very High ")))</f>
        <v xml:space="preserve">High </v>
      </c>
      <c r="S946">
        <v>0</v>
      </c>
      <c r="T946" t="str">
        <f>IF(S946&lt;=0.15,"Calm",IF(S946&lt;=0.3,"Light Wind",IF(S946&lt;=0.45,"Moderate Wind","Strong Wind")))</f>
        <v>Calm</v>
      </c>
      <c r="U946">
        <v>5</v>
      </c>
      <c r="V946">
        <v>48</v>
      </c>
      <c r="W946">
        <v>53</v>
      </c>
      <c r="X946" t="str">
        <f>IF(W946&lt;=75,"Low Demand",IF(W946&lt;=150,"Medium Demand",IF(W946&lt;=225,"High Demand","Very High Demand")))</f>
        <v>Low Demand</v>
      </c>
    </row>
    <row r="947" spans="1:24" x14ac:dyDescent="0.25">
      <c r="A947">
        <v>946</v>
      </c>
      <c r="B947" s="2">
        <v>40586</v>
      </c>
      <c r="C947">
        <v>1</v>
      </c>
      <c r="D947">
        <v>0</v>
      </c>
      <c r="E947">
        <v>2</v>
      </c>
      <c r="F947">
        <v>0</v>
      </c>
      <c r="G947" t="str">
        <f>IF(F947&lt;6,"Night",IF(F947&lt;12,"Morning",IF(F947&lt;18,"Afternoon","Evening")))</f>
        <v>Night</v>
      </c>
      <c r="H947">
        <v>0</v>
      </c>
      <c r="I947">
        <v>6</v>
      </c>
      <c r="J947" t="str">
        <f>CHOOSE(I947+1,"Monday","Tuesday","Wednesday","Thursday","Friday","Saturday","Sunday")</f>
        <v>Sunday</v>
      </c>
      <c r="K947">
        <v>1</v>
      </c>
      <c r="L947" t="str">
        <f>CHOOSE(K947+1,"error","Clear","Misty","Rainy","Severe heater")</f>
        <v>Clear</v>
      </c>
      <c r="M947" s="1">
        <v>0.16</v>
      </c>
      <c r="N947" t="str">
        <f>IF(M947&lt;=0.2,"Low",IF(M947&lt;=0.4,"Mid","High"))</f>
        <v>Low</v>
      </c>
      <c r="O947" s="1">
        <v>0.18179999999999999</v>
      </c>
      <c r="P947" t="str">
        <f>IF(O947&lt;=0.15,"Very Cold",IF(O947&lt;=0.3,"Cold",IF(O947&lt;=0.45,"Pleasant","Hot")))</f>
        <v>Cold</v>
      </c>
      <c r="Q947">
        <v>0.69</v>
      </c>
      <c r="R947" t="str">
        <f>IF(Q947&lt;=0.25,"Low ",IF(Q947&lt;=0.5,"Moderate ",IF(Q947&lt;=0.75,"High ","Very High ")))</f>
        <v xml:space="preserve">High </v>
      </c>
      <c r="S947">
        <v>8.9599999999999999E-2</v>
      </c>
      <c r="T947" t="str">
        <f>IF(S947&lt;=0.15,"Calm",IF(S947&lt;=0.3,"Light Wind",IF(S947&lt;=0.45,"Moderate Wind","Strong Wind")))</f>
        <v>Calm</v>
      </c>
      <c r="U947">
        <v>3</v>
      </c>
      <c r="V947">
        <v>27</v>
      </c>
      <c r="W947">
        <v>30</v>
      </c>
      <c r="X947" t="str">
        <f>IF(W947&lt;=75,"Low Demand",IF(W947&lt;=150,"Medium Demand",IF(W947&lt;=225,"High Demand","Very High Demand")))</f>
        <v>Low Demand</v>
      </c>
    </row>
    <row r="948" spans="1:24" x14ac:dyDescent="0.25">
      <c r="A948">
        <v>947</v>
      </c>
      <c r="B948" s="2">
        <v>40586</v>
      </c>
      <c r="C948">
        <v>1</v>
      </c>
      <c r="D948">
        <v>0</v>
      </c>
      <c r="E948">
        <v>2</v>
      </c>
      <c r="F948">
        <v>1</v>
      </c>
      <c r="G948" t="str">
        <f>IF(F948&lt;6,"Night",IF(F948&lt;12,"Morning",IF(F948&lt;18,"Afternoon","Evening")))</f>
        <v>Night</v>
      </c>
      <c r="H948">
        <v>0</v>
      </c>
      <c r="I948">
        <v>6</v>
      </c>
      <c r="J948" t="str">
        <f>CHOOSE(I948+1,"Monday","Tuesday","Wednesday","Thursday","Friday","Saturday","Sunday")</f>
        <v>Sunday</v>
      </c>
      <c r="K948">
        <v>1</v>
      </c>
      <c r="L948" t="str">
        <f>CHOOSE(K948+1,"error","Clear","Misty","Rainy","Severe heater")</f>
        <v>Clear</v>
      </c>
      <c r="M948" s="1">
        <v>0.22</v>
      </c>
      <c r="N948" t="str">
        <f>IF(M948&lt;=0.2,"Low",IF(M948&lt;=0.4,"Mid","High"))</f>
        <v>Mid</v>
      </c>
      <c r="O948" s="1">
        <v>0.21210000000000001</v>
      </c>
      <c r="P948" t="str">
        <f>IF(O948&lt;=0.15,"Very Cold",IF(O948&lt;=0.3,"Cold",IF(O948&lt;=0.45,"Pleasant","Hot")))</f>
        <v>Cold</v>
      </c>
      <c r="Q948">
        <v>0.86</v>
      </c>
      <c r="R948" t="str">
        <f>IF(Q948&lt;=0.25,"Low ",IF(Q948&lt;=0.5,"Moderate ",IF(Q948&lt;=0.75,"High ","Very High ")))</f>
        <v xml:space="preserve">Very High </v>
      </c>
      <c r="S948">
        <v>0</v>
      </c>
      <c r="T948" t="str">
        <f>IF(S948&lt;=0.15,"Calm",IF(S948&lt;=0.3,"Light Wind",IF(S948&lt;=0.45,"Moderate Wind","Strong Wind")))</f>
        <v>Calm</v>
      </c>
      <c r="U948">
        <v>2</v>
      </c>
      <c r="V948">
        <v>22</v>
      </c>
      <c r="W948">
        <v>24</v>
      </c>
      <c r="X948" t="str">
        <f>IF(W948&lt;=75,"Low Demand",IF(W948&lt;=150,"Medium Demand",IF(W948&lt;=225,"High Demand","Very High Demand")))</f>
        <v>Low Demand</v>
      </c>
    </row>
    <row r="949" spans="1:24" x14ac:dyDescent="0.25">
      <c r="A949">
        <v>948</v>
      </c>
      <c r="B949" s="2">
        <v>40586</v>
      </c>
      <c r="C949">
        <v>1</v>
      </c>
      <c r="D949">
        <v>0</v>
      </c>
      <c r="E949">
        <v>2</v>
      </c>
      <c r="F949">
        <v>2</v>
      </c>
      <c r="G949" t="str">
        <f>IF(F949&lt;6,"Night",IF(F949&lt;12,"Morning",IF(F949&lt;18,"Afternoon","Evening")))</f>
        <v>Night</v>
      </c>
      <c r="H949">
        <v>0</v>
      </c>
      <c r="I949">
        <v>6</v>
      </c>
      <c r="J949" t="str">
        <f>CHOOSE(I949+1,"Monday","Tuesday","Wednesday","Thursday","Friday","Saturday","Sunday")</f>
        <v>Sunday</v>
      </c>
      <c r="K949">
        <v>1</v>
      </c>
      <c r="L949" t="str">
        <f>CHOOSE(K949+1,"error","Clear","Misty","Rainy","Severe heater")</f>
        <v>Clear</v>
      </c>
      <c r="M949" s="1">
        <v>0.3</v>
      </c>
      <c r="N949" t="str">
        <f>IF(M949&lt;=0.2,"Low",IF(M949&lt;=0.4,"Mid","High"))</f>
        <v>Mid</v>
      </c>
      <c r="O949" s="1">
        <v>0.2727</v>
      </c>
      <c r="P949" t="str">
        <f>IF(O949&lt;=0.15,"Very Cold",IF(O949&lt;=0.3,"Cold",IF(O949&lt;=0.45,"Pleasant","Hot")))</f>
        <v>Cold</v>
      </c>
      <c r="Q949">
        <v>0.8</v>
      </c>
      <c r="R949" t="str">
        <f>IF(Q949&lt;=0.25,"Low ",IF(Q949&lt;=0.5,"Moderate ",IF(Q949&lt;=0.75,"High ","Very High ")))</f>
        <v xml:space="preserve">Very High </v>
      </c>
      <c r="S949">
        <v>0</v>
      </c>
      <c r="T949" t="str">
        <f>IF(S949&lt;=0.15,"Calm",IF(S949&lt;=0.3,"Light Wind",IF(S949&lt;=0.45,"Moderate Wind","Strong Wind")))</f>
        <v>Calm</v>
      </c>
      <c r="U949">
        <v>2</v>
      </c>
      <c r="V949">
        <v>13</v>
      </c>
      <c r="W949">
        <v>15</v>
      </c>
      <c r="X949" t="str">
        <f>IF(W949&lt;=75,"Low Demand",IF(W949&lt;=150,"Medium Demand",IF(W949&lt;=225,"High Demand","Very High Demand")))</f>
        <v>Low Demand</v>
      </c>
    </row>
    <row r="950" spans="1:24" x14ac:dyDescent="0.25">
      <c r="A950">
        <v>949</v>
      </c>
      <c r="B950" s="2">
        <v>40586</v>
      </c>
      <c r="C950">
        <v>1</v>
      </c>
      <c r="D950">
        <v>0</v>
      </c>
      <c r="E950">
        <v>2</v>
      </c>
      <c r="F950">
        <v>3</v>
      </c>
      <c r="G950" t="str">
        <f>IF(F950&lt;6,"Night",IF(F950&lt;12,"Morning",IF(F950&lt;18,"Afternoon","Evening")))</f>
        <v>Night</v>
      </c>
      <c r="H950">
        <v>0</v>
      </c>
      <c r="I950">
        <v>6</v>
      </c>
      <c r="J950" t="str">
        <f>CHOOSE(I950+1,"Monday","Tuesday","Wednesday","Thursday","Friday","Saturday","Sunday")</f>
        <v>Sunday</v>
      </c>
      <c r="K950">
        <v>1</v>
      </c>
      <c r="L950" t="str">
        <f>CHOOSE(K950+1,"error","Clear","Misty","Rainy","Severe heater")</f>
        <v>Clear</v>
      </c>
      <c r="M950" s="1">
        <v>0.3</v>
      </c>
      <c r="N950" t="str">
        <f>IF(M950&lt;=0.2,"Low",IF(M950&lt;=0.4,"Mid","High"))</f>
        <v>Mid</v>
      </c>
      <c r="O950" s="1">
        <v>0.2727</v>
      </c>
      <c r="P950" t="str">
        <f>IF(O950&lt;=0.15,"Very Cold",IF(O950&lt;=0.3,"Cold",IF(O950&lt;=0.45,"Pleasant","Hot")))</f>
        <v>Cold</v>
      </c>
      <c r="Q950">
        <v>0.8</v>
      </c>
      <c r="R950" t="str">
        <f>IF(Q950&lt;=0.25,"Low ",IF(Q950&lt;=0.5,"Moderate ",IF(Q950&lt;=0.75,"High ","Very High ")))</f>
        <v xml:space="preserve">Very High </v>
      </c>
      <c r="S950">
        <v>0</v>
      </c>
      <c r="T950" t="str">
        <f>IF(S950&lt;=0.15,"Calm",IF(S950&lt;=0.3,"Light Wind",IF(S950&lt;=0.45,"Moderate Wind","Strong Wind")))</f>
        <v>Calm</v>
      </c>
      <c r="U950">
        <v>3</v>
      </c>
      <c r="V950">
        <v>7</v>
      </c>
      <c r="W950">
        <v>10</v>
      </c>
      <c r="X950" t="str">
        <f>IF(W950&lt;=75,"Low Demand",IF(W950&lt;=150,"Medium Demand",IF(W950&lt;=225,"High Demand","Very High Demand")))</f>
        <v>Low Demand</v>
      </c>
    </row>
    <row r="951" spans="1:24" x14ac:dyDescent="0.25">
      <c r="A951">
        <v>950</v>
      </c>
      <c r="B951" s="2">
        <v>40586</v>
      </c>
      <c r="C951">
        <v>1</v>
      </c>
      <c r="D951">
        <v>0</v>
      </c>
      <c r="E951">
        <v>2</v>
      </c>
      <c r="F951">
        <v>4</v>
      </c>
      <c r="G951" t="str">
        <f>IF(F951&lt;6,"Night",IF(F951&lt;12,"Morning",IF(F951&lt;18,"Afternoon","Evening")))</f>
        <v>Night</v>
      </c>
      <c r="H951">
        <v>0</v>
      </c>
      <c r="I951">
        <v>6</v>
      </c>
      <c r="J951" t="str">
        <f>CHOOSE(I951+1,"Monday","Tuesday","Wednesday","Thursday","Friday","Saturday","Sunday")</f>
        <v>Sunday</v>
      </c>
      <c r="K951">
        <v>1</v>
      </c>
      <c r="L951" t="str">
        <f>CHOOSE(K951+1,"error","Clear","Misty","Rainy","Severe heater")</f>
        <v>Clear</v>
      </c>
      <c r="M951" s="1">
        <v>0.3</v>
      </c>
      <c r="N951" t="str">
        <f>IF(M951&lt;=0.2,"Low",IF(M951&lt;=0.4,"Mid","High"))</f>
        <v>Mid</v>
      </c>
      <c r="O951" s="1">
        <v>0.2727</v>
      </c>
      <c r="P951" t="str">
        <f>IF(O951&lt;=0.15,"Very Cold",IF(O951&lt;=0.3,"Cold",IF(O951&lt;=0.45,"Pleasant","Hot")))</f>
        <v>Cold</v>
      </c>
      <c r="Q951">
        <v>0.74</v>
      </c>
      <c r="R951" t="str">
        <f>IF(Q951&lt;=0.25,"Low ",IF(Q951&lt;=0.5,"Moderate ",IF(Q951&lt;=0.75,"High ","Very High ")))</f>
        <v xml:space="preserve">High </v>
      </c>
      <c r="S951">
        <v>8.9599999999999999E-2</v>
      </c>
      <c r="T951" t="str">
        <f>IF(S951&lt;=0.15,"Calm",IF(S951&lt;=0.3,"Light Wind",IF(S951&lt;=0.45,"Moderate Wind","Strong Wind")))</f>
        <v>Calm</v>
      </c>
      <c r="U951">
        <v>0</v>
      </c>
      <c r="V951">
        <v>4</v>
      </c>
      <c r="W951">
        <v>4</v>
      </c>
      <c r="X951" t="str">
        <f>IF(W951&lt;=75,"Low Demand",IF(W951&lt;=150,"Medium Demand",IF(W951&lt;=225,"High Demand","Very High Demand")))</f>
        <v>Low Demand</v>
      </c>
    </row>
    <row r="952" spans="1:24" x14ac:dyDescent="0.25">
      <c r="A952">
        <v>951</v>
      </c>
      <c r="B952" s="2">
        <v>40586</v>
      </c>
      <c r="C952">
        <v>1</v>
      </c>
      <c r="D952">
        <v>0</v>
      </c>
      <c r="E952">
        <v>2</v>
      </c>
      <c r="F952">
        <v>5</v>
      </c>
      <c r="G952" t="str">
        <f>IF(F952&lt;6,"Night",IF(F952&lt;12,"Morning",IF(F952&lt;18,"Afternoon","Evening")))</f>
        <v>Night</v>
      </c>
      <c r="H952">
        <v>0</v>
      </c>
      <c r="I952">
        <v>6</v>
      </c>
      <c r="J952" t="str">
        <f>CHOOSE(I952+1,"Monday","Tuesday","Wednesday","Thursday","Friday","Saturday","Sunday")</f>
        <v>Sunday</v>
      </c>
      <c r="K952">
        <v>1</v>
      </c>
      <c r="L952" t="str">
        <f>CHOOSE(K952+1,"error","Clear","Misty","Rainy","Severe heater")</f>
        <v>Clear</v>
      </c>
      <c r="M952" s="1">
        <v>0.34</v>
      </c>
      <c r="N952" t="str">
        <f>IF(M952&lt;=0.2,"Low",IF(M952&lt;=0.4,"Mid","High"))</f>
        <v>Mid</v>
      </c>
      <c r="O952" s="1">
        <v>0.31819999999999998</v>
      </c>
      <c r="P952" t="str">
        <f>IF(O952&lt;=0.15,"Very Cold",IF(O952&lt;=0.3,"Cold",IF(O952&lt;=0.45,"Pleasant","Hot")))</f>
        <v>Pleasant</v>
      </c>
      <c r="Q952">
        <v>0.74</v>
      </c>
      <c r="R952" t="str">
        <f>IF(Q952&lt;=0.25,"Low ",IF(Q952&lt;=0.5,"Moderate ",IF(Q952&lt;=0.75,"High ","Very High ")))</f>
        <v xml:space="preserve">High </v>
      </c>
      <c r="S952">
        <v>8.9599999999999999E-2</v>
      </c>
      <c r="T952" t="str">
        <f>IF(S952&lt;=0.15,"Calm",IF(S952&lt;=0.3,"Light Wind",IF(S952&lt;=0.45,"Moderate Wind","Strong Wind")))</f>
        <v>Calm</v>
      </c>
      <c r="U952">
        <v>0</v>
      </c>
      <c r="V952">
        <v>1</v>
      </c>
      <c r="W952">
        <v>1</v>
      </c>
      <c r="X952" t="str">
        <f>IF(W952&lt;=75,"Low Demand",IF(W952&lt;=150,"Medium Demand",IF(W952&lt;=225,"High Demand","Very High Demand")))</f>
        <v>Low Demand</v>
      </c>
    </row>
    <row r="953" spans="1:24" x14ac:dyDescent="0.25">
      <c r="A953">
        <v>952</v>
      </c>
      <c r="B953" s="2">
        <v>40586</v>
      </c>
      <c r="C953">
        <v>1</v>
      </c>
      <c r="D953">
        <v>0</v>
      </c>
      <c r="E953">
        <v>2</v>
      </c>
      <c r="F953">
        <v>6</v>
      </c>
      <c r="G953" t="str">
        <f>IF(F953&lt;6,"Night",IF(F953&lt;12,"Morning",IF(F953&lt;18,"Afternoon","Evening")))</f>
        <v>Morning</v>
      </c>
      <c r="H953">
        <v>0</v>
      </c>
      <c r="I953">
        <v>6</v>
      </c>
      <c r="J953" t="str">
        <f>CHOOSE(I953+1,"Monday","Tuesday","Wednesday","Thursday","Friday","Saturday","Sunday")</f>
        <v>Sunday</v>
      </c>
      <c r="K953">
        <v>1</v>
      </c>
      <c r="L953" t="str">
        <f>CHOOSE(K953+1,"error","Clear","Misty","Rainy","Severe heater")</f>
        <v>Clear</v>
      </c>
      <c r="M953" s="1">
        <v>0.34</v>
      </c>
      <c r="N953" t="str">
        <f>IF(M953&lt;=0.2,"Low",IF(M953&lt;=0.4,"Mid","High"))</f>
        <v>Mid</v>
      </c>
      <c r="O953" s="1">
        <v>0.30299999999999999</v>
      </c>
      <c r="P953" t="str">
        <f>IF(O953&lt;=0.15,"Very Cold",IF(O953&lt;=0.3,"Cold",IF(O953&lt;=0.45,"Pleasant","Hot")))</f>
        <v>Pleasant</v>
      </c>
      <c r="Q953">
        <v>0.93</v>
      </c>
      <c r="R953" t="str">
        <f>IF(Q953&lt;=0.25,"Low ",IF(Q953&lt;=0.5,"Moderate ",IF(Q953&lt;=0.75,"High ","Very High ")))</f>
        <v xml:space="preserve">Very High </v>
      </c>
      <c r="S953">
        <v>0.19400000000000001</v>
      </c>
      <c r="T953" t="str">
        <f>IF(S953&lt;=0.15,"Calm",IF(S953&lt;=0.3,"Light Wind",IF(S953&lt;=0.45,"Moderate Wind","Strong Wind")))</f>
        <v>Light Wind</v>
      </c>
      <c r="U953">
        <v>1</v>
      </c>
      <c r="V953">
        <v>1</v>
      </c>
      <c r="W953">
        <v>2</v>
      </c>
      <c r="X953" t="str">
        <f>IF(W953&lt;=75,"Low Demand",IF(W953&lt;=150,"Medium Demand",IF(W953&lt;=225,"High Demand","Very High Demand")))</f>
        <v>Low Demand</v>
      </c>
    </row>
    <row r="954" spans="1:24" x14ac:dyDescent="0.25">
      <c r="A954">
        <v>953</v>
      </c>
      <c r="B954" s="2">
        <v>40586</v>
      </c>
      <c r="C954">
        <v>1</v>
      </c>
      <c r="D954">
        <v>0</v>
      </c>
      <c r="E954">
        <v>2</v>
      </c>
      <c r="F954">
        <v>7</v>
      </c>
      <c r="G954" t="str">
        <f>IF(F954&lt;6,"Night",IF(F954&lt;12,"Morning",IF(F954&lt;18,"Afternoon","Evening")))</f>
        <v>Morning</v>
      </c>
      <c r="H954">
        <v>0</v>
      </c>
      <c r="I954">
        <v>6</v>
      </c>
      <c r="J954" t="str">
        <f>CHOOSE(I954+1,"Monday","Tuesday","Wednesday","Thursday","Friday","Saturday","Sunday")</f>
        <v>Sunday</v>
      </c>
      <c r="K954">
        <v>1</v>
      </c>
      <c r="L954" t="str">
        <f>CHOOSE(K954+1,"error","Clear","Misty","Rainy","Severe heater")</f>
        <v>Clear</v>
      </c>
      <c r="M954" s="1">
        <v>0.34</v>
      </c>
      <c r="N954" t="str">
        <f>IF(M954&lt;=0.2,"Low",IF(M954&lt;=0.4,"Mid","High"))</f>
        <v>Mid</v>
      </c>
      <c r="O954" s="1">
        <v>0.30299999999999999</v>
      </c>
      <c r="P954" t="str">
        <f>IF(O954&lt;=0.15,"Very Cold",IF(O954&lt;=0.3,"Cold",IF(O954&lt;=0.45,"Pleasant","Hot")))</f>
        <v>Pleasant</v>
      </c>
      <c r="Q954">
        <v>0.8</v>
      </c>
      <c r="R954" t="str">
        <f>IF(Q954&lt;=0.25,"Low ",IF(Q954&lt;=0.5,"Moderate ",IF(Q954&lt;=0.75,"High ","Very High ")))</f>
        <v xml:space="preserve">Very High </v>
      </c>
      <c r="S954">
        <v>0.1045</v>
      </c>
      <c r="T954" t="str">
        <f>IF(S954&lt;=0.15,"Calm",IF(S954&lt;=0.3,"Light Wind",IF(S954&lt;=0.45,"Moderate Wind","Strong Wind")))</f>
        <v>Calm</v>
      </c>
      <c r="U954">
        <v>2</v>
      </c>
      <c r="V954">
        <v>9</v>
      </c>
      <c r="W954">
        <v>11</v>
      </c>
      <c r="X954" t="str">
        <f>IF(W954&lt;=75,"Low Demand",IF(W954&lt;=150,"Medium Demand",IF(W954&lt;=225,"High Demand","Very High Demand")))</f>
        <v>Low Demand</v>
      </c>
    </row>
    <row r="955" spans="1:24" x14ac:dyDescent="0.25">
      <c r="A955">
        <v>954</v>
      </c>
      <c r="B955" s="2">
        <v>40586</v>
      </c>
      <c r="C955">
        <v>1</v>
      </c>
      <c r="D955">
        <v>0</v>
      </c>
      <c r="E955">
        <v>2</v>
      </c>
      <c r="F955">
        <v>8</v>
      </c>
      <c r="G955" t="str">
        <f>IF(F955&lt;6,"Night",IF(F955&lt;12,"Morning",IF(F955&lt;18,"Afternoon","Evening")))</f>
        <v>Morning</v>
      </c>
      <c r="H955">
        <v>0</v>
      </c>
      <c r="I955">
        <v>6</v>
      </c>
      <c r="J955" t="str">
        <f>CHOOSE(I955+1,"Monday","Tuesday","Wednesday","Thursday","Friday","Saturday","Sunday")</f>
        <v>Sunday</v>
      </c>
      <c r="K955">
        <v>1</v>
      </c>
      <c r="L955" t="str">
        <f>CHOOSE(K955+1,"error","Clear","Misty","Rainy","Severe heater")</f>
        <v>Clear</v>
      </c>
      <c r="M955" s="1">
        <v>0.32</v>
      </c>
      <c r="N955" t="str">
        <f>IF(M955&lt;=0.2,"Low",IF(M955&lt;=0.4,"Mid","High"))</f>
        <v>Mid</v>
      </c>
      <c r="O955" s="1">
        <v>0.28789999999999999</v>
      </c>
      <c r="P955" t="str">
        <f>IF(O955&lt;=0.15,"Very Cold",IF(O955&lt;=0.3,"Cold",IF(O955&lt;=0.45,"Pleasant","Hot")))</f>
        <v>Cold</v>
      </c>
      <c r="Q955">
        <v>0.86</v>
      </c>
      <c r="R955" t="str">
        <f>IF(Q955&lt;=0.25,"Low ",IF(Q955&lt;=0.5,"Moderate ",IF(Q955&lt;=0.75,"High ","Very High ")))</f>
        <v xml:space="preserve">Very High </v>
      </c>
      <c r="S955">
        <v>0.1343</v>
      </c>
      <c r="T955" t="str">
        <f>IF(S955&lt;=0.15,"Calm",IF(S955&lt;=0.3,"Light Wind",IF(S955&lt;=0.45,"Moderate Wind","Strong Wind")))</f>
        <v>Calm</v>
      </c>
      <c r="U955">
        <v>2</v>
      </c>
      <c r="V955">
        <v>28</v>
      </c>
      <c r="W955">
        <v>30</v>
      </c>
      <c r="X955" t="str">
        <f>IF(W955&lt;=75,"Low Demand",IF(W955&lt;=150,"Medium Demand",IF(W955&lt;=225,"High Demand","Very High Demand")))</f>
        <v>Low Demand</v>
      </c>
    </row>
    <row r="956" spans="1:24" x14ac:dyDescent="0.25">
      <c r="A956">
        <v>955</v>
      </c>
      <c r="B956" s="2">
        <v>40586</v>
      </c>
      <c r="C956">
        <v>1</v>
      </c>
      <c r="D956">
        <v>0</v>
      </c>
      <c r="E956">
        <v>2</v>
      </c>
      <c r="F956">
        <v>9</v>
      </c>
      <c r="G956" t="str">
        <f>IF(F956&lt;6,"Night",IF(F956&lt;12,"Morning",IF(F956&lt;18,"Afternoon","Evening")))</f>
        <v>Morning</v>
      </c>
      <c r="H956">
        <v>0</v>
      </c>
      <c r="I956">
        <v>6</v>
      </c>
      <c r="J956" t="str">
        <f>CHOOSE(I956+1,"Monday","Tuesday","Wednesday","Thursday","Friday","Saturday","Sunday")</f>
        <v>Sunday</v>
      </c>
      <c r="K956">
        <v>1</v>
      </c>
      <c r="L956" t="str">
        <f>CHOOSE(K956+1,"error","Clear","Misty","Rainy","Severe heater")</f>
        <v>Clear</v>
      </c>
      <c r="M956" s="1">
        <v>0.28000000000000003</v>
      </c>
      <c r="N956" t="str">
        <f>IF(M956&lt;=0.2,"Low",IF(M956&lt;=0.4,"Mid","High"))</f>
        <v>Mid</v>
      </c>
      <c r="O956" s="1">
        <v>0.2576</v>
      </c>
      <c r="P956" t="str">
        <f>IF(O956&lt;=0.15,"Very Cold",IF(O956&lt;=0.3,"Cold",IF(O956&lt;=0.45,"Pleasant","Hot")))</f>
        <v>Cold</v>
      </c>
      <c r="Q956">
        <v>0.64</v>
      </c>
      <c r="R956" t="str">
        <f>IF(Q956&lt;=0.25,"Low ",IF(Q956&lt;=0.5,"Moderate ",IF(Q956&lt;=0.75,"High ","Very High ")))</f>
        <v xml:space="preserve">High </v>
      </c>
      <c r="S956">
        <v>0.1343</v>
      </c>
      <c r="T956" t="str">
        <f>IF(S956&lt;=0.15,"Calm",IF(S956&lt;=0.3,"Light Wind",IF(S956&lt;=0.45,"Moderate Wind","Strong Wind")))</f>
        <v>Calm</v>
      </c>
      <c r="U956">
        <v>5</v>
      </c>
      <c r="V956">
        <v>38</v>
      </c>
      <c r="W956">
        <v>43</v>
      </c>
      <c r="X956" t="str">
        <f>IF(W956&lt;=75,"Low Demand",IF(W956&lt;=150,"Medium Demand",IF(W956&lt;=225,"High Demand","Very High Demand")))</f>
        <v>Low Demand</v>
      </c>
    </row>
    <row r="957" spans="1:24" x14ac:dyDescent="0.25">
      <c r="A957">
        <v>956</v>
      </c>
      <c r="B957" s="2">
        <v>40586</v>
      </c>
      <c r="C957">
        <v>1</v>
      </c>
      <c r="D957">
        <v>0</v>
      </c>
      <c r="E957">
        <v>2</v>
      </c>
      <c r="F957">
        <v>10</v>
      </c>
      <c r="G957" t="str">
        <f>IF(F957&lt;6,"Night",IF(F957&lt;12,"Morning",IF(F957&lt;18,"Afternoon","Evening")))</f>
        <v>Morning</v>
      </c>
      <c r="H957">
        <v>0</v>
      </c>
      <c r="I957">
        <v>6</v>
      </c>
      <c r="J957" t="str">
        <f>CHOOSE(I957+1,"Monday","Tuesday","Wednesday","Thursday","Friday","Saturday","Sunday")</f>
        <v>Sunday</v>
      </c>
      <c r="K957">
        <v>1</v>
      </c>
      <c r="L957" t="str">
        <f>CHOOSE(K957+1,"error","Clear","Misty","Rainy","Severe heater")</f>
        <v>Clear</v>
      </c>
      <c r="M957" s="1">
        <v>0.28000000000000003</v>
      </c>
      <c r="N957" t="str">
        <f>IF(M957&lt;=0.2,"Low",IF(M957&lt;=0.4,"Mid","High"))</f>
        <v>Mid</v>
      </c>
      <c r="O957" s="1">
        <v>0.2727</v>
      </c>
      <c r="P957" t="str">
        <f>IF(O957&lt;=0.15,"Very Cold",IF(O957&lt;=0.3,"Cold",IF(O957&lt;=0.45,"Pleasant","Hot")))</f>
        <v>Cold</v>
      </c>
      <c r="Q957">
        <v>0.41</v>
      </c>
      <c r="R957" t="str">
        <f>IF(Q957&lt;=0.25,"Low ",IF(Q957&lt;=0.5,"Moderate ",IF(Q957&lt;=0.75,"High ","Very High ")))</f>
        <v xml:space="preserve">Moderate </v>
      </c>
      <c r="S957">
        <v>0.25369999999999998</v>
      </c>
      <c r="T957" t="str">
        <f>IF(S957&lt;=0.15,"Calm",IF(S957&lt;=0.3,"Light Wind",IF(S957&lt;=0.45,"Moderate Wind","Strong Wind")))</f>
        <v>Light Wind</v>
      </c>
      <c r="U957">
        <v>13</v>
      </c>
      <c r="V957">
        <v>71</v>
      </c>
      <c r="W957">
        <v>84</v>
      </c>
      <c r="X957" t="str">
        <f>IF(W957&lt;=75,"Low Demand",IF(W957&lt;=150,"Medium Demand",IF(W957&lt;=225,"High Demand","Very High Demand")))</f>
        <v>Medium Demand</v>
      </c>
    </row>
    <row r="958" spans="1:24" x14ac:dyDescent="0.25">
      <c r="A958">
        <v>957</v>
      </c>
      <c r="B958" s="2">
        <v>40586</v>
      </c>
      <c r="C958">
        <v>1</v>
      </c>
      <c r="D958">
        <v>0</v>
      </c>
      <c r="E958">
        <v>2</v>
      </c>
      <c r="F958">
        <v>11</v>
      </c>
      <c r="G958" t="str">
        <f>IF(F958&lt;6,"Night",IF(F958&lt;12,"Morning",IF(F958&lt;18,"Afternoon","Evening")))</f>
        <v>Morning</v>
      </c>
      <c r="H958">
        <v>0</v>
      </c>
      <c r="I958">
        <v>6</v>
      </c>
      <c r="J958" t="str">
        <f>CHOOSE(I958+1,"Monday","Tuesday","Wednesday","Thursday","Friday","Saturday","Sunday")</f>
        <v>Sunday</v>
      </c>
      <c r="K958">
        <v>1</v>
      </c>
      <c r="L958" t="str">
        <f>CHOOSE(K958+1,"error","Clear","Misty","Rainy","Severe heater")</f>
        <v>Clear</v>
      </c>
      <c r="M958" s="1">
        <v>0.26</v>
      </c>
      <c r="N958" t="str">
        <f>IF(M958&lt;=0.2,"Low",IF(M958&lt;=0.4,"Mid","High"))</f>
        <v>Mid</v>
      </c>
      <c r="O958" s="1">
        <v>0.2576</v>
      </c>
      <c r="P958" t="str">
        <f>IF(O958&lt;=0.15,"Very Cold",IF(O958&lt;=0.3,"Cold",IF(O958&lt;=0.45,"Pleasant","Hot")))</f>
        <v>Cold</v>
      </c>
      <c r="Q958">
        <v>0.28000000000000003</v>
      </c>
      <c r="R958" t="str">
        <f>IF(Q958&lt;=0.25,"Low ",IF(Q958&lt;=0.5,"Moderate ",IF(Q958&lt;=0.75,"High ","Very High ")))</f>
        <v xml:space="preserve">Moderate </v>
      </c>
      <c r="S958">
        <v>0.32840000000000003</v>
      </c>
      <c r="T958" t="str">
        <f>IF(S958&lt;=0.15,"Calm",IF(S958&lt;=0.3,"Light Wind",IF(S958&lt;=0.45,"Moderate Wind","Strong Wind")))</f>
        <v>Moderate Wind</v>
      </c>
      <c r="U958">
        <v>30</v>
      </c>
      <c r="V958">
        <v>84</v>
      </c>
      <c r="W958">
        <v>114</v>
      </c>
      <c r="X958" t="str">
        <f>IF(W958&lt;=75,"Low Demand",IF(W958&lt;=150,"Medium Demand",IF(W958&lt;=225,"High Demand","Very High Demand")))</f>
        <v>Medium Demand</v>
      </c>
    </row>
    <row r="959" spans="1:24" x14ac:dyDescent="0.25">
      <c r="A959">
        <v>958</v>
      </c>
      <c r="B959" s="2">
        <v>40586</v>
      </c>
      <c r="C959">
        <v>1</v>
      </c>
      <c r="D959">
        <v>0</v>
      </c>
      <c r="E959">
        <v>2</v>
      </c>
      <c r="F959">
        <v>12</v>
      </c>
      <c r="G959" t="str">
        <f>IF(F959&lt;6,"Night",IF(F959&lt;12,"Morning",IF(F959&lt;18,"Afternoon","Evening")))</f>
        <v>Afternoon</v>
      </c>
      <c r="H959">
        <v>0</v>
      </c>
      <c r="I959">
        <v>6</v>
      </c>
      <c r="J959" t="str">
        <f>CHOOSE(I959+1,"Monday","Tuesday","Wednesday","Thursday","Friday","Saturday","Sunday")</f>
        <v>Sunday</v>
      </c>
      <c r="K959">
        <v>1</v>
      </c>
      <c r="L959" t="str">
        <f>CHOOSE(K959+1,"error","Clear","Misty","Rainy","Severe heater")</f>
        <v>Clear</v>
      </c>
      <c r="M959" s="1">
        <v>0.26</v>
      </c>
      <c r="N959" t="str">
        <f>IF(M959&lt;=0.2,"Low",IF(M959&lt;=0.4,"Mid","High"))</f>
        <v>Mid</v>
      </c>
      <c r="O959" s="1">
        <v>0.30299999999999999</v>
      </c>
      <c r="P959" t="str">
        <f>IF(O959&lt;=0.15,"Very Cold",IF(O959&lt;=0.3,"Cold",IF(O959&lt;=0.45,"Pleasant","Hot")))</f>
        <v>Pleasant</v>
      </c>
      <c r="Q959">
        <v>0.39</v>
      </c>
      <c r="R959" t="str">
        <f>IF(Q959&lt;=0.25,"Low ",IF(Q959&lt;=0.5,"Moderate ",IF(Q959&lt;=0.75,"High ","Very High ")))</f>
        <v xml:space="preserve">Moderate </v>
      </c>
      <c r="S959">
        <v>0.4627</v>
      </c>
      <c r="T959" t="str">
        <f>IF(S959&lt;=0.15,"Calm",IF(S959&lt;=0.3,"Light Wind",IF(S959&lt;=0.45,"Moderate Wind","Strong Wind")))</f>
        <v>Strong Wind</v>
      </c>
      <c r="U959">
        <v>27</v>
      </c>
      <c r="V959">
        <v>93</v>
      </c>
      <c r="W959">
        <v>120</v>
      </c>
      <c r="X959" t="str">
        <f>IF(W959&lt;=75,"Low Demand",IF(W959&lt;=150,"Medium Demand",IF(W959&lt;=225,"High Demand","Very High Demand")))</f>
        <v>Medium Demand</v>
      </c>
    </row>
    <row r="960" spans="1:24" x14ac:dyDescent="0.25">
      <c r="A960">
        <v>959</v>
      </c>
      <c r="B960" s="2">
        <v>40586</v>
      </c>
      <c r="C960">
        <v>1</v>
      </c>
      <c r="D960">
        <v>0</v>
      </c>
      <c r="E960">
        <v>2</v>
      </c>
      <c r="F960">
        <v>13</v>
      </c>
      <c r="G960" t="str">
        <f>IF(F960&lt;6,"Night",IF(F960&lt;12,"Morning",IF(F960&lt;18,"Afternoon","Evening")))</f>
        <v>Afternoon</v>
      </c>
      <c r="H960">
        <v>0</v>
      </c>
      <c r="I960">
        <v>6</v>
      </c>
      <c r="J960" t="str">
        <f>CHOOSE(I960+1,"Monday","Tuesday","Wednesday","Thursday","Friday","Saturday","Sunday")</f>
        <v>Sunday</v>
      </c>
      <c r="K960">
        <v>1</v>
      </c>
      <c r="L960" t="str">
        <f>CHOOSE(K960+1,"error","Clear","Misty","Rainy","Severe heater")</f>
        <v>Clear</v>
      </c>
      <c r="M960" s="1">
        <v>0.24</v>
      </c>
      <c r="N960" t="str">
        <f>IF(M960&lt;=0.2,"Low",IF(M960&lt;=0.4,"Mid","High"))</f>
        <v>Mid</v>
      </c>
      <c r="O960" s="1">
        <v>0.2576</v>
      </c>
      <c r="P960" t="str">
        <f>IF(O960&lt;=0.15,"Very Cold",IF(O960&lt;=0.3,"Cold",IF(O960&lt;=0.45,"Pleasant","Hot")))</f>
        <v>Cold</v>
      </c>
      <c r="Q960">
        <v>0.39</v>
      </c>
      <c r="R960" t="str">
        <f>IF(Q960&lt;=0.25,"Low ",IF(Q960&lt;=0.5,"Moderate ",IF(Q960&lt;=0.75,"High ","Very High ")))</f>
        <v xml:space="preserve">Moderate </v>
      </c>
      <c r="S960">
        <v>0.41789999999999999</v>
      </c>
      <c r="T960" t="str">
        <f>IF(S960&lt;=0.15,"Calm",IF(S960&lt;=0.3,"Light Wind",IF(S960&lt;=0.45,"Moderate Wind","Strong Wind")))</f>
        <v>Moderate Wind</v>
      </c>
      <c r="U960">
        <v>32</v>
      </c>
      <c r="V960">
        <v>103</v>
      </c>
      <c r="W960">
        <v>135</v>
      </c>
      <c r="X960" t="str">
        <f>IF(W960&lt;=75,"Low Demand",IF(W960&lt;=150,"Medium Demand",IF(W960&lt;=225,"High Demand","Very High Demand")))</f>
        <v>Medium Demand</v>
      </c>
    </row>
    <row r="961" spans="1:24" x14ac:dyDescent="0.25">
      <c r="A961">
        <v>960</v>
      </c>
      <c r="B961" s="2">
        <v>40586</v>
      </c>
      <c r="C961">
        <v>1</v>
      </c>
      <c r="D961">
        <v>0</v>
      </c>
      <c r="E961">
        <v>2</v>
      </c>
      <c r="F961">
        <v>14</v>
      </c>
      <c r="G961" t="str">
        <f>IF(F961&lt;6,"Night",IF(F961&lt;12,"Morning",IF(F961&lt;18,"Afternoon","Evening")))</f>
        <v>Afternoon</v>
      </c>
      <c r="H961">
        <v>0</v>
      </c>
      <c r="I961">
        <v>6</v>
      </c>
      <c r="J961" t="str">
        <f>CHOOSE(I961+1,"Monday","Tuesday","Wednesday","Thursday","Friday","Saturday","Sunday")</f>
        <v>Sunday</v>
      </c>
      <c r="K961">
        <v>1</v>
      </c>
      <c r="L961" t="str">
        <f>CHOOSE(K961+1,"error","Clear","Misty","Rainy","Severe heater")</f>
        <v>Clear</v>
      </c>
      <c r="M961" s="1">
        <v>0.22</v>
      </c>
      <c r="N961" t="str">
        <f>IF(M961&lt;=0.2,"Low",IF(M961&lt;=0.4,"Mid","High"))</f>
        <v>Mid</v>
      </c>
      <c r="O961" s="1">
        <v>0.2273</v>
      </c>
      <c r="P961" t="str">
        <f>IF(O961&lt;=0.15,"Very Cold",IF(O961&lt;=0.3,"Cold",IF(O961&lt;=0.45,"Pleasant","Hot")))</f>
        <v>Cold</v>
      </c>
      <c r="Q961">
        <v>0.31</v>
      </c>
      <c r="R961" t="str">
        <f>IF(Q961&lt;=0.25,"Low ",IF(Q961&lt;=0.5,"Moderate ",IF(Q961&lt;=0.75,"High ","Very High ")))</f>
        <v xml:space="preserve">Moderate </v>
      </c>
      <c r="S961">
        <v>0.28360000000000002</v>
      </c>
      <c r="T961" t="str">
        <f>IF(S961&lt;=0.15,"Calm",IF(S961&lt;=0.3,"Light Wind",IF(S961&lt;=0.45,"Moderate Wind","Strong Wind")))</f>
        <v>Light Wind</v>
      </c>
      <c r="U961">
        <v>30</v>
      </c>
      <c r="V961">
        <v>90</v>
      </c>
      <c r="W961">
        <v>120</v>
      </c>
      <c r="X961" t="str">
        <f>IF(W961&lt;=75,"Low Demand",IF(W961&lt;=150,"Medium Demand",IF(W961&lt;=225,"High Demand","Very High Demand")))</f>
        <v>Medium Demand</v>
      </c>
    </row>
    <row r="962" spans="1:24" x14ac:dyDescent="0.25">
      <c r="A962">
        <v>961</v>
      </c>
      <c r="B962" s="2">
        <v>40586</v>
      </c>
      <c r="C962">
        <v>1</v>
      </c>
      <c r="D962">
        <v>0</v>
      </c>
      <c r="E962">
        <v>2</v>
      </c>
      <c r="F962">
        <v>15</v>
      </c>
      <c r="G962" t="str">
        <f>IF(F962&lt;6,"Night",IF(F962&lt;12,"Morning",IF(F962&lt;18,"Afternoon","Evening")))</f>
        <v>Afternoon</v>
      </c>
      <c r="H962">
        <v>0</v>
      </c>
      <c r="I962">
        <v>6</v>
      </c>
      <c r="J962" t="str">
        <f>CHOOSE(I962+1,"Monday","Tuesday","Wednesday","Thursday","Friday","Saturday","Sunday")</f>
        <v>Sunday</v>
      </c>
      <c r="K962">
        <v>1</v>
      </c>
      <c r="L962" t="str">
        <f>CHOOSE(K962+1,"error","Clear","Misty","Rainy","Severe heater")</f>
        <v>Clear</v>
      </c>
      <c r="M962" s="1">
        <v>0.2</v>
      </c>
      <c r="N962" t="str">
        <f>IF(M962&lt;=0.2,"Low",IF(M962&lt;=0.4,"Mid","High"))</f>
        <v>Low</v>
      </c>
      <c r="O962" s="1">
        <v>0.2273</v>
      </c>
      <c r="P962" t="str">
        <f>IF(O962&lt;=0.15,"Very Cold",IF(O962&lt;=0.3,"Cold",IF(O962&lt;=0.45,"Pleasant","Hot")))</f>
        <v>Cold</v>
      </c>
      <c r="Q962">
        <v>0.28999999999999998</v>
      </c>
      <c r="R962" t="str">
        <f>IF(Q962&lt;=0.25,"Low ",IF(Q962&lt;=0.5,"Moderate ",IF(Q962&lt;=0.75,"High ","Very High ")))</f>
        <v xml:space="preserve">Moderate </v>
      </c>
      <c r="S962">
        <v>0.41789999999999999</v>
      </c>
      <c r="T962" t="str">
        <f>IF(S962&lt;=0.15,"Calm",IF(S962&lt;=0.3,"Light Wind",IF(S962&lt;=0.45,"Moderate Wind","Strong Wind")))</f>
        <v>Moderate Wind</v>
      </c>
      <c r="U962">
        <v>47</v>
      </c>
      <c r="V962">
        <v>127</v>
      </c>
      <c r="W962">
        <v>174</v>
      </c>
      <c r="X962" t="str">
        <f>IF(W962&lt;=75,"Low Demand",IF(W962&lt;=150,"Medium Demand",IF(W962&lt;=225,"High Demand","Very High Demand")))</f>
        <v>High Demand</v>
      </c>
    </row>
    <row r="963" spans="1:24" x14ac:dyDescent="0.25">
      <c r="A963">
        <v>962</v>
      </c>
      <c r="B963" s="2">
        <v>40586</v>
      </c>
      <c r="C963">
        <v>1</v>
      </c>
      <c r="D963">
        <v>0</v>
      </c>
      <c r="E963">
        <v>2</v>
      </c>
      <c r="F963">
        <v>16</v>
      </c>
      <c r="G963" t="str">
        <f>IF(F963&lt;6,"Night",IF(F963&lt;12,"Morning",IF(F963&lt;18,"Afternoon","Evening")))</f>
        <v>Afternoon</v>
      </c>
      <c r="H963">
        <v>0</v>
      </c>
      <c r="I963">
        <v>6</v>
      </c>
      <c r="J963" t="str">
        <f>CHOOSE(I963+1,"Monday","Tuesday","Wednesday","Thursday","Friday","Saturday","Sunday")</f>
        <v>Sunday</v>
      </c>
      <c r="K963">
        <v>1</v>
      </c>
      <c r="L963" t="str">
        <f>CHOOSE(K963+1,"error","Clear","Misty","Rainy","Severe heater")</f>
        <v>Clear</v>
      </c>
      <c r="M963" s="1">
        <v>0.2</v>
      </c>
      <c r="N963" t="str">
        <f>IF(M963&lt;=0.2,"Low",IF(M963&lt;=0.4,"Mid","High"))</f>
        <v>Low</v>
      </c>
      <c r="O963" s="1">
        <v>0.2273</v>
      </c>
      <c r="P963" t="str">
        <f>IF(O963&lt;=0.15,"Very Cold",IF(O963&lt;=0.3,"Cold",IF(O963&lt;=0.45,"Pleasant","Hot")))</f>
        <v>Cold</v>
      </c>
      <c r="Q963">
        <v>0.28999999999999998</v>
      </c>
      <c r="R963" t="str">
        <f>IF(Q963&lt;=0.25,"Low ",IF(Q963&lt;=0.5,"Moderate ",IF(Q963&lt;=0.75,"High ","Very High ")))</f>
        <v xml:space="preserve">Moderate </v>
      </c>
      <c r="S963">
        <v>0.41789999999999999</v>
      </c>
      <c r="T963" t="str">
        <f>IF(S963&lt;=0.15,"Calm",IF(S963&lt;=0.3,"Light Wind",IF(S963&lt;=0.45,"Moderate Wind","Strong Wind")))</f>
        <v>Moderate Wind</v>
      </c>
      <c r="U963">
        <v>42</v>
      </c>
      <c r="V963">
        <v>103</v>
      </c>
      <c r="W963">
        <v>145</v>
      </c>
      <c r="X963" t="str">
        <f>IF(W963&lt;=75,"Low Demand",IF(W963&lt;=150,"Medium Demand",IF(W963&lt;=225,"High Demand","Very High Demand")))</f>
        <v>Medium Demand</v>
      </c>
    </row>
    <row r="964" spans="1:24" x14ac:dyDescent="0.25">
      <c r="A964">
        <v>963</v>
      </c>
      <c r="B964" s="2">
        <v>40586</v>
      </c>
      <c r="C964">
        <v>1</v>
      </c>
      <c r="D964">
        <v>0</v>
      </c>
      <c r="E964">
        <v>2</v>
      </c>
      <c r="F964">
        <v>17</v>
      </c>
      <c r="G964" t="str">
        <f>IF(F964&lt;6,"Night",IF(F964&lt;12,"Morning",IF(F964&lt;18,"Afternoon","Evening")))</f>
        <v>Afternoon</v>
      </c>
      <c r="H964">
        <v>0</v>
      </c>
      <c r="I964">
        <v>6</v>
      </c>
      <c r="J964" t="str">
        <f>CHOOSE(I964+1,"Monday","Tuesday","Wednesday","Thursday","Friday","Saturday","Sunday")</f>
        <v>Sunday</v>
      </c>
      <c r="K964">
        <v>1</v>
      </c>
      <c r="L964" t="str">
        <f>CHOOSE(K964+1,"error","Clear","Misty","Rainy","Severe heater")</f>
        <v>Clear</v>
      </c>
      <c r="M964" s="1">
        <v>0.2</v>
      </c>
      <c r="N964" t="str">
        <f>IF(M964&lt;=0.2,"Low",IF(M964&lt;=0.4,"Mid","High"))</f>
        <v>Low</v>
      </c>
      <c r="O964" s="1">
        <v>0.2273</v>
      </c>
      <c r="P964" t="str">
        <f>IF(O964&lt;=0.15,"Very Cold",IF(O964&lt;=0.3,"Cold",IF(O964&lt;=0.45,"Pleasant","Hot")))</f>
        <v>Cold</v>
      </c>
      <c r="Q964">
        <v>0.31</v>
      </c>
      <c r="R964" t="str">
        <f>IF(Q964&lt;=0.25,"Low ",IF(Q964&lt;=0.5,"Moderate ",IF(Q964&lt;=0.75,"High ","Very High ")))</f>
        <v xml:space="preserve">Moderate </v>
      </c>
      <c r="S964">
        <v>0.52239999999999998</v>
      </c>
      <c r="T964" t="str">
        <f>IF(S964&lt;=0.15,"Calm",IF(S964&lt;=0.3,"Light Wind",IF(S964&lt;=0.45,"Moderate Wind","Strong Wind")))</f>
        <v>Strong Wind</v>
      </c>
      <c r="U964">
        <v>24</v>
      </c>
      <c r="V964">
        <v>113</v>
      </c>
      <c r="W964">
        <v>137</v>
      </c>
      <c r="X964" t="str">
        <f>IF(W964&lt;=75,"Low Demand",IF(W964&lt;=150,"Medium Demand",IF(W964&lt;=225,"High Demand","Very High Demand")))</f>
        <v>Medium Demand</v>
      </c>
    </row>
    <row r="965" spans="1:24" x14ac:dyDescent="0.25">
      <c r="A965">
        <v>964</v>
      </c>
      <c r="B965" s="2">
        <v>40586</v>
      </c>
      <c r="C965">
        <v>1</v>
      </c>
      <c r="D965">
        <v>0</v>
      </c>
      <c r="E965">
        <v>2</v>
      </c>
      <c r="F965">
        <v>18</v>
      </c>
      <c r="G965" t="str">
        <f>IF(F965&lt;6,"Night",IF(F965&lt;12,"Morning",IF(F965&lt;18,"Afternoon","Evening")))</f>
        <v>Evening</v>
      </c>
      <c r="H965">
        <v>0</v>
      </c>
      <c r="I965">
        <v>6</v>
      </c>
      <c r="J965" t="str">
        <f>CHOOSE(I965+1,"Monday","Tuesday","Wednesday","Thursday","Friday","Saturday","Sunday")</f>
        <v>Sunday</v>
      </c>
      <c r="K965">
        <v>1</v>
      </c>
      <c r="L965" t="str">
        <f>CHOOSE(K965+1,"error","Clear","Misty","Rainy","Severe heater")</f>
        <v>Clear</v>
      </c>
      <c r="M965" s="1">
        <v>0.2</v>
      </c>
      <c r="N965" t="str">
        <f>IF(M965&lt;=0.2,"Low",IF(M965&lt;=0.4,"Mid","High"))</f>
        <v>Low</v>
      </c>
      <c r="O965" s="1">
        <v>0.2273</v>
      </c>
      <c r="P965" t="str">
        <f>IF(O965&lt;=0.15,"Very Cold",IF(O965&lt;=0.3,"Cold",IF(O965&lt;=0.45,"Pleasant","Hot")))</f>
        <v>Cold</v>
      </c>
      <c r="Q965">
        <v>0.38</v>
      </c>
      <c r="R965" t="str">
        <f>IF(Q965&lt;=0.25,"Low ",IF(Q965&lt;=0.5,"Moderate ",IF(Q965&lt;=0.75,"High ","Very High ")))</f>
        <v xml:space="preserve">Moderate </v>
      </c>
      <c r="S965">
        <v>0.32840000000000003</v>
      </c>
      <c r="T965" t="str">
        <f>IF(S965&lt;=0.15,"Calm",IF(S965&lt;=0.3,"Light Wind",IF(S965&lt;=0.45,"Moderate Wind","Strong Wind")))</f>
        <v>Moderate Wind</v>
      </c>
      <c r="U965">
        <v>4</v>
      </c>
      <c r="V965">
        <v>60</v>
      </c>
      <c r="W965">
        <v>64</v>
      </c>
      <c r="X965" t="str">
        <f>IF(W965&lt;=75,"Low Demand",IF(W965&lt;=150,"Medium Demand",IF(W965&lt;=225,"High Demand","Very High Demand")))</f>
        <v>Low Demand</v>
      </c>
    </row>
    <row r="966" spans="1:24" x14ac:dyDescent="0.25">
      <c r="A966">
        <v>965</v>
      </c>
      <c r="B966" s="2">
        <v>40586</v>
      </c>
      <c r="C966">
        <v>1</v>
      </c>
      <c r="D966">
        <v>0</v>
      </c>
      <c r="E966">
        <v>2</v>
      </c>
      <c r="F966">
        <v>19</v>
      </c>
      <c r="G966" t="str">
        <f>IF(F966&lt;6,"Night",IF(F966&lt;12,"Morning",IF(F966&lt;18,"Afternoon","Evening")))</f>
        <v>Evening</v>
      </c>
      <c r="H966">
        <v>0</v>
      </c>
      <c r="I966">
        <v>6</v>
      </c>
      <c r="J966" t="str">
        <f>CHOOSE(I966+1,"Monday","Tuesday","Wednesday","Thursday","Friday","Saturday","Sunday")</f>
        <v>Sunday</v>
      </c>
      <c r="K966">
        <v>1</v>
      </c>
      <c r="L966" t="str">
        <f>CHOOSE(K966+1,"error","Clear","Misty","Rainy","Severe heater")</f>
        <v>Clear</v>
      </c>
      <c r="M966" s="1">
        <v>0.2</v>
      </c>
      <c r="N966" t="str">
        <f>IF(M966&lt;=0.2,"Low",IF(M966&lt;=0.4,"Mid","High"))</f>
        <v>Low</v>
      </c>
      <c r="O966" s="1">
        <v>0.21210000000000001</v>
      </c>
      <c r="P966" t="str">
        <f>IF(O966&lt;=0.15,"Very Cold",IF(O966&lt;=0.3,"Cold",IF(O966&lt;=0.45,"Pleasant","Hot")))</f>
        <v>Cold</v>
      </c>
      <c r="Q966">
        <v>0.38</v>
      </c>
      <c r="R966" t="str">
        <f>IF(Q966&lt;=0.25,"Low ",IF(Q966&lt;=0.5,"Moderate ",IF(Q966&lt;=0.75,"High ","Very High ")))</f>
        <v xml:space="preserve">Moderate </v>
      </c>
      <c r="S966">
        <v>0.16420000000000001</v>
      </c>
      <c r="T966" t="str">
        <f>IF(S966&lt;=0.15,"Calm",IF(S966&lt;=0.3,"Light Wind",IF(S966&lt;=0.45,"Moderate Wind","Strong Wind")))</f>
        <v>Light Wind</v>
      </c>
      <c r="U966">
        <v>2</v>
      </c>
      <c r="V966">
        <v>39</v>
      </c>
      <c r="W966">
        <v>41</v>
      </c>
      <c r="X966" t="str">
        <f>IF(W966&lt;=75,"Low Demand",IF(W966&lt;=150,"Medium Demand",IF(W966&lt;=225,"High Demand","Very High Demand")))</f>
        <v>Low Demand</v>
      </c>
    </row>
    <row r="967" spans="1:24" x14ac:dyDescent="0.25">
      <c r="A967">
        <v>966</v>
      </c>
      <c r="B967" s="2">
        <v>40586</v>
      </c>
      <c r="C967">
        <v>1</v>
      </c>
      <c r="D967">
        <v>0</v>
      </c>
      <c r="E967">
        <v>2</v>
      </c>
      <c r="F967">
        <v>20</v>
      </c>
      <c r="G967" t="str">
        <f>IF(F967&lt;6,"Night",IF(F967&lt;12,"Morning",IF(F967&lt;18,"Afternoon","Evening")))</f>
        <v>Evening</v>
      </c>
      <c r="H967">
        <v>0</v>
      </c>
      <c r="I967">
        <v>6</v>
      </c>
      <c r="J967" t="str">
        <f>CHOOSE(I967+1,"Monday","Tuesday","Wednesday","Thursday","Friday","Saturday","Sunday")</f>
        <v>Sunday</v>
      </c>
      <c r="K967">
        <v>1</v>
      </c>
      <c r="L967" t="str">
        <f>CHOOSE(K967+1,"error","Clear","Misty","Rainy","Severe heater")</f>
        <v>Clear</v>
      </c>
      <c r="M967" s="1">
        <v>0.2</v>
      </c>
      <c r="N967" t="str">
        <f>IF(M967&lt;=0.2,"Low",IF(M967&lt;=0.4,"Mid","High"))</f>
        <v>Low</v>
      </c>
      <c r="O967" s="1">
        <v>0.21210000000000001</v>
      </c>
      <c r="P967" t="str">
        <f>IF(O967&lt;=0.15,"Very Cold",IF(O967&lt;=0.3,"Cold",IF(O967&lt;=0.45,"Pleasant","Hot")))</f>
        <v>Cold</v>
      </c>
      <c r="Q967">
        <v>0.41</v>
      </c>
      <c r="R967" t="str">
        <f>IF(Q967&lt;=0.25,"Low ",IF(Q967&lt;=0.5,"Moderate ",IF(Q967&lt;=0.75,"High ","Very High ")))</f>
        <v xml:space="preserve">Moderate </v>
      </c>
      <c r="S967">
        <v>0.22389999999999999</v>
      </c>
      <c r="T967" t="str">
        <f>IF(S967&lt;=0.15,"Calm",IF(S967&lt;=0.3,"Light Wind",IF(S967&lt;=0.45,"Moderate Wind","Strong Wind")))</f>
        <v>Light Wind</v>
      </c>
      <c r="U967">
        <v>1</v>
      </c>
      <c r="V967">
        <v>39</v>
      </c>
      <c r="W967">
        <v>40</v>
      </c>
      <c r="X967" t="str">
        <f>IF(W967&lt;=75,"Low Demand",IF(W967&lt;=150,"Medium Demand",IF(W967&lt;=225,"High Demand","Very High Demand")))</f>
        <v>Low Demand</v>
      </c>
    </row>
    <row r="968" spans="1:24" x14ac:dyDescent="0.25">
      <c r="A968">
        <v>967</v>
      </c>
      <c r="B968" s="2">
        <v>40586</v>
      </c>
      <c r="C968">
        <v>1</v>
      </c>
      <c r="D968">
        <v>0</v>
      </c>
      <c r="E968">
        <v>2</v>
      </c>
      <c r="F968">
        <v>21</v>
      </c>
      <c r="G968" t="str">
        <f>IF(F968&lt;6,"Night",IF(F968&lt;12,"Morning",IF(F968&lt;18,"Afternoon","Evening")))</f>
        <v>Evening</v>
      </c>
      <c r="H968">
        <v>0</v>
      </c>
      <c r="I968">
        <v>6</v>
      </c>
      <c r="J968" t="str">
        <f>CHOOSE(I968+1,"Monday","Tuesday","Wednesday","Thursday","Friday","Saturday","Sunday")</f>
        <v>Sunday</v>
      </c>
      <c r="K968">
        <v>1</v>
      </c>
      <c r="L968" t="str">
        <f>CHOOSE(K968+1,"error","Clear","Misty","Rainy","Severe heater")</f>
        <v>Clear</v>
      </c>
      <c r="M968" s="1">
        <v>0.22</v>
      </c>
      <c r="N968" t="str">
        <f>IF(M968&lt;=0.2,"Low",IF(M968&lt;=0.4,"Mid","High"))</f>
        <v>Mid</v>
      </c>
      <c r="O968" s="1">
        <v>0.2727</v>
      </c>
      <c r="P968" t="str">
        <f>IF(O968&lt;=0.15,"Very Cold",IF(O968&lt;=0.3,"Cold",IF(O968&lt;=0.45,"Pleasant","Hot")))</f>
        <v>Cold</v>
      </c>
      <c r="Q968">
        <v>0.41</v>
      </c>
      <c r="R968" t="str">
        <f>IF(Q968&lt;=0.25,"Low ",IF(Q968&lt;=0.5,"Moderate ",IF(Q968&lt;=0.75,"High ","Very High ")))</f>
        <v xml:space="preserve">Moderate </v>
      </c>
      <c r="S968">
        <v>0</v>
      </c>
      <c r="T968" t="str">
        <f>IF(S968&lt;=0.15,"Calm",IF(S968&lt;=0.3,"Light Wind",IF(S968&lt;=0.45,"Moderate Wind","Strong Wind")))</f>
        <v>Calm</v>
      </c>
      <c r="U968">
        <v>9</v>
      </c>
      <c r="V968">
        <v>42</v>
      </c>
      <c r="W968">
        <v>51</v>
      </c>
      <c r="X968" t="str">
        <f>IF(W968&lt;=75,"Low Demand",IF(W968&lt;=150,"Medium Demand",IF(W968&lt;=225,"High Demand","Very High Demand")))</f>
        <v>Low Demand</v>
      </c>
    </row>
    <row r="969" spans="1:24" x14ac:dyDescent="0.25">
      <c r="A969">
        <v>968</v>
      </c>
      <c r="B969" s="2">
        <v>40586</v>
      </c>
      <c r="C969">
        <v>1</v>
      </c>
      <c r="D969">
        <v>0</v>
      </c>
      <c r="E969">
        <v>2</v>
      </c>
      <c r="F969">
        <v>22</v>
      </c>
      <c r="G969" t="str">
        <f>IF(F969&lt;6,"Night",IF(F969&lt;12,"Morning",IF(F969&lt;18,"Afternoon","Evening")))</f>
        <v>Evening</v>
      </c>
      <c r="H969">
        <v>0</v>
      </c>
      <c r="I969">
        <v>6</v>
      </c>
      <c r="J969" t="str">
        <f>CHOOSE(I969+1,"Monday","Tuesday","Wednesday","Thursday","Friday","Saturday","Sunday")</f>
        <v>Sunday</v>
      </c>
      <c r="K969">
        <v>1</v>
      </c>
      <c r="L969" t="str">
        <f>CHOOSE(K969+1,"error","Clear","Misty","Rainy","Severe heater")</f>
        <v>Clear</v>
      </c>
      <c r="M969" s="1">
        <v>0.22</v>
      </c>
      <c r="N969" t="str">
        <f>IF(M969&lt;=0.2,"Low",IF(M969&lt;=0.4,"Mid","High"))</f>
        <v>Mid</v>
      </c>
      <c r="O969" s="1">
        <v>0.2273</v>
      </c>
      <c r="P969" t="str">
        <f>IF(O969&lt;=0.15,"Very Cold",IF(O969&lt;=0.3,"Cold",IF(O969&lt;=0.45,"Pleasant","Hot")))</f>
        <v>Cold</v>
      </c>
      <c r="Q969">
        <v>0.44</v>
      </c>
      <c r="R969" t="str">
        <f>IF(Q969&lt;=0.25,"Low ",IF(Q969&lt;=0.5,"Moderate ",IF(Q969&lt;=0.75,"High ","Very High ")))</f>
        <v xml:space="preserve">Moderate </v>
      </c>
      <c r="S969">
        <v>8.9599999999999999E-2</v>
      </c>
      <c r="T969" t="str">
        <f>IF(S969&lt;=0.15,"Calm",IF(S969&lt;=0.3,"Light Wind",IF(S969&lt;=0.45,"Moderate Wind","Strong Wind")))</f>
        <v>Calm</v>
      </c>
      <c r="U969">
        <v>6</v>
      </c>
      <c r="V969">
        <v>39</v>
      </c>
      <c r="W969">
        <v>45</v>
      </c>
      <c r="X969" t="str">
        <f>IF(W969&lt;=75,"Low Demand",IF(W969&lt;=150,"Medium Demand",IF(W969&lt;=225,"High Demand","Very High Demand")))</f>
        <v>Low Demand</v>
      </c>
    </row>
    <row r="970" spans="1:24" x14ac:dyDescent="0.25">
      <c r="A970">
        <v>969</v>
      </c>
      <c r="B970" s="2">
        <v>40586</v>
      </c>
      <c r="C970">
        <v>1</v>
      </c>
      <c r="D970">
        <v>0</v>
      </c>
      <c r="E970">
        <v>2</v>
      </c>
      <c r="F970">
        <v>23</v>
      </c>
      <c r="G970" t="str">
        <f>IF(F970&lt;6,"Night",IF(F970&lt;12,"Morning",IF(F970&lt;18,"Afternoon","Evening")))</f>
        <v>Evening</v>
      </c>
      <c r="H970">
        <v>0</v>
      </c>
      <c r="I970">
        <v>6</v>
      </c>
      <c r="J970" t="str">
        <f>CHOOSE(I970+1,"Monday","Tuesday","Wednesday","Thursday","Friday","Saturday","Sunday")</f>
        <v>Sunday</v>
      </c>
      <c r="K970">
        <v>1</v>
      </c>
      <c r="L970" t="str">
        <f>CHOOSE(K970+1,"error","Clear","Misty","Rainy","Severe heater")</f>
        <v>Clear</v>
      </c>
      <c r="M970" s="1">
        <v>0.24</v>
      </c>
      <c r="N970" t="str">
        <f>IF(M970&lt;=0.2,"Low",IF(M970&lt;=0.4,"Mid","High"))</f>
        <v>Mid</v>
      </c>
      <c r="O970" s="1">
        <v>0.2273</v>
      </c>
      <c r="P970" t="str">
        <f>IF(O970&lt;=0.15,"Very Cold",IF(O970&lt;=0.3,"Cold",IF(O970&lt;=0.45,"Pleasant","Hot")))</f>
        <v>Cold</v>
      </c>
      <c r="Q970">
        <v>0.51</v>
      </c>
      <c r="R970" t="str">
        <f>IF(Q970&lt;=0.25,"Low ",IF(Q970&lt;=0.5,"Moderate ",IF(Q970&lt;=0.75,"High ","Very High ")))</f>
        <v xml:space="preserve">High </v>
      </c>
      <c r="S970">
        <v>0.1343</v>
      </c>
      <c r="T970" t="str">
        <f>IF(S970&lt;=0.15,"Calm",IF(S970&lt;=0.3,"Light Wind",IF(S970&lt;=0.45,"Moderate Wind","Strong Wind")))</f>
        <v>Calm</v>
      </c>
      <c r="U970">
        <v>1</v>
      </c>
      <c r="V970">
        <v>31</v>
      </c>
      <c r="W970">
        <v>32</v>
      </c>
      <c r="X970" t="str">
        <f>IF(W970&lt;=75,"Low Demand",IF(W970&lt;=150,"Medium Demand",IF(W970&lt;=225,"High Demand","Very High Demand")))</f>
        <v>Low Demand</v>
      </c>
    </row>
    <row r="971" spans="1:24" x14ac:dyDescent="0.25">
      <c r="A971">
        <v>970</v>
      </c>
      <c r="B971" s="2">
        <v>40587</v>
      </c>
      <c r="C971">
        <v>1</v>
      </c>
      <c r="D971">
        <v>0</v>
      </c>
      <c r="E971">
        <v>2</v>
      </c>
      <c r="F971">
        <v>0</v>
      </c>
      <c r="G971" t="str">
        <f>IF(F971&lt;6,"Night",IF(F971&lt;12,"Morning",IF(F971&lt;18,"Afternoon","Evening")))</f>
        <v>Night</v>
      </c>
      <c r="H971">
        <v>0</v>
      </c>
      <c r="I971">
        <v>0</v>
      </c>
      <c r="J971" t="str">
        <f>CHOOSE(I971+1,"Monday","Tuesday","Wednesday","Thursday","Friday","Saturday","Sunday")</f>
        <v>Monday</v>
      </c>
      <c r="K971">
        <v>1</v>
      </c>
      <c r="L971" t="str">
        <f>CHOOSE(K971+1,"error","Clear","Misty","Rainy","Severe heater")</f>
        <v>Clear</v>
      </c>
      <c r="M971" s="1">
        <v>0.3</v>
      </c>
      <c r="N971" t="str">
        <f>IF(M971&lt;=0.2,"Low",IF(M971&lt;=0.4,"Mid","High"))</f>
        <v>Mid</v>
      </c>
      <c r="O971" s="1">
        <v>0.2727</v>
      </c>
      <c r="P971" t="str">
        <f>IF(O971&lt;=0.15,"Very Cold",IF(O971&lt;=0.3,"Cold",IF(O971&lt;=0.45,"Pleasant","Hot")))</f>
        <v>Cold</v>
      </c>
      <c r="Q971">
        <v>0.64</v>
      </c>
      <c r="R971" t="str">
        <f>IF(Q971&lt;=0.25,"Low ",IF(Q971&lt;=0.5,"Moderate ",IF(Q971&lt;=0.75,"High ","Very High ")))</f>
        <v xml:space="preserve">High </v>
      </c>
      <c r="S971">
        <v>0.1045</v>
      </c>
      <c r="T971" t="str">
        <f>IF(S971&lt;=0.15,"Calm",IF(S971&lt;=0.3,"Light Wind",IF(S971&lt;=0.45,"Moderate Wind","Strong Wind")))</f>
        <v>Calm</v>
      </c>
      <c r="U971">
        <v>5</v>
      </c>
      <c r="V971">
        <v>34</v>
      </c>
      <c r="W971">
        <v>39</v>
      </c>
      <c r="X971" t="str">
        <f>IF(W971&lt;=75,"Low Demand",IF(W971&lt;=150,"Medium Demand",IF(W971&lt;=225,"High Demand","Very High Demand")))</f>
        <v>Low Demand</v>
      </c>
    </row>
    <row r="972" spans="1:24" x14ac:dyDescent="0.25">
      <c r="A972">
        <v>971</v>
      </c>
      <c r="B972" s="2">
        <v>40587</v>
      </c>
      <c r="C972">
        <v>1</v>
      </c>
      <c r="D972">
        <v>0</v>
      </c>
      <c r="E972">
        <v>2</v>
      </c>
      <c r="F972">
        <v>1</v>
      </c>
      <c r="G972" t="str">
        <f>IF(F972&lt;6,"Night",IF(F972&lt;12,"Morning",IF(F972&lt;18,"Afternoon","Evening")))</f>
        <v>Night</v>
      </c>
      <c r="H972">
        <v>0</v>
      </c>
      <c r="I972">
        <v>0</v>
      </c>
      <c r="J972" t="str">
        <f>CHOOSE(I972+1,"Monday","Tuesday","Wednesday","Thursday","Friday","Saturday","Sunday")</f>
        <v>Monday</v>
      </c>
      <c r="K972">
        <v>1</v>
      </c>
      <c r="L972" t="str">
        <f>CHOOSE(K972+1,"error","Clear","Misty","Rainy","Severe heater")</f>
        <v>Clear</v>
      </c>
      <c r="M972" s="1">
        <v>0.32</v>
      </c>
      <c r="N972" t="str">
        <f>IF(M972&lt;=0.2,"Low",IF(M972&lt;=0.4,"Mid","High"))</f>
        <v>Mid</v>
      </c>
      <c r="O972" s="1">
        <v>0.28789999999999999</v>
      </c>
      <c r="P972" t="str">
        <f>IF(O972&lt;=0.15,"Very Cold",IF(O972&lt;=0.3,"Cold",IF(O972&lt;=0.45,"Pleasant","Hot")))</f>
        <v>Cold</v>
      </c>
      <c r="Q972">
        <v>0.59</v>
      </c>
      <c r="R972" t="str">
        <f>IF(Q972&lt;=0.25,"Low ",IF(Q972&lt;=0.5,"Moderate ",IF(Q972&lt;=0.75,"High ","Very High ")))</f>
        <v xml:space="preserve">High </v>
      </c>
      <c r="S972">
        <v>8.9599999999999999E-2</v>
      </c>
      <c r="T972" t="str">
        <f>IF(S972&lt;=0.15,"Calm",IF(S972&lt;=0.3,"Light Wind",IF(S972&lt;=0.45,"Moderate Wind","Strong Wind")))</f>
        <v>Calm</v>
      </c>
      <c r="U972">
        <v>1</v>
      </c>
      <c r="V972">
        <v>23</v>
      </c>
      <c r="W972">
        <v>24</v>
      </c>
      <c r="X972" t="str">
        <f>IF(W972&lt;=75,"Low Demand",IF(W972&lt;=150,"Medium Demand",IF(W972&lt;=225,"High Demand","Very High Demand")))</f>
        <v>Low Demand</v>
      </c>
    </row>
    <row r="973" spans="1:24" x14ac:dyDescent="0.25">
      <c r="A973">
        <v>972</v>
      </c>
      <c r="B973" s="2">
        <v>40587</v>
      </c>
      <c r="C973">
        <v>1</v>
      </c>
      <c r="D973">
        <v>0</v>
      </c>
      <c r="E973">
        <v>2</v>
      </c>
      <c r="F973">
        <v>2</v>
      </c>
      <c r="G973" t="str">
        <f>IF(F973&lt;6,"Night",IF(F973&lt;12,"Morning",IF(F973&lt;18,"Afternoon","Evening")))</f>
        <v>Night</v>
      </c>
      <c r="H973">
        <v>0</v>
      </c>
      <c r="I973">
        <v>0</v>
      </c>
      <c r="J973" t="str">
        <f>CHOOSE(I973+1,"Monday","Tuesday","Wednesday","Thursday","Friday","Saturday","Sunday")</f>
        <v>Monday</v>
      </c>
      <c r="K973">
        <v>2</v>
      </c>
      <c r="L973" t="str">
        <f>CHOOSE(K973+1,"error","Clear","Misty","Rainy","Severe heater")</f>
        <v>Misty</v>
      </c>
      <c r="M973" s="1">
        <v>0.36</v>
      </c>
      <c r="N973" t="str">
        <f>IF(M973&lt;=0.2,"Low",IF(M973&lt;=0.4,"Mid","High"))</f>
        <v>Mid</v>
      </c>
      <c r="O973" s="1">
        <v>0.31819999999999998</v>
      </c>
      <c r="P973" t="str">
        <f>IF(O973&lt;=0.15,"Very Cold",IF(O973&lt;=0.3,"Cold",IF(O973&lt;=0.45,"Pleasant","Hot")))</f>
        <v>Pleasant</v>
      </c>
      <c r="Q973">
        <v>0.75</v>
      </c>
      <c r="R973" t="str">
        <f>IF(Q973&lt;=0.25,"Low ",IF(Q973&lt;=0.5,"Moderate ",IF(Q973&lt;=0.75,"High ","Very High ")))</f>
        <v xml:space="preserve">High </v>
      </c>
      <c r="S973">
        <v>8.9599999999999999E-2</v>
      </c>
      <c r="T973" t="str">
        <f>IF(S973&lt;=0.15,"Calm",IF(S973&lt;=0.3,"Light Wind",IF(S973&lt;=0.45,"Moderate Wind","Strong Wind")))</f>
        <v>Calm</v>
      </c>
      <c r="U973">
        <v>1</v>
      </c>
      <c r="V973">
        <v>19</v>
      </c>
      <c r="W973">
        <v>20</v>
      </c>
      <c r="X973" t="str">
        <f>IF(W973&lt;=75,"Low Demand",IF(W973&lt;=150,"Medium Demand",IF(W973&lt;=225,"High Demand","Very High Demand")))</f>
        <v>Low Demand</v>
      </c>
    </row>
    <row r="974" spans="1:24" x14ac:dyDescent="0.25">
      <c r="A974">
        <v>973</v>
      </c>
      <c r="B974" s="2">
        <v>40587</v>
      </c>
      <c r="C974">
        <v>1</v>
      </c>
      <c r="D974">
        <v>0</v>
      </c>
      <c r="E974">
        <v>2</v>
      </c>
      <c r="F974">
        <v>3</v>
      </c>
      <c r="G974" t="str">
        <f>IF(F974&lt;6,"Night",IF(F974&lt;12,"Morning",IF(F974&lt;18,"Afternoon","Evening")))</f>
        <v>Night</v>
      </c>
      <c r="H974">
        <v>0</v>
      </c>
      <c r="I974">
        <v>0</v>
      </c>
      <c r="J974" t="str">
        <f>CHOOSE(I974+1,"Monday","Tuesday","Wednesday","Thursday","Friday","Saturday","Sunday")</f>
        <v>Monday</v>
      </c>
      <c r="K974">
        <v>2</v>
      </c>
      <c r="L974" t="str">
        <f>CHOOSE(K974+1,"error","Clear","Misty","Rainy","Severe heater")</f>
        <v>Misty</v>
      </c>
      <c r="M974" s="1">
        <v>0.38</v>
      </c>
      <c r="N974" t="str">
        <f>IF(M974&lt;=0.2,"Low",IF(M974&lt;=0.4,"Mid","High"))</f>
        <v>Mid</v>
      </c>
      <c r="O974" s="1">
        <v>0.39389999999999997</v>
      </c>
      <c r="P974" t="str">
        <f>IF(O974&lt;=0.15,"Very Cold",IF(O974&lt;=0.3,"Cold",IF(O974&lt;=0.45,"Pleasant","Hot")))</f>
        <v>Pleasant</v>
      </c>
      <c r="Q974">
        <v>0.69</v>
      </c>
      <c r="R974" t="str">
        <f>IF(Q974&lt;=0.25,"Low ",IF(Q974&lt;=0.5,"Moderate ",IF(Q974&lt;=0.75,"High ","Very High ")))</f>
        <v xml:space="preserve">High </v>
      </c>
      <c r="S974">
        <v>0.1045</v>
      </c>
      <c r="T974" t="str">
        <f>IF(S974&lt;=0.15,"Calm",IF(S974&lt;=0.3,"Light Wind",IF(S974&lt;=0.45,"Moderate Wind","Strong Wind")))</f>
        <v>Calm</v>
      </c>
      <c r="U974">
        <v>4</v>
      </c>
      <c r="V974">
        <v>8</v>
      </c>
      <c r="W974">
        <v>12</v>
      </c>
      <c r="X974" t="str">
        <f>IF(W974&lt;=75,"Low Demand",IF(W974&lt;=150,"Medium Demand",IF(W974&lt;=225,"High Demand","Very High Demand")))</f>
        <v>Low Demand</v>
      </c>
    </row>
    <row r="975" spans="1:24" x14ac:dyDescent="0.25">
      <c r="A975">
        <v>974</v>
      </c>
      <c r="B975" s="2">
        <v>40587</v>
      </c>
      <c r="C975">
        <v>1</v>
      </c>
      <c r="D975">
        <v>0</v>
      </c>
      <c r="E975">
        <v>2</v>
      </c>
      <c r="F975">
        <v>4</v>
      </c>
      <c r="G975" t="str">
        <f>IF(F975&lt;6,"Night",IF(F975&lt;12,"Morning",IF(F975&lt;18,"Afternoon","Evening")))</f>
        <v>Night</v>
      </c>
      <c r="H975">
        <v>0</v>
      </c>
      <c r="I975">
        <v>0</v>
      </c>
      <c r="J975" t="str">
        <f>CHOOSE(I975+1,"Monday","Tuesday","Wednesday","Thursday","Friday","Saturday","Sunday")</f>
        <v>Monday</v>
      </c>
      <c r="K975">
        <v>2</v>
      </c>
      <c r="L975" t="str">
        <f>CHOOSE(K975+1,"error","Clear","Misty","Rainy","Severe heater")</f>
        <v>Misty</v>
      </c>
      <c r="M975" s="1">
        <v>0.4</v>
      </c>
      <c r="N975" t="str">
        <f>IF(M975&lt;=0.2,"Low",IF(M975&lt;=0.4,"Mid","High"))</f>
        <v>Mid</v>
      </c>
      <c r="O975" s="1">
        <v>0.40910000000000002</v>
      </c>
      <c r="P975" t="str">
        <f>IF(O975&lt;=0.15,"Very Cold",IF(O975&lt;=0.3,"Cold",IF(O975&lt;=0.45,"Pleasant","Hot")))</f>
        <v>Pleasant</v>
      </c>
      <c r="Q975">
        <v>0.69</v>
      </c>
      <c r="R975" t="str">
        <f>IF(Q975&lt;=0.25,"Low ",IF(Q975&lt;=0.5,"Moderate ",IF(Q975&lt;=0.75,"High ","Very High ")))</f>
        <v xml:space="preserve">High </v>
      </c>
      <c r="S975">
        <v>0.16420000000000001</v>
      </c>
      <c r="T975" t="str">
        <f>IF(S975&lt;=0.15,"Calm",IF(S975&lt;=0.3,"Light Wind",IF(S975&lt;=0.45,"Moderate Wind","Strong Wind")))</f>
        <v>Light Wind</v>
      </c>
      <c r="U975">
        <v>0</v>
      </c>
      <c r="V975">
        <v>2</v>
      </c>
      <c r="W975">
        <v>2</v>
      </c>
      <c r="X975" t="str">
        <f>IF(W975&lt;=75,"Low Demand",IF(W975&lt;=150,"Medium Demand",IF(W975&lt;=225,"High Demand","Very High Demand")))</f>
        <v>Low Demand</v>
      </c>
    </row>
    <row r="976" spans="1:24" x14ac:dyDescent="0.25">
      <c r="A976">
        <v>975</v>
      </c>
      <c r="B976" s="2">
        <v>40587</v>
      </c>
      <c r="C976">
        <v>1</v>
      </c>
      <c r="D976">
        <v>0</v>
      </c>
      <c r="E976">
        <v>2</v>
      </c>
      <c r="F976">
        <v>6</v>
      </c>
      <c r="G976" t="str">
        <f>IF(F976&lt;6,"Night",IF(F976&lt;12,"Morning",IF(F976&lt;18,"Afternoon","Evening")))</f>
        <v>Morning</v>
      </c>
      <c r="H976">
        <v>0</v>
      </c>
      <c r="I976">
        <v>0</v>
      </c>
      <c r="J976" t="str">
        <f>CHOOSE(I976+1,"Monday","Tuesday","Wednesday","Thursday","Friday","Saturday","Sunday")</f>
        <v>Monday</v>
      </c>
      <c r="K976">
        <v>2</v>
      </c>
      <c r="L976" t="str">
        <f>CHOOSE(K976+1,"error","Clear","Misty","Rainy","Severe heater")</f>
        <v>Misty</v>
      </c>
      <c r="M976" s="1">
        <v>0.4</v>
      </c>
      <c r="N976" t="str">
        <f>IF(M976&lt;=0.2,"Low",IF(M976&lt;=0.4,"Mid","High"))</f>
        <v>Mid</v>
      </c>
      <c r="O976" s="1">
        <v>0.40910000000000002</v>
      </c>
      <c r="P976" t="str">
        <f>IF(O976&lt;=0.15,"Very Cold",IF(O976&lt;=0.3,"Cold",IF(O976&lt;=0.45,"Pleasant","Hot")))</f>
        <v>Pleasant</v>
      </c>
      <c r="Q976">
        <v>0.69</v>
      </c>
      <c r="R976" t="str">
        <f>IF(Q976&lt;=0.25,"Low ",IF(Q976&lt;=0.5,"Moderate ",IF(Q976&lt;=0.75,"High ","Very High ")))</f>
        <v xml:space="preserve">High </v>
      </c>
      <c r="S976">
        <v>0.1343</v>
      </c>
      <c r="T976" t="str">
        <f>IF(S976&lt;=0.15,"Calm",IF(S976&lt;=0.3,"Light Wind",IF(S976&lt;=0.45,"Moderate Wind","Strong Wind")))</f>
        <v>Calm</v>
      </c>
      <c r="U976">
        <v>2</v>
      </c>
      <c r="V976">
        <v>3</v>
      </c>
      <c r="W976">
        <v>5</v>
      </c>
      <c r="X976" t="str">
        <f>IF(W976&lt;=75,"Low Demand",IF(W976&lt;=150,"Medium Demand",IF(W976&lt;=225,"High Demand","Very High Demand")))</f>
        <v>Low Demand</v>
      </c>
    </row>
    <row r="977" spans="1:24" x14ac:dyDescent="0.25">
      <c r="A977">
        <v>976</v>
      </c>
      <c r="B977" s="2">
        <v>40587</v>
      </c>
      <c r="C977">
        <v>1</v>
      </c>
      <c r="D977">
        <v>0</v>
      </c>
      <c r="E977">
        <v>2</v>
      </c>
      <c r="F977">
        <v>7</v>
      </c>
      <c r="G977" t="str">
        <f>IF(F977&lt;6,"Night",IF(F977&lt;12,"Morning",IF(F977&lt;18,"Afternoon","Evening")))</f>
        <v>Morning</v>
      </c>
      <c r="H977">
        <v>0</v>
      </c>
      <c r="I977">
        <v>0</v>
      </c>
      <c r="J977" t="str">
        <f>CHOOSE(I977+1,"Monday","Tuesday","Wednesday","Thursday","Friday","Saturday","Sunday")</f>
        <v>Monday</v>
      </c>
      <c r="K977">
        <v>2</v>
      </c>
      <c r="L977" t="str">
        <f>CHOOSE(K977+1,"error","Clear","Misty","Rainy","Severe heater")</f>
        <v>Misty</v>
      </c>
      <c r="M977" s="1">
        <v>0.42</v>
      </c>
      <c r="N977" t="str">
        <f>IF(M977&lt;=0.2,"Low",IF(M977&lt;=0.4,"Mid","High"))</f>
        <v>High</v>
      </c>
      <c r="O977" s="1">
        <v>0.42420000000000002</v>
      </c>
      <c r="P977" t="str">
        <f>IF(O977&lt;=0.15,"Very Cold",IF(O977&lt;=0.3,"Cold",IF(O977&lt;=0.45,"Pleasant","Hot")))</f>
        <v>Pleasant</v>
      </c>
      <c r="Q977">
        <v>0.55000000000000004</v>
      </c>
      <c r="R977" t="str">
        <f>IF(Q977&lt;=0.25,"Low ",IF(Q977&lt;=0.5,"Moderate ",IF(Q977&lt;=0.75,"High ","Very High ")))</f>
        <v xml:space="preserve">High </v>
      </c>
      <c r="S977">
        <v>0</v>
      </c>
      <c r="T977" t="str">
        <f>IF(S977&lt;=0.15,"Calm",IF(S977&lt;=0.3,"Light Wind",IF(S977&lt;=0.45,"Moderate Wind","Strong Wind")))</f>
        <v>Calm</v>
      </c>
      <c r="U977">
        <v>0</v>
      </c>
      <c r="V977">
        <v>3</v>
      </c>
      <c r="W977">
        <v>3</v>
      </c>
      <c r="X977" t="str">
        <f>IF(W977&lt;=75,"Low Demand",IF(W977&lt;=150,"Medium Demand",IF(W977&lt;=225,"High Demand","Very High Demand")))</f>
        <v>Low Demand</v>
      </c>
    </row>
    <row r="978" spans="1:24" x14ac:dyDescent="0.25">
      <c r="A978">
        <v>977</v>
      </c>
      <c r="B978" s="2">
        <v>40587</v>
      </c>
      <c r="C978">
        <v>1</v>
      </c>
      <c r="D978">
        <v>0</v>
      </c>
      <c r="E978">
        <v>2</v>
      </c>
      <c r="F978">
        <v>8</v>
      </c>
      <c r="G978" t="str">
        <f>IF(F978&lt;6,"Night",IF(F978&lt;12,"Morning",IF(F978&lt;18,"Afternoon","Evening")))</f>
        <v>Morning</v>
      </c>
      <c r="H978">
        <v>0</v>
      </c>
      <c r="I978">
        <v>0</v>
      </c>
      <c r="J978" t="str">
        <f>CHOOSE(I978+1,"Monday","Tuesday","Wednesday","Thursday","Friday","Saturday","Sunday")</f>
        <v>Monday</v>
      </c>
      <c r="K978">
        <v>2</v>
      </c>
      <c r="L978" t="str">
        <f>CHOOSE(K978+1,"error","Clear","Misty","Rainy","Severe heater")</f>
        <v>Misty</v>
      </c>
      <c r="M978" s="1">
        <v>0.42</v>
      </c>
      <c r="N978" t="str">
        <f>IF(M978&lt;=0.2,"Low",IF(M978&lt;=0.4,"Mid","High"))</f>
        <v>High</v>
      </c>
      <c r="O978" s="1">
        <v>0.42420000000000002</v>
      </c>
      <c r="P978" t="str">
        <f>IF(O978&lt;=0.15,"Very Cold",IF(O978&lt;=0.3,"Cold",IF(O978&lt;=0.45,"Pleasant","Hot")))</f>
        <v>Pleasant</v>
      </c>
      <c r="Q978">
        <v>0.64</v>
      </c>
      <c r="R978" t="str">
        <f>IF(Q978&lt;=0.25,"Low ",IF(Q978&lt;=0.5,"Moderate ",IF(Q978&lt;=0.75,"High ","Very High ")))</f>
        <v xml:space="preserve">High </v>
      </c>
      <c r="S978">
        <v>0.19400000000000001</v>
      </c>
      <c r="T978" t="str">
        <f>IF(S978&lt;=0.15,"Calm",IF(S978&lt;=0.3,"Light Wind",IF(S978&lt;=0.45,"Moderate Wind","Strong Wind")))</f>
        <v>Light Wind</v>
      </c>
      <c r="U978">
        <v>1</v>
      </c>
      <c r="V978">
        <v>11</v>
      </c>
      <c r="W978">
        <v>12</v>
      </c>
      <c r="X978" t="str">
        <f>IF(W978&lt;=75,"Low Demand",IF(W978&lt;=150,"Medium Demand",IF(W978&lt;=225,"High Demand","Very High Demand")))</f>
        <v>Low Demand</v>
      </c>
    </row>
    <row r="979" spans="1:24" x14ac:dyDescent="0.25">
      <c r="A979">
        <v>978</v>
      </c>
      <c r="B979" s="2">
        <v>40587</v>
      </c>
      <c r="C979">
        <v>1</v>
      </c>
      <c r="D979">
        <v>0</v>
      </c>
      <c r="E979">
        <v>2</v>
      </c>
      <c r="F979">
        <v>9</v>
      </c>
      <c r="G979" t="str">
        <f>IF(F979&lt;6,"Night",IF(F979&lt;12,"Morning",IF(F979&lt;18,"Afternoon","Evening")))</f>
        <v>Morning</v>
      </c>
      <c r="H979">
        <v>0</v>
      </c>
      <c r="I979">
        <v>0</v>
      </c>
      <c r="J979" t="str">
        <f>CHOOSE(I979+1,"Monday","Tuesday","Wednesday","Thursday","Friday","Saturday","Sunday")</f>
        <v>Monday</v>
      </c>
      <c r="K979">
        <v>2</v>
      </c>
      <c r="L979" t="str">
        <f>CHOOSE(K979+1,"error","Clear","Misty","Rainy","Severe heater")</f>
        <v>Misty</v>
      </c>
      <c r="M979" s="1">
        <v>0.4</v>
      </c>
      <c r="N979" t="str">
        <f>IF(M979&lt;=0.2,"Low",IF(M979&lt;=0.4,"Mid","High"))</f>
        <v>Mid</v>
      </c>
      <c r="O979" s="1">
        <v>0.40910000000000002</v>
      </c>
      <c r="P979" t="str">
        <f>IF(O979&lt;=0.15,"Very Cold",IF(O979&lt;=0.3,"Cold",IF(O979&lt;=0.45,"Pleasant","Hot")))</f>
        <v>Pleasant</v>
      </c>
      <c r="Q979">
        <v>0.6</v>
      </c>
      <c r="R979" t="str">
        <f>IF(Q979&lt;=0.25,"Low ",IF(Q979&lt;=0.5,"Moderate ",IF(Q979&lt;=0.75,"High ","Very High ")))</f>
        <v xml:space="preserve">High </v>
      </c>
      <c r="S979">
        <v>0.22389999999999999</v>
      </c>
      <c r="T979" t="str">
        <f>IF(S979&lt;=0.15,"Calm",IF(S979&lt;=0.3,"Light Wind",IF(S979&lt;=0.45,"Moderate Wind","Strong Wind")))</f>
        <v>Light Wind</v>
      </c>
      <c r="U979">
        <v>12</v>
      </c>
      <c r="V979">
        <v>35</v>
      </c>
      <c r="W979">
        <v>47</v>
      </c>
      <c r="X979" t="str">
        <f>IF(W979&lt;=75,"Low Demand",IF(W979&lt;=150,"Medium Demand",IF(W979&lt;=225,"High Demand","Very High Demand")))</f>
        <v>Low Demand</v>
      </c>
    </row>
    <row r="980" spans="1:24" x14ac:dyDescent="0.25">
      <c r="A980">
        <v>979</v>
      </c>
      <c r="B980" s="2">
        <v>40587</v>
      </c>
      <c r="C980">
        <v>1</v>
      </c>
      <c r="D980">
        <v>0</v>
      </c>
      <c r="E980">
        <v>2</v>
      </c>
      <c r="F980">
        <v>10</v>
      </c>
      <c r="G980" t="str">
        <f>IF(F980&lt;6,"Night",IF(F980&lt;12,"Morning",IF(F980&lt;18,"Afternoon","Evening")))</f>
        <v>Morning</v>
      </c>
      <c r="H980">
        <v>0</v>
      </c>
      <c r="I980">
        <v>0</v>
      </c>
      <c r="J980" t="str">
        <f>CHOOSE(I980+1,"Monday","Tuesday","Wednesday","Thursday","Friday","Saturday","Sunday")</f>
        <v>Monday</v>
      </c>
      <c r="K980">
        <v>1</v>
      </c>
      <c r="L980" t="str">
        <f>CHOOSE(K980+1,"error","Clear","Misty","Rainy","Severe heater")</f>
        <v>Clear</v>
      </c>
      <c r="M980" s="1">
        <v>0.4</v>
      </c>
      <c r="N980" t="str">
        <f>IF(M980&lt;=0.2,"Low",IF(M980&lt;=0.4,"Mid","High"))</f>
        <v>Mid</v>
      </c>
      <c r="O980" s="1">
        <v>0.40910000000000002</v>
      </c>
      <c r="P980" t="str">
        <f>IF(O980&lt;=0.15,"Very Cold",IF(O980&lt;=0.3,"Cold",IF(O980&lt;=0.45,"Pleasant","Hot")))</f>
        <v>Pleasant</v>
      </c>
      <c r="Q980">
        <v>0.45</v>
      </c>
      <c r="R980" t="str">
        <f>IF(Q980&lt;=0.25,"Low ",IF(Q980&lt;=0.5,"Moderate ",IF(Q980&lt;=0.75,"High ","Very High ")))</f>
        <v xml:space="preserve">Moderate </v>
      </c>
      <c r="S980">
        <v>0.32840000000000003</v>
      </c>
      <c r="T980" t="str">
        <f>IF(S980&lt;=0.15,"Calm",IF(S980&lt;=0.3,"Light Wind",IF(S980&lt;=0.45,"Moderate Wind","Strong Wind")))</f>
        <v>Moderate Wind</v>
      </c>
      <c r="U980">
        <v>19</v>
      </c>
      <c r="V980">
        <v>86</v>
      </c>
      <c r="W980">
        <v>105</v>
      </c>
      <c r="X980" t="str">
        <f>IF(W980&lt;=75,"Low Demand",IF(W980&lt;=150,"Medium Demand",IF(W980&lt;=225,"High Demand","Very High Demand")))</f>
        <v>Medium Demand</v>
      </c>
    </row>
    <row r="981" spans="1:24" x14ac:dyDescent="0.25">
      <c r="A981">
        <v>980</v>
      </c>
      <c r="B981" s="2">
        <v>40587</v>
      </c>
      <c r="C981">
        <v>1</v>
      </c>
      <c r="D981">
        <v>0</v>
      </c>
      <c r="E981">
        <v>2</v>
      </c>
      <c r="F981">
        <v>11</v>
      </c>
      <c r="G981" t="str">
        <f>IF(F981&lt;6,"Night",IF(F981&lt;12,"Morning",IF(F981&lt;18,"Afternoon","Evening")))</f>
        <v>Morning</v>
      </c>
      <c r="H981">
        <v>0</v>
      </c>
      <c r="I981">
        <v>0</v>
      </c>
      <c r="J981" t="str">
        <f>CHOOSE(I981+1,"Monday","Tuesday","Wednesday","Thursday","Friday","Saturday","Sunday")</f>
        <v>Monday</v>
      </c>
      <c r="K981">
        <v>1</v>
      </c>
      <c r="L981" t="str">
        <f>CHOOSE(K981+1,"error","Clear","Misty","Rainy","Severe heater")</f>
        <v>Clear</v>
      </c>
      <c r="M981" s="1">
        <v>0.4</v>
      </c>
      <c r="N981" t="str">
        <f>IF(M981&lt;=0.2,"Low",IF(M981&lt;=0.4,"Mid","High"))</f>
        <v>Mid</v>
      </c>
      <c r="O981" s="1">
        <v>0.40910000000000002</v>
      </c>
      <c r="P981" t="str">
        <f>IF(O981&lt;=0.15,"Very Cold",IF(O981&lt;=0.3,"Cold",IF(O981&lt;=0.45,"Pleasant","Hot")))</f>
        <v>Pleasant</v>
      </c>
      <c r="Q981">
        <v>0.39</v>
      </c>
      <c r="R981" t="str">
        <f>IF(Q981&lt;=0.25,"Low ",IF(Q981&lt;=0.5,"Moderate ",IF(Q981&lt;=0.75,"High ","Very High ")))</f>
        <v xml:space="preserve">Moderate </v>
      </c>
      <c r="S981">
        <v>0.44779999999999998</v>
      </c>
      <c r="T981" t="str">
        <f>IF(S981&lt;=0.15,"Calm",IF(S981&lt;=0.3,"Light Wind",IF(S981&lt;=0.45,"Moderate Wind","Strong Wind")))</f>
        <v>Moderate Wind</v>
      </c>
      <c r="U981">
        <v>26</v>
      </c>
      <c r="V981">
        <v>86</v>
      </c>
      <c r="W981">
        <v>112</v>
      </c>
      <c r="X981" t="str">
        <f>IF(W981&lt;=75,"Low Demand",IF(W981&lt;=150,"Medium Demand",IF(W981&lt;=225,"High Demand","Very High Demand")))</f>
        <v>Medium Demand</v>
      </c>
    </row>
    <row r="982" spans="1:24" x14ac:dyDescent="0.25">
      <c r="A982">
        <v>981</v>
      </c>
      <c r="B982" s="2">
        <v>40587</v>
      </c>
      <c r="C982">
        <v>1</v>
      </c>
      <c r="D982">
        <v>0</v>
      </c>
      <c r="E982">
        <v>2</v>
      </c>
      <c r="F982">
        <v>12</v>
      </c>
      <c r="G982" t="str">
        <f>IF(F982&lt;6,"Night",IF(F982&lt;12,"Morning",IF(F982&lt;18,"Afternoon","Evening")))</f>
        <v>Afternoon</v>
      </c>
      <c r="H982">
        <v>0</v>
      </c>
      <c r="I982">
        <v>0</v>
      </c>
      <c r="J982" t="str">
        <f>CHOOSE(I982+1,"Monday","Tuesday","Wednesday","Thursday","Friday","Saturday","Sunday")</f>
        <v>Monday</v>
      </c>
      <c r="K982">
        <v>1</v>
      </c>
      <c r="L982" t="str">
        <f>CHOOSE(K982+1,"error","Clear","Misty","Rainy","Severe heater")</f>
        <v>Clear</v>
      </c>
      <c r="M982" s="1">
        <v>0.4</v>
      </c>
      <c r="N982" t="str">
        <f>IF(M982&lt;=0.2,"Low",IF(M982&lt;=0.4,"Mid","High"))</f>
        <v>Mid</v>
      </c>
      <c r="O982" s="1">
        <v>0.40910000000000002</v>
      </c>
      <c r="P982" t="str">
        <f>IF(O982&lt;=0.15,"Very Cold",IF(O982&lt;=0.3,"Cold",IF(O982&lt;=0.45,"Pleasant","Hot")))</f>
        <v>Pleasant</v>
      </c>
      <c r="Q982">
        <v>0.32</v>
      </c>
      <c r="R982" t="str">
        <f>IF(Q982&lt;=0.25,"Low ",IF(Q982&lt;=0.5,"Moderate ",IF(Q982&lt;=0.75,"High ","Very High ")))</f>
        <v xml:space="preserve">Moderate </v>
      </c>
      <c r="S982">
        <v>0.4627</v>
      </c>
      <c r="T982" t="str">
        <f>IF(S982&lt;=0.15,"Calm",IF(S982&lt;=0.3,"Light Wind",IF(S982&lt;=0.45,"Moderate Wind","Strong Wind")))</f>
        <v>Strong Wind</v>
      </c>
      <c r="U982">
        <v>58</v>
      </c>
      <c r="V982">
        <v>94</v>
      </c>
      <c r="W982">
        <v>152</v>
      </c>
      <c r="X982" t="str">
        <f>IF(W982&lt;=75,"Low Demand",IF(W982&lt;=150,"Medium Demand",IF(W982&lt;=225,"High Demand","Very High Demand")))</f>
        <v>High Demand</v>
      </c>
    </row>
    <row r="983" spans="1:24" x14ac:dyDescent="0.25">
      <c r="A983">
        <v>982</v>
      </c>
      <c r="B983" s="2">
        <v>40587</v>
      </c>
      <c r="C983">
        <v>1</v>
      </c>
      <c r="D983">
        <v>0</v>
      </c>
      <c r="E983">
        <v>2</v>
      </c>
      <c r="F983">
        <v>13</v>
      </c>
      <c r="G983" t="str">
        <f>IF(F983&lt;6,"Night",IF(F983&lt;12,"Morning",IF(F983&lt;18,"Afternoon","Evening")))</f>
        <v>Afternoon</v>
      </c>
      <c r="H983">
        <v>0</v>
      </c>
      <c r="I983">
        <v>0</v>
      </c>
      <c r="J983" t="str">
        <f>CHOOSE(I983+1,"Monday","Tuesday","Wednesday","Thursday","Friday","Saturday","Sunday")</f>
        <v>Monday</v>
      </c>
      <c r="K983">
        <v>1</v>
      </c>
      <c r="L983" t="str">
        <f>CHOOSE(K983+1,"error","Clear","Misty","Rainy","Severe heater")</f>
        <v>Clear</v>
      </c>
      <c r="M983" s="1">
        <v>0.4</v>
      </c>
      <c r="N983" t="str">
        <f>IF(M983&lt;=0.2,"Low",IF(M983&lt;=0.4,"Mid","High"))</f>
        <v>Mid</v>
      </c>
      <c r="O983" s="1">
        <v>0.40910000000000002</v>
      </c>
      <c r="P983" t="str">
        <f>IF(O983&lt;=0.15,"Very Cold",IF(O983&lt;=0.3,"Cold",IF(O983&lt;=0.45,"Pleasant","Hot")))</f>
        <v>Pleasant</v>
      </c>
      <c r="Q983">
        <v>0.28999999999999998</v>
      </c>
      <c r="R983" t="str">
        <f>IF(Q983&lt;=0.25,"Low ",IF(Q983&lt;=0.5,"Moderate ",IF(Q983&lt;=0.75,"High ","Very High ")))</f>
        <v xml:space="preserve">Moderate </v>
      </c>
      <c r="S983">
        <v>0.35820000000000002</v>
      </c>
      <c r="T983" t="str">
        <f>IF(S983&lt;=0.15,"Calm",IF(S983&lt;=0.3,"Light Wind",IF(S983&lt;=0.45,"Moderate Wind","Strong Wind")))</f>
        <v>Moderate Wind</v>
      </c>
      <c r="U983">
        <v>62</v>
      </c>
      <c r="V983">
        <v>92</v>
      </c>
      <c r="W983">
        <v>154</v>
      </c>
      <c r="X983" t="str">
        <f>IF(W983&lt;=75,"Low Demand",IF(W983&lt;=150,"Medium Demand",IF(W983&lt;=225,"High Demand","Very High Demand")))</f>
        <v>High Demand</v>
      </c>
    </row>
    <row r="984" spans="1:24" x14ac:dyDescent="0.25">
      <c r="A984">
        <v>983</v>
      </c>
      <c r="B984" s="2">
        <v>40587</v>
      </c>
      <c r="C984">
        <v>1</v>
      </c>
      <c r="D984">
        <v>0</v>
      </c>
      <c r="E984">
        <v>2</v>
      </c>
      <c r="F984">
        <v>14</v>
      </c>
      <c r="G984" t="str">
        <f>IF(F984&lt;6,"Night",IF(F984&lt;12,"Morning",IF(F984&lt;18,"Afternoon","Evening")))</f>
        <v>Afternoon</v>
      </c>
      <c r="H984">
        <v>0</v>
      </c>
      <c r="I984">
        <v>0</v>
      </c>
      <c r="J984" t="str">
        <f>CHOOSE(I984+1,"Monday","Tuesday","Wednesday","Thursday","Friday","Saturday","Sunday")</f>
        <v>Monday</v>
      </c>
      <c r="K984">
        <v>2</v>
      </c>
      <c r="L984" t="str">
        <f>CHOOSE(K984+1,"error","Clear","Misty","Rainy","Severe heater")</f>
        <v>Misty</v>
      </c>
      <c r="M984" s="1">
        <v>0.4</v>
      </c>
      <c r="N984" t="str">
        <f>IF(M984&lt;=0.2,"Low",IF(M984&lt;=0.4,"Mid","High"))</f>
        <v>Mid</v>
      </c>
      <c r="O984" s="1">
        <v>0.40910000000000002</v>
      </c>
      <c r="P984" t="str">
        <f>IF(O984&lt;=0.15,"Very Cold",IF(O984&lt;=0.3,"Cold",IF(O984&lt;=0.45,"Pleasant","Hot")))</f>
        <v>Pleasant</v>
      </c>
      <c r="Q984">
        <v>0.3</v>
      </c>
      <c r="R984" t="str">
        <f>IF(Q984&lt;=0.25,"Low ",IF(Q984&lt;=0.5,"Moderate ",IF(Q984&lt;=0.75,"High ","Very High ")))</f>
        <v xml:space="preserve">Moderate </v>
      </c>
      <c r="S984">
        <v>0.41789999999999999</v>
      </c>
      <c r="T984" t="str">
        <f>IF(S984&lt;=0.15,"Calm",IF(S984&lt;=0.3,"Light Wind",IF(S984&lt;=0.45,"Moderate Wind","Strong Wind")))</f>
        <v>Moderate Wind</v>
      </c>
      <c r="U984">
        <v>51</v>
      </c>
      <c r="V984">
        <v>110</v>
      </c>
      <c r="W984">
        <v>161</v>
      </c>
      <c r="X984" t="str">
        <f>IF(W984&lt;=75,"Low Demand",IF(W984&lt;=150,"Medium Demand",IF(W984&lt;=225,"High Demand","Very High Demand")))</f>
        <v>High Demand</v>
      </c>
    </row>
    <row r="985" spans="1:24" x14ac:dyDescent="0.25">
      <c r="A985">
        <v>984</v>
      </c>
      <c r="B985" s="2">
        <v>40587</v>
      </c>
      <c r="C985">
        <v>1</v>
      </c>
      <c r="D985">
        <v>0</v>
      </c>
      <c r="E985">
        <v>2</v>
      </c>
      <c r="F985">
        <v>15</v>
      </c>
      <c r="G985" t="str">
        <f>IF(F985&lt;6,"Night",IF(F985&lt;12,"Morning",IF(F985&lt;18,"Afternoon","Evening")))</f>
        <v>Afternoon</v>
      </c>
      <c r="H985">
        <v>0</v>
      </c>
      <c r="I985">
        <v>0</v>
      </c>
      <c r="J985" t="str">
        <f>CHOOSE(I985+1,"Monday","Tuesday","Wednesday","Thursday","Friday","Saturday","Sunday")</f>
        <v>Monday</v>
      </c>
      <c r="K985">
        <v>2</v>
      </c>
      <c r="L985" t="str">
        <f>CHOOSE(K985+1,"error","Clear","Misty","Rainy","Severe heater")</f>
        <v>Misty</v>
      </c>
      <c r="M985" s="1">
        <v>0.38</v>
      </c>
      <c r="N985" t="str">
        <f>IF(M985&lt;=0.2,"Low",IF(M985&lt;=0.4,"Mid","High"))</f>
        <v>Mid</v>
      </c>
      <c r="O985" s="1">
        <v>0.39389999999999997</v>
      </c>
      <c r="P985" t="str">
        <f>IF(O985&lt;=0.15,"Very Cold",IF(O985&lt;=0.3,"Cold",IF(O985&lt;=0.45,"Pleasant","Hot")))</f>
        <v>Pleasant</v>
      </c>
      <c r="Q985">
        <v>0.3</v>
      </c>
      <c r="R985" t="str">
        <f>IF(Q985&lt;=0.25,"Low ",IF(Q985&lt;=0.5,"Moderate ",IF(Q985&lt;=0.75,"High ","Very High ")))</f>
        <v xml:space="preserve">Moderate </v>
      </c>
      <c r="S985">
        <v>0.29849999999999999</v>
      </c>
      <c r="T985" t="str">
        <f>IF(S985&lt;=0.15,"Calm",IF(S985&lt;=0.3,"Light Wind",IF(S985&lt;=0.45,"Moderate Wind","Strong Wind")))</f>
        <v>Light Wind</v>
      </c>
      <c r="U985">
        <v>40</v>
      </c>
      <c r="V985">
        <v>122</v>
      </c>
      <c r="W985">
        <v>162</v>
      </c>
      <c r="X985" t="str">
        <f>IF(W985&lt;=75,"Low Demand",IF(W985&lt;=150,"Medium Demand",IF(W985&lt;=225,"High Demand","Very High Demand")))</f>
        <v>High Demand</v>
      </c>
    </row>
    <row r="986" spans="1:24" x14ac:dyDescent="0.25">
      <c r="A986">
        <v>985</v>
      </c>
      <c r="B986" s="2">
        <v>40587</v>
      </c>
      <c r="C986">
        <v>1</v>
      </c>
      <c r="D986">
        <v>0</v>
      </c>
      <c r="E986">
        <v>2</v>
      </c>
      <c r="F986">
        <v>16</v>
      </c>
      <c r="G986" t="str">
        <f>IF(F986&lt;6,"Night",IF(F986&lt;12,"Morning",IF(F986&lt;18,"Afternoon","Evening")))</f>
        <v>Afternoon</v>
      </c>
      <c r="H986">
        <v>0</v>
      </c>
      <c r="I986">
        <v>0</v>
      </c>
      <c r="J986" t="str">
        <f>CHOOSE(I986+1,"Monday","Tuesday","Wednesday","Thursday","Friday","Saturday","Sunday")</f>
        <v>Monday</v>
      </c>
      <c r="K986">
        <v>2</v>
      </c>
      <c r="L986" t="str">
        <f>CHOOSE(K986+1,"error","Clear","Misty","Rainy","Severe heater")</f>
        <v>Misty</v>
      </c>
      <c r="M986" s="1">
        <v>0.38</v>
      </c>
      <c r="N986" t="str">
        <f>IF(M986&lt;=0.2,"Low",IF(M986&lt;=0.4,"Mid","High"))</f>
        <v>Mid</v>
      </c>
      <c r="O986" s="1">
        <v>0.39389999999999997</v>
      </c>
      <c r="P986" t="str">
        <f>IF(O986&lt;=0.15,"Very Cold",IF(O986&lt;=0.3,"Cold",IF(O986&lt;=0.45,"Pleasant","Hot")))</f>
        <v>Pleasant</v>
      </c>
      <c r="Q986">
        <v>0.28000000000000003</v>
      </c>
      <c r="R986" t="str">
        <f>IF(Q986&lt;=0.25,"Low ",IF(Q986&lt;=0.5,"Moderate ",IF(Q986&lt;=0.75,"High ","Very High ")))</f>
        <v xml:space="preserve">Moderate </v>
      </c>
      <c r="S986">
        <v>0.32840000000000003</v>
      </c>
      <c r="T986" t="str">
        <f>IF(S986&lt;=0.15,"Calm",IF(S986&lt;=0.3,"Light Wind",IF(S986&lt;=0.45,"Moderate Wind","Strong Wind")))</f>
        <v>Moderate Wind</v>
      </c>
      <c r="U986">
        <v>28</v>
      </c>
      <c r="V986">
        <v>106</v>
      </c>
      <c r="W986">
        <v>134</v>
      </c>
      <c r="X986" t="str">
        <f>IF(W986&lt;=75,"Low Demand",IF(W986&lt;=150,"Medium Demand",IF(W986&lt;=225,"High Demand","Very High Demand")))</f>
        <v>Medium Demand</v>
      </c>
    </row>
    <row r="987" spans="1:24" x14ac:dyDescent="0.25">
      <c r="A987">
        <v>986</v>
      </c>
      <c r="B987" s="2">
        <v>40587</v>
      </c>
      <c r="C987">
        <v>1</v>
      </c>
      <c r="D987">
        <v>0</v>
      </c>
      <c r="E987">
        <v>2</v>
      </c>
      <c r="F987">
        <v>17</v>
      </c>
      <c r="G987" t="str">
        <f>IF(F987&lt;6,"Night",IF(F987&lt;12,"Morning",IF(F987&lt;18,"Afternoon","Evening")))</f>
        <v>Afternoon</v>
      </c>
      <c r="H987">
        <v>0</v>
      </c>
      <c r="I987">
        <v>0</v>
      </c>
      <c r="J987" t="str">
        <f>CHOOSE(I987+1,"Monday","Tuesday","Wednesday","Thursday","Friday","Saturday","Sunday")</f>
        <v>Monday</v>
      </c>
      <c r="K987">
        <v>1</v>
      </c>
      <c r="L987" t="str">
        <f>CHOOSE(K987+1,"error","Clear","Misty","Rainy","Severe heater")</f>
        <v>Clear</v>
      </c>
      <c r="M987" s="1">
        <v>0.36</v>
      </c>
      <c r="N987" t="str">
        <f>IF(M987&lt;=0.2,"Low",IF(M987&lt;=0.4,"Mid","High"))</f>
        <v>Mid</v>
      </c>
      <c r="O987" s="1">
        <v>0.33329999999999999</v>
      </c>
      <c r="P987" t="str">
        <f>IF(O987&lt;=0.15,"Very Cold",IF(O987&lt;=0.3,"Cold",IF(O987&lt;=0.45,"Pleasant","Hot")))</f>
        <v>Pleasant</v>
      </c>
      <c r="Q987">
        <v>0.28000000000000003</v>
      </c>
      <c r="R987" t="str">
        <f>IF(Q987&lt;=0.25,"Low ",IF(Q987&lt;=0.5,"Moderate ",IF(Q987&lt;=0.75,"High ","Very High ")))</f>
        <v xml:space="preserve">Moderate </v>
      </c>
      <c r="S987">
        <v>0.32840000000000003</v>
      </c>
      <c r="T987" t="str">
        <f>IF(S987&lt;=0.15,"Calm",IF(S987&lt;=0.3,"Light Wind",IF(S987&lt;=0.45,"Moderate Wind","Strong Wind")))</f>
        <v>Moderate Wind</v>
      </c>
      <c r="U987">
        <v>30</v>
      </c>
      <c r="V987">
        <v>95</v>
      </c>
      <c r="W987">
        <v>125</v>
      </c>
      <c r="X987" t="str">
        <f>IF(W987&lt;=75,"Low Demand",IF(W987&lt;=150,"Medium Demand",IF(W987&lt;=225,"High Demand","Very High Demand")))</f>
        <v>Medium Demand</v>
      </c>
    </row>
    <row r="988" spans="1:24" x14ac:dyDescent="0.25">
      <c r="A988">
        <v>987</v>
      </c>
      <c r="B988" s="2">
        <v>40587</v>
      </c>
      <c r="C988">
        <v>1</v>
      </c>
      <c r="D988">
        <v>0</v>
      </c>
      <c r="E988">
        <v>2</v>
      </c>
      <c r="F988">
        <v>18</v>
      </c>
      <c r="G988" t="str">
        <f>IF(F988&lt;6,"Night",IF(F988&lt;12,"Morning",IF(F988&lt;18,"Afternoon","Evening")))</f>
        <v>Evening</v>
      </c>
      <c r="H988">
        <v>0</v>
      </c>
      <c r="I988">
        <v>0</v>
      </c>
      <c r="J988" t="str">
        <f>CHOOSE(I988+1,"Monday","Tuesday","Wednesday","Thursday","Friday","Saturday","Sunday")</f>
        <v>Monday</v>
      </c>
      <c r="K988">
        <v>1</v>
      </c>
      <c r="L988" t="str">
        <f>CHOOSE(K988+1,"error","Clear","Misty","Rainy","Severe heater")</f>
        <v>Clear</v>
      </c>
      <c r="M988" s="1">
        <v>0.34</v>
      </c>
      <c r="N988" t="str">
        <f>IF(M988&lt;=0.2,"Low",IF(M988&lt;=0.4,"Mid","High"))</f>
        <v>Mid</v>
      </c>
      <c r="O988" s="1">
        <v>0.31819999999999998</v>
      </c>
      <c r="P988" t="str">
        <f>IF(O988&lt;=0.15,"Very Cold",IF(O988&lt;=0.3,"Cold",IF(O988&lt;=0.45,"Pleasant","Hot")))</f>
        <v>Pleasant</v>
      </c>
      <c r="Q988">
        <v>0.32</v>
      </c>
      <c r="R988" t="str">
        <f>IF(Q988&lt;=0.25,"Low ",IF(Q988&lt;=0.5,"Moderate ",IF(Q988&lt;=0.75,"High ","Very High ")))</f>
        <v xml:space="preserve">Moderate </v>
      </c>
      <c r="S988">
        <v>0.29849999999999999</v>
      </c>
      <c r="T988" t="str">
        <f>IF(S988&lt;=0.15,"Calm",IF(S988&lt;=0.3,"Light Wind",IF(S988&lt;=0.45,"Moderate Wind","Strong Wind")))</f>
        <v>Light Wind</v>
      </c>
      <c r="U988">
        <v>17</v>
      </c>
      <c r="V988">
        <v>78</v>
      </c>
      <c r="W988">
        <v>95</v>
      </c>
      <c r="X988" t="str">
        <f>IF(W988&lt;=75,"Low Demand",IF(W988&lt;=150,"Medium Demand",IF(W988&lt;=225,"High Demand","Very High Demand")))</f>
        <v>Medium Demand</v>
      </c>
    </row>
    <row r="989" spans="1:24" x14ac:dyDescent="0.25">
      <c r="A989">
        <v>988</v>
      </c>
      <c r="B989" s="2">
        <v>40587</v>
      </c>
      <c r="C989">
        <v>1</v>
      </c>
      <c r="D989">
        <v>0</v>
      </c>
      <c r="E989">
        <v>2</v>
      </c>
      <c r="F989">
        <v>19</v>
      </c>
      <c r="G989" t="str">
        <f>IF(F989&lt;6,"Night",IF(F989&lt;12,"Morning",IF(F989&lt;18,"Afternoon","Evening")))</f>
        <v>Evening</v>
      </c>
      <c r="H989">
        <v>0</v>
      </c>
      <c r="I989">
        <v>0</v>
      </c>
      <c r="J989" t="str">
        <f>CHOOSE(I989+1,"Monday","Tuesday","Wednesday","Thursday","Friday","Saturday","Sunday")</f>
        <v>Monday</v>
      </c>
      <c r="K989">
        <v>1</v>
      </c>
      <c r="L989" t="str">
        <f>CHOOSE(K989+1,"error","Clear","Misty","Rainy","Severe heater")</f>
        <v>Clear</v>
      </c>
      <c r="M989" s="1">
        <v>0.32</v>
      </c>
      <c r="N989" t="str">
        <f>IF(M989&lt;=0.2,"Low",IF(M989&lt;=0.4,"Mid","High"))</f>
        <v>Mid</v>
      </c>
      <c r="O989" s="1">
        <v>0.30299999999999999</v>
      </c>
      <c r="P989" t="str">
        <f>IF(O989&lt;=0.15,"Very Cold",IF(O989&lt;=0.3,"Cold",IF(O989&lt;=0.45,"Pleasant","Hot")))</f>
        <v>Pleasant</v>
      </c>
      <c r="Q989">
        <v>0.35</v>
      </c>
      <c r="R989" t="str">
        <f>IF(Q989&lt;=0.25,"Low ",IF(Q989&lt;=0.5,"Moderate ",IF(Q989&lt;=0.75,"High ","Very High ")))</f>
        <v xml:space="preserve">Moderate </v>
      </c>
      <c r="S989">
        <v>0.28360000000000002</v>
      </c>
      <c r="T989" t="str">
        <f>IF(S989&lt;=0.15,"Calm",IF(S989&lt;=0.3,"Light Wind",IF(S989&lt;=0.45,"Moderate Wind","Strong Wind")))</f>
        <v>Light Wind</v>
      </c>
      <c r="U989">
        <v>11</v>
      </c>
      <c r="V989">
        <v>50</v>
      </c>
      <c r="W989">
        <v>61</v>
      </c>
      <c r="X989" t="str">
        <f>IF(W989&lt;=75,"Low Demand",IF(W989&lt;=150,"Medium Demand",IF(W989&lt;=225,"High Demand","Very High Demand")))</f>
        <v>Low Demand</v>
      </c>
    </row>
    <row r="990" spans="1:24" x14ac:dyDescent="0.25">
      <c r="A990">
        <v>989</v>
      </c>
      <c r="B990" s="2">
        <v>40587</v>
      </c>
      <c r="C990">
        <v>1</v>
      </c>
      <c r="D990">
        <v>0</v>
      </c>
      <c r="E990">
        <v>2</v>
      </c>
      <c r="F990">
        <v>20</v>
      </c>
      <c r="G990" t="str">
        <f>IF(F990&lt;6,"Night",IF(F990&lt;12,"Morning",IF(F990&lt;18,"Afternoon","Evening")))</f>
        <v>Evening</v>
      </c>
      <c r="H990">
        <v>0</v>
      </c>
      <c r="I990">
        <v>0</v>
      </c>
      <c r="J990" t="str">
        <f>CHOOSE(I990+1,"Monday","Tuesday","Wednesday","Thursday","Friday","Saturday","Sunday")</f>
        <v>Monday</v>
      </c>
      <c r="K990">
        <v>1</v>
      </c>
      <c r="L990" t="str">
        <f>CHOOSE(K990+1,"error","Clear","Misty","Rainy","Severe heater")</f>
        <v>Clear</v>
      </c>
      <c r="M990" s="1">
        <v>0.32</v>
      </c>
      <c r="N990" t="str">
        <f>IF(M990&lt;=0.2,"Low",IF(M990&lt;=0.4,"Mid","High"))</f>
        <v>Mid</v>
      </c>
      <c r="O990" s="1">
        <v>0.30299999999999999</v>
      </c>
      <c r="P990" t="str">
        <f>IF(O990&lt;=0.15,"Very Cold",IF(O990&lt;=0.3,"Cold",IF(O990&lt;=0.45,"Pleasant","Hot")))</f>
        <v>Pleasant</v>
      </c>
      <c r="Q990">
        <v>0.35</v>
      </c>
      <c r="R990" t="str">
        <f>IF(Q990&lt;=0.25,"Low ",IF(Q990&lt;=0.5,"Moderate ",IF(Q990&lt;=0.75,"High ","Very High ")))</f>
        <v xml:space="preserve">Moderate </v>
      </c>
      <c r="S990">
        <v>0.32840000000000003</v>
      </c>
      <c r="T990" t="str">
        <f>IF(S990&lt;=0.15,"Calm",IF(S990&lt;=0.3,"Light Wind",IF(S990&lt;=0.45,"Moderate Wind","Strong Wind")))</f>
        <v>Moderate Wind</v>
      </c>
      <c r="U990">
        <v>15</v>
      </c>
      <c r="V990">
        <v>32</v>
      </c>
      <c r="W990">
        <v>47</v>
      </c>
      <c r="X990" t="str">
        <f>IF(W990&lt;=75,"Low Demand",IF(W990&lt;=150,"Medium Demand",IF(W990&lt;=225,"High Demand","Very High Demand")))</f>
        <v>Low Demand</v>
      </c>
    </row>
    <row r="991" spans="1:24" x14ac:dyDescent="0.25">
      <c r="A991">
        <v>990</v>
      </c>
      <c r="B991" s="2">
        <v>40587</v>
      </c>
      <c r="C991">
        <v>1</v>
      </c>
      <c r="D991">
        <v>0</v>
      </c>
      <c r="E991">
        <v>2</v>
      </c>
      <c r="F991">
        <v>21</v>
      </c>
      <c r="G991" t="str">
        <f>IF(F991&lt;6,"Night",IF(F991&lt;12,"Morning",IF(F991&lt;18,"Afternoon","Evening")))</f>
        <v>Evening</v>
      </c>
      <c r="H991">
        <v>0</v>
      </c>
      <c r="I991">
        <v>0</v>
      </c>
      <c r="J991" t="str">
        <f>CHOOSE(I991+1,"Monday","Tuesday","Wednesday","Thursday","Friday","Saturday","Sunday")</f>
        <v>Monday</v>
      </c>
      <c r="K991">
        <v>1</v>
      </c>
      <c r="L991" t="str">
        <f>CHOOSE(K991+1,"error","Clear","Misty","Rainy","Severe heater")</f>
        <v>Clear</v>
      </c>
      <c r="M991" s="1">
        <v>0.34</v>
      </c>
      <c r="N991" t="str">
        <f>IF(M991&lt;=0.2,"Low",IF(M991&lt;=0.4,"Mid","High"))</f>
        <v>Mid</v>
      </c>
      <c r="O991" s="1">
        <v>0.30299999999999999</v>
      </c>
      <c r="P991" t="str">
        <f>IF(O991&lt;=0.15,"Very Cold",IF(O991&lt;=0.3,"Cold",IF(O991&lt;=0.45,"Pleasant","Hot")))</f>
        <v>Pleasant</v>
      </c>
      <c r="Q991">
        <v>0.35</v>
      </c>
      <c r="R991" t="str">
        <f>IF(Q991&lt;=0.25,"Low ",IF(Q991&lt;=0.5,"Moderate ",IF(Q991&lt;=0.75,"High ","Very High ")))</f>
        <v xml:space="preserve">Moderate </v>
      </c>
      <c r="S991">
        <v>0.35820000000000002</v>
      </c>
      <c r="T991" t="str">
        <f>IF(S991&lt;=0.15,"Calm",IF(S991&lt;=0.3,"Light Wind",IF(S991&lt;=0.45,"Moderate Wind","Strong Wind")))</f>
        <v>Moderate Wind</v>
      </c>
      <c r="U991">
        <v>6</v>
      </c>
      <c r="V991">
        <v>45</v>
      </c>
      <c r="W991">
        <v>51</v>
      </c>
      <c r="X991" t="str">
        <f>IF(W991&lt;=75,"Low Demand",IF(W991&lt;=150,"Medium Demand",IF(W991&lt;=225,"High Demand","Very High Demand")))</f>
        <v>Low Demand</v>
      </c>
    </row>
    <row r="992" spans="1:24" x14ac:dyDescent="0.25">
      <c r="A992">
        <v>991</v>
      </c>
      <c r="B992" s="2">
        <v>40587</v>
      </c>
      <c r="C992">
        <v>1</v>
      </c>
      <c r="D992">
        <v>0</v>
      </c>
      <c r="E992">
        <v>2</v>
      </c>
      <c r="F992">
        <v>22</v>
      </c>
      <c r="G992" t="str">
        <f>IF(F992&lt;6,"Night",IF(F992&lt;12,"Morning",IF(F992&lt;18,"Afternoon","Evening")))</f>
        <v>Evening</v>
      </c>
      <c r="H992">
        <v>0</v>
      </c>
      <c r="I992">
        <v>0</v>
      </c>
      <c r="J992" t="str">
        <f>CHOOSE(I992+1,"Monday","Tuesday","Wednesday","Thursday","Friday","Saturday","Sunday")</f>
        <v>Monday</v>
      </c>
      <c r="K992">
        <v>1</v>
      </c>
      <c r="L992" t="str">
        <f>CHOOSE(K992+1,"error","Clear","Misty","Rainy","Severe heater")</f>
        <v>Clear</v>
      </c>
      <c r="M992" s="1">
        <v>0.34</v>
      </c>
      <c r="N992" t="str">
        <f>IF(M992&lt;=0.2,"Low",IF(M992&lt;=0.4,"Mid","High"))</f>
        <v>Mid</v>
      </c>
      <c r="O992" s="1">
        <v>0.30299999999999999</v>
      </c>
      <c r="P992" t="str">
        <f>IF(O992&lt;=0.15,"Very Cold",IF(O992&lt;=0.3,"Cold",IF(O992&lt;=0.45,"Pleasant","Hot")))</f>
        <v>Pleasant</v>
      </c>
      <c r="Q992">
        <v>0.35</v>
      </c>
      <c r="R992" t="str">
        <f>IF(Q992&lt;=0.25,"Low ",IF(Q992&lt;=0.5,"Moderate ",IF(Q992&lt;=0.75,"High ","Very High ")))</f>
        <v xml:space="preserve">Moderate </v>
      </c>
      <c r="S992">
        <v>0.29849999999999999</v>
      </c>
      <c r="T992" t="str">
        <f>IF(S992&lt;=0.15,"Calm",IF(S992&lt;=0.3,"Light Wind",IF(S992&lt;=0.45,"Moderate Wind","Strong Wind")))</f>
        <v>Light Wind</v>
      </c>
      <c r="U992">
        <v>5</v>
      </c>
      <c r="V992">
        <v>31</v>
      </c>
      <c r="W992">
        <v>36</v>
      </c>
      <c r="X992" t="str">
        <f>IF(W992&lt;=75,"Low Demand",IF(W992&lt;=150,"Medium Demand",IF(W992&lt;=225,"High Demand","Very High Demand")))</f>
        <v>Low Demand</v>
      </c>
    </row>
    <row r="993" spans="1:24" x14ac:dyDescent="0.25">
      <c r="A993">
        <v>992</v>
      </c>
      <c r="B993" s="2">
        <v>40587</v>
      </c>
      <c r="C993">
        <v>1</v>
      </c>
      <c r="D993">
        <v>0</v>
      </c>
      <c r="E993">
        <v>2</v>
      </c>
      <c r="F993">
        <v>23</v>
      </c>
      <c r="G993" t="str">
        <f>IF(F993&lt;6,"Night",IF(F993&lt;12,"Morning",IF(F993&lt;18,"Afternoon","Evening")))</f>
        <v>Evening</v>
      </c>
      <c r="H993">
        <v>0</v>
      </c>
      <c r="I993">
        <v>0</v>
      </c>
      <c r="J993" t="str">
        <f>CHOOSE(I993+1,"Monday","Tuesday","Wednesday","Thursday","Friday","Saturday","Sunday")</f>
        <v>Monday</v>
      </c>
      <c r="K993">
        <v>1</v>
      </c>
      <c r="L993" t="str">
        <f>CHOOSE(K993+1,"error","Clear","Misty","Rainy","Severe heater")</f>
        <v>Clear</v>
      </c>
      <c r="M993" s="1">
        <v>0.22</v>
      </c>
      <c r="N993" t="str">
        <f>IF(M993&lt;=0.2,"Low",IF(M993&lt;=0.4,"Mid","High"))</f>
        <v>Mid</v>
      </c>
      <c r="O993" s="1">
        <v>0.2727</v>
      </c>
      <c r="P993" t="str">
        <f>IF(O993&lt;=0.15,"Very Cold",IF(O993&lt;=0.3,"Cold",IF(O993&lt;=0.45,"Pleasant","Hot")))</f>
        <v>Cold</v>
      </c>
      <c r="Q993">
        <v>0.35</v>
      </c>
      <c r="R993" t="str">
        <f>IF(Q993&lt;=0.25,"Low ",IF(Q993&lt;=0.5,"Moderate ",IF(Q993&lt;=0.75,"High ","Very High ")))</f>
        <v xml:space="preserve">Moderate </v>
      </c>
      <c r="S993">
        <v>0.35820000000000002</v>
      </c>
      <c r="T993" t="str">
        <f>IF(S993&lt;=0.15,"Calm",IF(S993&lt;=0.3,"Light Wind",IF(S993&lt;=0.45,"Moderate Wind","Strong Wind")))</f>
        <v>Moderate Wind</v>
      </c>
      <c r="U993">
        <v>3</v>
      </c>
      <c r="V993">
        <v>27</v>
      </c>
      <c r="W993">
        <v>30</v>
      </c>
      <c r="X993" t="str">
        <f>IF(W993&lt;=75,"Low Demand",IF(W993&lt;=150,"Medium Demand",IF(W993&lt;=225,"High Demand","Very High Demand")))</f>
        <v>Low Demand</v>
      </c>
    </row>
    <row r="994" spans="1:24" x14ac:dyDescent="0.25">
      <c r="A994">
        <v>993</v>
      </c>
      <c r="B994" s="2">
        <v>40588</v>
      </c>
      <c r="C994">
        <v>1</v>
      </c>
      <c r="D994">
        <v>0</v>
      </c>
      <c r="E994">
        <v>2</v>
      </c>
      <c r="F994">
        <v>0</v>
      </c>
      <c r="G994" t="str">
        <f>IF(F994&lt;6,"Night",IF(F994&lt;12,"Morning",IF(F994&lt;18,"Afternoon","Evening")))</f>
        <v>Night</v>
      </c>
      <c r="H994">
        <v>0</v>
      </c>
      <c r="I994">
        <v>1</v>
      </c>
      <c r="J994" t="str">
        <f>CHOOSE(I994+1,"Monday","Tuesday","Wednesday","Thursday","Friday","Saturday","Sunday")</f>
        <v>Tuesday</v>
      </c>
      <c r="K994">
        <v>1</v>
      </c>
      <c r="L994" t="str">
        <f>CHOOSE(K994+1,"error","Clear","Misty","Rainy","Severe heater")</f>
        <v>Clear</v>
      </c>
      <c r="M994" s="1">
        <v>0.24</v>
      </c>
      <c r="N994" t="str">
        <f>IF(M994&lt;=0.2,"Low",IF(M994&lt;=0.4,"Mid","High"))</f>
        <v>Mid</v>
      </c>
      <c r="O994" s="1">
        <v>0.2424</v>
      </c>
      <c r="P994" t="str">
        <f>IF(O994&lt;=0.15,"Very Cold",IF(O994&lt;=0.3,"Cold",IF(O994&lt;=0.45,"Pleasant","Hot")))</f>
        <v>Cold</v>
      </c>
      <c r="Q994">
        <v>0.37</v>
      </c>
      <c r="R994" t="str">
        <f>IF(Q994&lt;=0.25,"Low ",IF(Q994&lt;=0.5,"Moderate ",IF(Q994&lt;=0.75,"High ","Very High ")))</f>
        <v xml:space="preserve">Moderate </v>
      </c>
      <c r="S994">
        <v>0.35820000000000002</v>
      </c>
      <c r="T994" t="str">
        <f>IF(S994&lt;=0.15,"Calm",IF(S994&lt;=0.3,"Light Wind",IF(S994&lt;=0.45,"Moderate Wind","Strong Wind")))</f>
        <v>Moderate Wind</v>
      </c>
      <c r="U994">
        <v>3</v>
      </c>
      <c r="V994">
        <v>8</v>
      </c>
      <c r="W994">
        <v>11</v>
      </c>
      <c r="X994" t="str">
        <f>IF(W994&lt;=75,"Low Demand",IF(W994&lt;=150,"Medium Demand",IF(W994&lt;=225,"High Demand","Very High Demand")))</f>
        <v>Low Demand</v>
      </c>
    </row>
    <row r="995" spans="1:24" x14ac:dyDescent="0.25">
      <c r="A995">
        <v>994</v>
      </c>
      <c r="B995" s="2">
        <v>40588</v>
      </c>
      <c r="C995">
        <v>1</v>
      </c>
      <c r="D995">
        <v>0</v>
      </c>
      <c r="E995">
        <v>2</v>
      </c>
      <c r="F995">
        <v>1</v>
      </c>
      <c r="G995" t="str">
        <f>IF(F995&lt;6,"Night",IF(F995&lt;12,"Morning",IF(F995&lt;18,"Afternoon","Evening")))</f>
        <v>Night</v>
      </c>
      <c r="H995">
        <v>0</v>
      </c>
      <c r="I995">
        <v>1</v>
      </c>
      <c r="J995" t="str">
        <f>CHOOSE(I995+1,"Monday","Tuesday","Wednesday","Thursday","Friday","Saturday","Sunday")</f>
        <v>Tuesday</v>
      </c>
      <c r="K995">
        <v>1</v>
      </c>
      <c r="L995" t="str">
        <f>CHOOSE(K995+1,"error","Clear","Misty","Rainy","Severe heater")</f>
        <v>Clear</v>
      </c>
      <c r="M995" s="1">
        <v>0.24</v>
      </c>
      <c r="N995" t="str">
        <f>IF(M995&lt;=0.2,"Low",IF(M995&lt;=0.4,"Mid","High"))</f>
        <v>Mid</v>
      </c>
      <c r="O995" s="1">
        <v>0.2273</v>
      </c>
      <c r="P995" t="str">
        <f>IF(O995&lt;=0.15,"Very Cold",IF(O995&lt;=0.3,"Cold",IF(O995&lt;=0.45,"Pleasant","Hot")))</f>
        <v>Cold</v>
      </c>
      <c r="Q995">
        <v>0.37</v>
      </c>
      <c r="R995" t="str">
        <f>IF(Q995&lt;=0.25,"Low ",IF(Q995&lt;=0.5,"Moderate ",IF(Q995&lt;=0.75,"High ","Very High ")))</f>
        <v xml:space="preserve">Moderate </v>
      </c>
      <c r="S995">
        <v>0.35820000000000002</v>
      </c>
      <c r="T995" t="str">
        <f>IF(S995&lt;=0.15,"Calm",IF(S995&lt;=0.3,"Light Wind",IF(S995&lt;=0.45,"Moderate Wind","Strong Wind")))</f>
        <v>Moderate Wind</v>
      </c>
      <c r="U995">
        <v>1</v>
      </c>
      <c r="V995">
        <v>6</v>
      </c>
      <c r="W995">
        <v>7</v>
      </c>
      <c r="X995" t="str">
        <f>IF(W995&lt;=75,"Low Demand",IF(W995&lt;=150,"Medium Demand",IF(W995&lt;=225,"High Demand","Very High Demand")))</f>
        <v>Low Demand</v>
      </c>
    </row>
    <row r="996" spans="1:24" x14ac:dyDescent="0.25">
      <c r="A996">
        <v>995</v>
      </c>
      <c r="B996" s="2">
        <v>40588</v>
      </c>
      <c r="C996">
        <v>1</v>
      </c>
      <c r="D996">
        <v>0</v>
      </c>
      <c r="E996">
        <v>2</v>
      </c>
      <c r="F996">
        <v>2</v>
      </c>
      <c r="G996" t="str">
        <f>IF(F996&lt;6,"Night",IF(F996&lt;12,"Morning",IF(F996&lt;18,"Afternoon","Evening")))</f>
        <v>Night</v>
      </c>
      <c r="H996">
        <v>0</v>
      </c>
      <c r="I996">
        <v>1</v>
      </c>
      <c r="J996" t="str">
        <f>CHOOSE(I996+1,"Monday","Tuesday","Wednesday","Thursday","Friday","Saturday","Sunday")</f>
        <v>Tuesday</v>
      </c>
      <c r="K996">
        <v>1</v>
      </c>
      <c r="L996" t="str">
        <f>CHOOSE(K996+1,"error","Clear","Misty","Rainy","Severe heater")</f>
        <v>Clear</v>
      </c>
      <c r="M996" s="1">
        <v>0.24</v>
      </c>
      <c r="N996" t="str">
        <f>IF(M996&lt;=0.2,"Low",IF(M996&lt;=0.4,"Mid","High"))</f>
        <v>Mid</v>
      </c>
      <c r="O996" s="1">
        <v>0.2424</v>
      </c>
      <c r="P996" t="str">
        <f>IF(O996&lt;=0.15,"Very Cold",IF(O996&lt;=0.3,"Cold",IF(O996&lt;=0.45,"Pleasant","Hot")))</f>
        <v>Cold</v>
      </c>
      <c r="Q996">
        <v>0.4</v>
      </c>
      <c r="R996" t="str">
        <f>IF(Q996&lt;=0.25,"Low ",IF(Q996&lt;=0.5,"Moderate ",IF(Q996&lt;=0.75,"High ","Very High ")))</f>
        <v xml:space="preserve">Moderate </v>
      </c>
      <c r="S996">
        <v>0.29849999999999999</v>
      </c>
      <c r="T996" t="str">
        <f>IF(S996&lt;=0.15,"Calm",IF(S996&lt;=0.3,"Light Wind",IF(S996&lt;=0.45,"Moderate Wind","Strong Wind")))</f>
        <v>Light Wind</v>
      </c>
      <c r="U996">
        <v>0</v>
      </c>
      <c r="V996">
        <v>2</v>
      </c>
      <c r="W996">
        <v>2</v>
      </c>
      <c r="X996" t="str">
        <f>IF(W996&lt;=75,"Low Demand",IF(W996&lt;=150,"Medium Demand",IF(W996&lt;=225,"High Demand","Very High Demand")))</f>
        <v>Low Demand</v>
      </c>
    </row>
    <row r="997" spans="1:24" x14ac:dyDescent="0.25">
      <c r="A997">
        <v>996</v>
      </c>
      <c r="B997" s="2">
        <v>40588</v>
      </c>
      <c r="C997">
        <v>1</v>
      </c>
      <c r="D997">
        <v>0</v>
      </c>
      <c r="E997">
        <v>2</v>
      </c>
      <c r="F997">
        <v>3</v>
      </c>
      <c r="G997" t="str">
        <f>IF(F997&lt;6,"Night",IF(F997&lt;12,"Morning",IF(F997&lt;18,"Afternoon","Evening")))</f>
        <v>Night</v>
      </c>
      <c r="H997">
        <v>0</v>
      </c>
      <c r="I997">
        <v>1</v>
      </c>
      <c r="J997" t="str">
        <f>CHOOSE(I997+1,"Monday","Tuesday","Wednesday","Thursday","Friday","Saturday","Sunday")</f>
        <v>Tuesday</v>
      </c>
      <c r="K997">
        <v>1</v>
      </c>
      <c r="L997" t="str">
        <f>CHOOSE(K997+1,"error","Clear","Misty","Rainy","Severe heater")</f>
        <v>Clear</v>
      </c>
      <c r="M997" s="1">
        <v>0.24</v>
      </c>
      <c r="N997" t="str">
        <f>IF(M997&lt;=0.2,"Low",IF(M997&lt;=0.4,"Mid","High"))</f>
        <v>Mid</v>
      </c>
      <c r="O997" s="1">
        <v>0.2273</v>
      </c>
      <c r="P997" t="str">
        <f>IF(O997&lt;=0.15,"Very Cold",IF(O997&lt;=0.3,"Cold",IF(O997&lt;=0.45,"Pleasant","Hot")))</f>
        <v>Cold</v>
      </c>
      <c r="Q997">
        <v>0.46</v>
      </c>
      <c r="R997" t="str">
        <f>IF(Q997&lt;=0.25,"Low ",IF(Q997&lt;=0.5,"Moderate ",IF(Q997&lt;=0.75,"High ","Very High ")))</f>
        <v xml:space="preserve">Moderate </v>
      </c>
      <c r="S997">
        <v>0.22389999999999999</v>
      </c>
      <c r="T997" t="str">
        <f>IF(S997&lt;=0.15,"Calm",IF(S997&lt;=0.3,"Light Wind",IF(S997&lt;=0.45,"Moderate Wind","Strong Wind")))</f>
        <v>Light Wind</v>
      </c>
      <c r="U997">
        <v>1</v>
      </c>
      <c r="V997">
        <v>1</v>
      </c>
      <c r="W997">
        <v>2</v>
      </c>
      <c r="X997" t="str">
        <f>IF(W997&lt;=75,"Low Demand",IF(W997&lt;=150,"Medium Demand",IF(W997&lt;=225,"High Demand","Very High Demand")))</f>
        <v>Low Demand</v>
      </c>
    </row>
    <row r="998" spans="1:24" x14ac:dyDescent="0.25">
      <c r="A998">
        <v>997</v>
      </c>
      <c r="B998" s="2">
        <v>40588</v>
      </c>
      <c r="C998">
        <v>1</v>
      </c>
      <c r="D998">
        <v>0</v>
      </c>
      <c r="E998">
        <v>2</v>
      </c>
      <c r="F998">
        <v>4</v>
      </c>
      <c r="G998" t="str">
        <f>IF(F998&lt;6,"Night",IF(F998&lt;12,"Morning",IF(F998&lt;18,"Afternoon","Evening")))</f>
        <v>Night</v>
      </c>
      <c r="H998">
        <v>0</v>
      </c>
      <c r="I998">
        <v>1</v>
      </c>
      <c r="J998" t="str">
        <f>CHOOSE(I998+1,"Monday","Tuesday","Wednesday","Thursday","Friday","Saturday","Sunday")</f>
        <v>Tuesday</v>
      </c>
      <c r="K998">
        <v>1</v>
      </c>
      <c r="L998" t="str">
        <f>CHOOSE(K998+1,"error","Clear","Misty","Rainy","Severe heater")</f>
        <v>Clear</v>
      </c>
      <c r="M998" s="1">
        <v>0.22</v>
      </c>
      <c r="N998" t="str">
        <f>IF(M998&lt;=0.2,"Low",IF(M998&lt;=0.4,"Mid","High"))</f>
        <v>Mid</v>
      </c>
      <c r="O998" s="1">
        <v>0.2273</v>
      </c>
      <c r="P998" t="str">
        <f>IF(O998&lt;=0.15,"Very Cold",IF(O998&lt;=0.3,"Cold",IF(O998&lt;=0.45,"Pleasant","Hot")))</f>
        <v>Cold</v>
      </c>
      <c r="Q998">
        <v>0.53</v>
      </c>
      <c r="R998" t="str">
        <f>IF(Q998&lt;=0.25,"Low ",IF(Q998&lt;=0.5,"Moderate ",IF(Q998&lt;=0.75,"High ","Very High ")))</f>
        <v xml:space="preserve">High </v>
      </c>
      <c r="S998">
        <v>0.28360000000000002</v>
      </c>
      <c r="T998" t="str">
        <f>IF(S998&lt;=0.15,"Calm",IF(S998&lt;=0.3,"Light Wind",IF(S998&lt;=0.45,"Moderate Wind","Strong Wind")))</f>
        <v>Light Wind</v>
      </c>
      <c r="U998">
        <v>0</v>
      </c>
      <c r="V998">
        <v>2</v>
      </c>
      <c r="W998">
        <v>2</v>
      </c>
      <c r="X998" t="str">
        <f>IF(W998&lt;=75,"Low Demand",IF(W998&lt;=150,"Medium Demand",IF(W998&lt;=225,"High Demand","Very High Demand")))</f>
        <v>Low Demand</v>
      </c>
    </row>
    <row r="999" spans="1:24" x14ac:dyDescent="0.25">
      <c r="A999">
        <v>998</v>
      </c>
      <c r="B999" s="2">
        <v>40588</v>
      </c>
      <c r="C999">
        <v>1</v>
      </c>
      <c r="D999">
        <v>0</v>
      </c>
      <c r="E999">
        <v>2</v>
      </c>
      <c r="F999">
        <v>5</v>
      </c>
      <c r="G999" t="str">
        <f>IF(F999&lt;6,"Night",IF(F999&lt;12,"Morning",IF(F999&lt;18,"Afternoon","Evening")))</f>
        <v>Night</v>
      </c>
      <c r="H999">
        <v>0</v>
      </c>
      <c r="I999">
        <v>1</v>
      </c>
      <c r="J999" t="str">
        <f>CHOOSE(I999+1,"Monday","Tuesday","Wednesday","Thursday","Friday","Saturday","Sunday")</f>
        <v>Tuesday</v>
      </c>
      <c r="K999">
        <v>1</v>
      </c>
      <c r="L999" t="str">
        <f>CHOOSE(K999+1,"error","Clear","Misty","Rainy","Severe heater")</f>
        <v>Clear</v>
      </c>
      <c r="M999" s="1">
        <v>0.24</v>
      </c>
      <c r="N999" t="str">
        <f>IF(M999&lt;=0.2,"Low",IF(M999&lt;=0.4,"Mid","High"))</f>
        <v>Mid</v>
      </c>
      <c r="O999" s="1">
        <v>0.21210000000000001</v>
      </c>
      <c r="P999" t="str">
        <f>IF(O999&lt;=0.15,"Very Cold",IF(O999&lt;=0.3,"Cold",IF(O999&lt;=0.45,"Pleasant","Hot")))</f>
        <v>Cold</v>
      </c>
      <c r="Q999">
        <v>0.53</v>
      </c>
      <c r="R999" t="str">
        <f>IF(Q999&lt;=0.25,"Low ",IF(Q999&lt;=0.5,"Moderate ",IF(Q999&lt;=0.75,"High ","Very High ")))</f>
        <v xml:space="preserve">High </v>
      </c>
      <c r="S999">
        <v>0.28360000000000002</v>
      </c>
      <c r="T999" t="str">
        <f>IF(S999&lt;=0.15,"Calm",IF(S999&lt;=0.3,"Light Wind",IF(S999&lt;=0.45,"Moderate Wind","Strong Wind")))</f>
        <v>Light Wind</v>
      </c>
      <c r="U999">
        <v>0</v>
      </c>
      <c r="V999">
        <v>3</v>
      </c>
      <c r="W999">
        <v>3</v>
      </c>
      <c r="X999" t="str">
        <f>IF(W999&lt;=75,"Low Demand",IF(W999&lt;=150,"Medium Demand",IF(W999&lt;=225,"High Demand","Very High Demand")))</f>
        <v>Low Demand</v>
      </c>
    </row>
    <row r="1000" spans="1:24" x14ac:dyDescent="0.25">
      <c r="A1000">
        <v>999</v>
      </c>
      <c r="B1000" s="2">
        <v>40588</v>
      </c>
      <c r="C1000">
        <v>1</v>
      </c>
      <c r="D1000">
        <v>0</v>
      </c>
      <c r="E1000">
        <v>2</v>
      </c>
      <c r="F1000">
        <v>6</v>
      </c>
      <c r="G1000" t="str">
        <f>IF(F1000&lt;6,"Night",IF(F1000&lt;12,"Morning",IF(F1000&lt;18,"Afternoon","Evening")))</f>
        <v>Morning</v>
      </c>
      <c r="H1000">
        <v>0</v>
      </c>
      <c r="I1000">
        <v>1</v>
      </c>
      <c r="J1000" t="str">
        <f>CHOOSE(I1000+1,"Monday","Tuesday","Wednesday","Thursday","Friday","Saturday","Sunday")</f>
        <v>Tuesday</v>
      </c>
      <c r="K1000">
        <v>1</v>
      </c>
      <c r="L1000" t="str">
        <f>CHOOSE(K1000+1,"error","Clear","Misty","Rainy","Severe heater")</f>
        <v>Clear</v>
      </c>
      <c r="M1000" s="1">
        <v>0.24</v>
      </c>
      <c r="N1000" t="str">
        <f>IF(M1000&lt;=0.2,"Low",IF(M1000&lt;=0.4,"Mid","High"))</f>
        <v>Mid</v>
      </c>
      <c r="O1000" s="1">
        <v>0.2273</v>
      </c>
      <c r="P1000" t="str">
        <f>IF(O1000&lt;=0.15,"Very Cold",IF(O1000&lt;=0.3,"Cold",IF(O1000&lt;=0.45,"Pleasant","Hot")))</f>
        <v>Cold</v>
      </c>
      <c r="Q1000">
        <v>0.46</v>
      </c>
      <c r="R1000" t="str">
        <f>IF(Q1000&lt;=0.25,"Low ",IF(Q1000&lt;=0.5,"Moderate ",IF(Q1000&lt;=0.75,"High ","Very High ")))</f>
        <v xml:space="preserve">Moderate </v>
      </c>
      <c r="S1000">
        <v>0.29849999999999999</v>
      </c>
      <c r="T1000" t="str">
        <f>IF(S1000&lt;=0.15,"Calm",IF(S1000&lt;=0.3,"Light Wind",IF(S1000&lt;=0.45,"Moderate Wind","Strong Wind")))</f>
        <v>Light Wind</v>
      </c>
      <c r="U1000">
        <v>1</v>
      </c>
      <c r="V1000">
        <v>25</v>
      </c>
      <c r="W1000">
        <v>26</v>
      </c>
      <c r="X1000" t="str">
        <f>IF(W1000&lt;=75,"Low Demand",IF(W1000&lt;=150,"Medium Demand",IF(W1000&lt;=225,"High Demand","Very High Demand")))</f>
        <v>Low Demand</v>
      </c>
    </row>
    <row r="1001" spans="1:24" x14ac:dyDescent="0.25">
      <c r="A1001">
        <v>1000</v>
      </c>
      <c r="B1001" s="2">
        <v>40588</v>
      </c>
      <c r="C1001">
        <v>1</v>
      </c>
      <c r="D1001">
        <v>0</v>
      </c>
      <c r="E1001">
        <v>2</v>
      </c>
      <c r="F1001">
        <v>7</v>
      </c>
      <c r="G1001" t="str">
        <f>IF(F1001&lt;6,"Night",IF(F1001&lt;12,"Morning",IF(F1001&lt;18,"Afternoon","Evening")))</f>
        <v>Morning</v>
      </c>
      <c r="H1001">
        <v>0</v>
      </c>
      <c r="I1001">
        <v>1</v>
      </c>
      <c r="J1001" t="str">
        <f>CHOOSE(I1001+1,"Monday","Tuesday","Wednesday","Thursday","Friday","Saturday","Sunday")</f>
        <v>Tuesday</v>
      </c>
      <c r="K1001">
        <v>1</v>
      </c>
      <c r="L1001" t="str">
        <f>CHOOSE(K1001+1,"error","Clear","Misty","Rainy","Severe heater")</f>
        <v>Clear</v>
      </c>
      <c r="M1001" s="1">
        <v>0.22</v>
      </c>
      <c r="N1001" t="str">
        <f>IF(M1001&lt;=0.2,"Low",IF(M1001&lt;=0.4,"Mid","High"))</f>
        <v>Mid</v>
      </c>
      <c r="O1001" s="1">
        <v>0.19700000000000001</v>
      </c>
      <c r="P1001" t="str">
        <f>IF(O1001&lt;=0.15,"Very Cold",IF(O1001&lt;=0.3,"Cold",IF(O1001&lt;=0.45,"Pleasant","Hot")))</f>
        <v>Cold</v>
      </c>
      <c r="Q1001">
        <v>0.46</v>
      </c>
      <c r="R1001" t="str">
        <f>IF(Q1001&lt;=0.25,"Low ",IF(Q1001&lt;=0.5,"Moderate ",IF(Q1001&lt;=0.75,"High ","Very High ")))</f>
        <v xml:space="preserve">Moderate </v>
      </c>
      <c r="S1001">
        <v>0.29849999999999999</v>
      </c>
      <c r="T1001" t="str">
        <f>IF(S1001&lt;=0.15,"Calm",IF(S1001&lt;=0.3,"Light Wind",IF(S1001&lt;=0.45,"Moderate Wind","Strong Wind")))</f>
        <v>Light Wind</v>
      </c>
      <c r="U1001">
        <v>2</v>
      </c>
      <c r="V1001">
        <v>96</v>
      </c>
      <c r="W1001">
        <v>98</v>
      </c>
      <c r="X1001" t="str">
        <f>IF(W1001&lt;=75,"Low Demand",IF(W1001&lt;=150,"Medium Demand",IF(W1001&lt;=225,"High Demand","Very High Demand")))</f>
        <v>Medium Demand</v>
      </c>
    </row>
    <row r="1002" spans="1:24" x14ac:dyDescent="0.25">
      <c r="X1002">
        <f>SUBTOTAL(103,dataset_1[rental demand category])</f>
        <v>1000</v>
      </c>
    </row>
  </sheetData>
  <conditionalFormatting sqref="M612:M100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2:O100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A84DCE-7BFF-4B2D-82F4-B2DAE5C15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dataset(1+2+3)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bohra</dc:creator>
  <cp:lastModifiedBy>rahul bohra</cp:lastModifiedBy>
  <dcterms:created xsi:type="dcterms:W3CDTF">2026-07-25T21:37:05Z</dcterms:created>
  <dcterms:modified xsi:type="dcterms:W3CDTF">2026-07-25T21:37:23Z</dcterms:modified>
</cp:coreProperties>
</file>